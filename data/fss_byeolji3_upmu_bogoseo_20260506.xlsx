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drawings/drawing40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drawings/drawing4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D:\D드라이브(기존)\8. 여신감 건전팀(2026.1.14.~)\09 여신금융감독국 건전경영팀(이준형 선임님)\4. 시행세칙 개정\8. 시행세칙 개정 최종안\관련부서 공유용(최종안)\"/>
    </mc:Choice>
  </mc:AlternateContent>
  <xr:revisionPtr revIDLastSave="0" documentId="13_ncr:1_{DC442B5E-1398-4927-91A2-2DB38F64600D}" xr6:coauthVersionLast="47" xr6:coauthVersionMax="47" xr10:uidLastSave="{00000000-0000-0000-0000-000000000000}"/>
  <bookViews>
    <workbookView xWindow="-28920" yWindow="-90" windowWidth="29040" windowHeight="15840" tabRatio="936" activeTab="1" xr2:uid="{00000000-000D-0000-FFFF-FFFF00000000}"/>
  </bookViews>
  <sheets>
    <sheet name="목차_현행" sheetId="208" r:id="rId1"/>
    <sheet name="목차_개정후" sheetId="191" r:id="rId2"/>
    <sheet name="AC437(신설)" sheetId="211" r:id="rId3"/>
    <sheet name="AC304_현행" sheetId="217" r:id="rId4"/>
    <sheet name="AC304_개정" sheetId="218" r:id="rId5"/>
    <sheet name="AC209_현행" sheetId="255" r:id="rId6"/>
    <sheet name="AC209_개정" sheetId="257" r:id="rId7"/>
    <sheet name="AC210_현행" sheetId="256" r:id="rId8"/>
    <sheet name="AC210_개정" sheetId="258" r:id="rId9"/>
    <sheet name="AC211_현행" sheetId="219" r:id="rId10"/>
    <sheet name="AC211_개정" sheetId="220" r:id="rId11"/>
    <sheet name="AC223_현행" sheetId="221" r:id="rId12"/>
    <sheet name="AC223_개정" sheetId="222" r:id="rId13"/>
    <sheet name="AC425_현행" sheetId="209" r:id="rId14"/>
    <sheet name="AC425_개정" sheetId="210" r:id="rId15"/>
    <sheet name="AC233_현행" sheetId="225" r:id="rId16"/>
    <sheet name="AC233_개정" sheetId="226" r:id="rId17"/>
    <sheet name="AC300_현행" sheetId="227" r:id="rId18"/>
    <sheet name="AC300_개정" sheetId="228" r:id="rId19"/>
    <sheet name="AC236_현행" sheetId="245" r:id="rId20"/>
    <sheet name="AC236_개정" sheetId="247" r:id="rId21"/>
    <sheet name="AC237_현행" sheetId="248" r:id="rId22"/>
    <sheet name="AC237_개정" sheetId="246" r:id="rId23"/>
    <sheet name="AC251_현행" sheetId="229" r:id="rId24"/>
    <sheet name="AC251_개정" sheetId="230" r:id="rId25"/>
    <sheet name="AC266_현행" sheetId="233" r:id="rId26"/>
    <sheet name="AC266_개정" sheetId="234" r:id="rId27"/>
    <sheet name="AC402_현행" sheetId="235" r:id="rId28"/>
    <sheet name="AC402_개정" sheetId="236" r:id="rId29"/>
    <sheet name="AC406_현행" sheetId="237" r:id="rId30"/>
    <sheet name="AC406_개정" sheetId="238" r:id="rId31"/>
    <sheet name="AC285_현행" sheetId="242" r:id="rId32"/>
    <sheet name="AC285_개정" sheetId="212" r:id="rId33"/>
    <sheet name="AC286_현행" sheetId="249" r:id="rId34"/>
    <sheet name="AC286_개정" sheetId="250" r:id="rId35"/>
    <sheet name="AC287_현행" sheetId="213" r:id="rId36"/>
    <sheet name="AC287_개정" sheetId="239" r:id="rId37"/>
    <sheet name="AC361_현행" sheetId="214" r:id="rId38"/>
    <sheet name="AC361_개정" sheetId="240" r:id="rId39"/>
    <sheet name="AC410_현행" sheetId="253" r:id="rId40"/>
    <sheet name="AC410_개정" sheetId="254" r:id="rId41"/>
    <sheet name="AC411_현행" sheetId="251" r:id="rId42"/>
    <sheet name="AC411_개정" sheetId="252" r:id="rId43"/>
    <sheet name="AC412_현행" sheetId="215" r:id="rId44"/>
    <sheet name="AC412_개정" sheetId="241" r:id="rId45"/>
  </sheets>
  <externalReferences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</externalReferences>
  <definedNames>
    <definedName name="_1111" localSheetId="10">#REF!</definedName>
    <definedName name="_1111" localSheetId="12">#REF!</definedName>
    <definedName name="_1111" localSheetId="16">#REF!</definedName>
    <definedName name="_1111" localSheetId="24">#REF!</definedName>
    <definedName name="_1111" localSheetId="26">#REF!</definedName>
    <definedName name="_1111" localSheetId="18">#REF!</definedName>
    <definedName name="_1111" localSheetId="4">#REF!</definedName>
    <definedName name="_1111" localSheetId="28">#REF!</definedName>
    <definedName name="_1111" localSheetId="30">#REF!</definedName>
    <definedName name="_1111" localSheetId="42">#REF!</definedName>
    <definedName name="_1111" localSheetId="41">#REF!</definedName>
    <definedName name="_1111" localSheetId="44">#REF!</definedName>
    <definedName name="_1111" localSheetId="43">#REF!</definedName>
    <definedName name="_1111">#REF!</definedName>
    <definedName name="_1AH0001_" localSheetId="10">#REF!</definedName>
    <definedName name="_1AH0001_" localSheetId="12">#REF!</definedName>
    <definedName name="_1AH0001_" localSheetId="16">#REF!</definedName>
    <definedName name="_1AH0001_" localSheetId="24">#REF!</definedName>
    <definedName name="_1AH0001_" localSheetId="26">#REF!</definedName>
    <definedName name="_1AH0001_" localSheetId="18">#REF!</definedName>
    <definedName name="_1AH0001_" localSheetId="4">#REF!</definedName>
    <definedName name="_1AH0001_" localSheetId="28">#REF!</definedName>
    <definedName name="_1AH0001_" localSheetId="30">#REF!</definedName>
    <definedName name="_1AH0001_" localSheetId="42">#REF!</definedName>
    <definedName name="_1AH0001_" localSheetId="41">#REF!</definedName>
    <definedName name="_1AH0001_" localSheetId="44">#REF!</definedName>
    <definedName name="_1AH0001_" localSheetId="43">#REF!</definedName>
    <definedName name="_1AH0001_">#REF!</definedName>
    <definedName name="_xlnm._FilterDatabase" localSheetId="10">#REF!</definedName>
    <definedName name="_xlnm._FilterDatabase" localSheetId="12">#REF!</definedName>
    <definedName name="_xlnm._FilterDatabase" localSheetId="16">#REF!</definedName>
    <definedName name="_xlnm._FilterDatabase" localSheetId="24">#REF!</definedName>
    <definedName name="_xlnm._FilterDatabase" localSheetId="26">#REF!</definedName>
    <definedName name="_xlnm._FilterDatabase" localSheetId="32" hidden="1">AC285_개정!$A$11:$A$105</definedName>
    <definedName name="_xlnm._FilterDatabase" localSheetId="18">#REF!</definedName>
    <definedName name="_xlnm._FilterDatabase" localSheetId="4">#REF!</definedName>
    <definedName name="_xlnm._FilterDatabase" localSheetId="28">#REF!</definedName>
    <definedName name="_xlnm._FilterDatabase" localSheetId="30">#REF!</definedName>
    <definedName name="_xlnm._FilterDatabase" localSheetId="1" hidden="1">목차_개정후!$A$3:$L$144</definedName>
    <definedName name="_xlnm._FilterDatabase" localSheetId="0" hidden="1">목차_현행!$A$3:$G$142</definedName>
    <definedName name="_xlnm._FilterDatabase">#REF!</definedName>
    <definedName name="_RES1" localSheetId="10">#REF!</definedName>
    <definedName name="_RES1" localSheetId="12">#REF!</definedName>
    <definedName name="_RES1" localSheetId="16">#REF!</definedName>
    <definedName name="_RES1" localSheetId="24">#REF!</definedName>
    <definedName name="_RES1" localSheetId="26">#REF!</definedName>
    <definedName name="_RES1" localSheetId="18">#REF!</definedName>
    <definedName name="_RES1" localSheetId="4">#REF!</definedName>
    <definedName name="_RES1" localSheetId="28">#REF!</definedName>
    <definedName name="_RES1" localSheetId="30">#REF!</definedName>
    <definedName name="_RES1" localSheetId="42">#REF!</definedName>
    <definedName name="_RES1" localSheetId="41">#REF!</definedName>
    <definedName name="_RES1" localSheetId="44">#REF!</definedName>
    <definedName name="_RES1" localSheetId="43">#REF!</definedName>
    <definedName name="_RES1">#REF!</definedName>
    <definedName name="_RES10" localSheetId="10">#REF!</definedName>
    <definedName name="_RES10" localSheetId="12">#REF!</definedName>
    <definedName name="_RES10" localSheetId="16">#REF!</definedName>
    <definedName name="_RES10" localSheetId="24">#REF!</definedName>
    <definedName name="_RES10" localSheetId="26">#REF!</definedName>
    <definedName name="_RES10" localSheetId="18">#REF!</definedName>
    <definedName name="_RES10" localSheetId="4">#REF!</definedName>
    <definedName name="_RES10" localSheetId="28">#REF!</definedName>
    <definedName name="_RES10" localSheetId="30">#REF!</definedName>
    <definedName name="_RES10" localSheetId="42">#REF!</definedName>
    <definedName name="_RES10" localSheetId="41">#REF!</definedName>
    <definedName name="_RES10" localSheetId="44">#REF!</definedName>
    <definedName name="_RES10" localSheetId="43">#REF!</definedName>
    <definedName name="_RES10">#REF!</definedName>
    <definedName name="_RES11" localSheetId="10">#REF!</definedName>
    <definedName name="_RES11" localSheetId="12">#REF!</definedName>
    <definedName name="_RES11" localSheetId="16">#REF!</definedName>
    <definedName name="_RES11" localSheetId="24">#REF!</definedName>
    <definedName name="_RES11" localSheetId="26">#REF!</definedName>
    <definedName name="_RES11" localSheetId="18">#REF!</definedName>
    <definedName name="_RES11" localSheetId="4">#REF!</definedName>
    <definedName name="_RES11" localSheetId="28">#REF!</definedName>
    <definedName name="_RES11" localSheetId="30">#REF!</definedName>
    <definedName name="_RES11">#REF!</definedName>
    <definedName name="_RES12" localSheetId="10">#REF!</definedName>
    <definedName name="_RES12" localSheetId="12">#REF!</definedName>
    <definedName name="_RES12" localSheetId="16">#REF!</definedName>
    <definedName name="_RES12" localSheetId="24">#REF!</definedName>
    <definedName name="_RES12" localSheetId="26">#REF!</definedName>
    <definedName name="_RES12" localSheetId="18">#REF!</definedName>
    <definedName name="_RES12" localSheetId="4">#REF!</definedName>
    <definedName name="_RES12" localSheetId="28">#REF!</definedName>
    <definedName name="_RES12" localSheetId="30">#REF!</definedName>
    <definedName name="_RES12">#REF!</definedName>
    <definedName name="_RES13" localSheetId="10">#REF!</definedName>
    <definedName name="_RES13" localSheetId="12">#REF!</definedName>
    <definedName name="_RES13" localSheetId="16">#REF!</definedName>
    <definedName name="_RES13" localSheetId="24">#REF!</definedName>
    <definedName name="_RES13" localSheetId="26">#REF!</definedName>
    <definedName name="_RES13" localSheetId="18">#REF!</definedName>
    <definedName name="_RES13" localSheetId="4">#REF!</definedName>
    <definedName name="_RES13" localSheetId="28">#REF!</definedName>
    <definedName name="_RES13" localSheetId="30">#REF!</definedName>
    <definedName name="_RES13">#REF!</definedName>
    <definedName name="_RES14" localSheetId="10">#REF!</definedName>
    <definedName name="_RES14" localSheetId="12">#REF!</definedName>
    <definedName name="_RES14" localSheetId="16">#REF!</definedName>
    <definedName name="_RES14" localSheetId="24">#REF!</definedName>
    <definedName name="_RES14" localSheetId="26">#REF!</definedName>
    <definedName name="_RES14" localSheetId="18">#REF!</definedName>
    <definedName name="_RES14" localSheetId="4">#REF!</definedName>
    <definedName name="_RES14" localSheetId="28">#REF!</definedName>
    <definedName name="_RES14" localSheetId="30">#REF!</definedName>
    <definedName name="_RES14">#REF!</definedName>
    <definedName name="_RES2" localSheetId="10">#REF!</definedName>
    <definedName name="_RES2" localSheetId="12">#REF!</definedName>
    <definedName name="_RES2" localSheetId="16">#REF!</definedName>
    <definedName name="_RES2" localSheetId="24">#REF!</definedName>
    <definedName name="_RES2" localSheetId="26">#REF!</definedName>
    <definedName name="_RES2" localSheetId="18">#REF!</definedName>
    <definedName name="_RES2" localSheetId="4">#REF!</definedName>
    <definedName name="_RES2" localSheetId="28">#REF!</definedName>
    <definedName name="_RES2" localSheetId="30">#REF!</definedName>
    <definedName name="_RES2">#REF!</definedName>
    <definedName name="_RES3" localSheetId="10">#REF!</definedName>
    <definedName name="_RES3" localSheetId="12">#REF!</definedName>
    <definedName name="_RES3" localSheetId="16">#REF!</definedName>
    <definedName name="_RES3" localSheetId="24">#REF!</definedName>
    <definedName name="_RES3" localSheetId="26">#REF!</definedName>
    <definedName name="_RES3" localSheetId="18">#REF!</definedName>
    <definedName name="_RES3" localSheetId="4">#REF!</definedName>
    <definedName name="_RES3" localSheetId="28">#REF!</definedName>
    <definedName name="_RES3" localSheetId="30">#REF!</definedName>
    <definedName name="_RES3">#REF!</definedName>
    <definedName name="_RES4" localSheetId="10">#REF!</definedName>
    <definedName name="_RES4" localSheetId="12">#REF!</definedName>
    <definedName name="_RES4" localSheetId="16">#REF!</definedName>
    <definedName name="_RES4" localSheetId="24">#REF!</definedName>
    <definedName name="_RES4" localSheetId="26">#REF!</definedName>
    <definedName name="_RES4" localSheetId="18">#REF!</definedName>
    <definedName name="_RES4" localSheetId="4">#REF!</definedName>
    <definedName name="_RES4" localSheetId="28">#REF!</definedName>
    <definedName name="_RES4" localSheetId="30">#REF!</definedName>
    <definedName name="_RES4">#REF!</definedName>
    <definedName name="_RES5" localSheetId="10">#REF!</definedName>
    <definedName name="_RES5" localSheetId="12">#REF!</definedName>
    <definedName name="_RES5" localSheetId="16">#REF!</definedName>
    <definedName name="_RES5" localSheetId="24">#REF!</definedName>
    <definedName name="_RES5" localSheetId="26">#REF!</definedName>
    <definedName name="_RES5" localSheetId="18">#REF!</definedName>
    <definedName name="_RES5" localSheetId="4">#REF!</definedName>
    <definedName name="_RES5" localSheetId="28">#REF!</definedName>
    <definedName name="_RES5" localSheetId="30">#REF!</definedName>
    <definedName name="_RES5">#REF!</definedName>
    <definedName name="_RES6" localSheetId="10">#REF!</definedName>
    <definedName name="_RES6" localSheetId="12">#REF!</definedName>
    <definedName name="_RES6" localSheetId="16">#REF!</definedName>
    <definedName name="_RES6" localSheetId="24">#REF!</definedName>
    <definedName name="_RES6" localSheetId="26">#REF!</definedName>
    <definedName name="_RES6" localSheetId="18">#REF!</definedName>
    <definedName name="_RES6" localSheetId="4">#REF!</definedName>
    <definedName name="_RES6" localSheetId="28">#REF!</definedName>
    <definedName name="_RES6" localSheetId="30">#REF!</definedName>
    <definedName name="_RES6">#REF!</definedName>
    <definedName name="_RES7" localSheetId="10">#REF!</definedName>
    <definedName name="_RES7" localSheetId="12">#REF!</definedName>
    <definedName name="_RES7" localSheetId="16">#REF!</definedName>
    <definedName name="_RES7" localSheetId="24">#REF!</definedName>
    <definedName name="_RES7" localSheetId="26">#REF!</definedName>
    <definedName name="_RES7" localSheetId="18">#REF!</definedName>
    <definedName name="_RES7" localSheetId="4">#REF!</definedName>
    <definedName name="_RES7" localSheetId="28">#REF!</definedName>
    <definedName name="_RES7" localSheetId="30">#REF!</definedName>
    <definedName name="_RES7">#REF!</definedName>
    <definedName name="_RES8" localSheetId="10">#REF!</definedName>
    <definedName name="_RES8" localSheetId="12">#REF!</definedName>
    <definedName name="_RES8" localSheetId="16">#REF!</definedName>
    <definedName name="_RES8" localSheetId="24">#REF!</definedName>
    <definedName name="_RES8" localSheetId="26">#REF!</definedName>
    <definedName name="_RES8" localSheetId="18">#REF!</definedName>
    <definedName name="_RES8" localSheetId="4">#REF!</definedName>
    <definedName name="_RES8" localSheetId="28">#REF!</definedName>
    <definedName name="_RES8" localSheetId="30">#REF!</definedName>
    <definedName name="_RES8">#REF!</definedName>
    <definedName name="_RES9" localSheetId="10">#REF!</definedName>
    <definedName name="_RES9" localSheetId="12">#REF!</definedName>
    <definedName name="_RES9" localSheetId="16">#REF!</definedName>
    <definedName name="_RES9" localSheetId="24">#REF!</definedName>
    <definedName name="_RES9" localSheetId="26">#REF!</definedName>
    <definedName name="_RES9" localSheetId="18">#REF!</definedName>
    <definedName name="_RES9" localSheetId="4">#REF!</definedName>
    <definedName name="_RES9" localSheetId="28">#REF!</definedName>
    <definedName name="_RES9" localSheetId="30">#REF!</definedName>
    <definedName name="_RES9">#REF!</definedName>
    <definedName name="_ㄴㄴㄴㄴㄴㄴ" localSheetId="10">#REF!</definedName>
    <definedName name="_ㄴㄴㄴㄴㄴㄴ" localSheetId="12">#REF!</definedName>
    <definedName name="_ㄴㄴㄴㄴㄴㄴ" localSheetId="16">#REF!</definedName>
    <definedName name="_ㄴㄴㄴㄴㄴㄴ" localSheetId="24">#REF!</definedName>
    <definedName name="_ㄴㄴㄴㄴㄴㄴ" localSheetId="26">#REF!</definedName>
    <definedName name="_ㄴㄴㄴㄴㄴㄴ" localSheetId="18">#REF!</definedName>
    <definedName name="_ㄴㄴㄴㄴㄴㄴ" localSheetId="4">#REF!</definedName>
    <definedName name="_ㄴㄴㄴㄴㄴㄴ" localSheetId="28">#REF!</definedName>
    <definedName name="_ㄴㄴㄴㄴㄴㄴ" localSheetId="30">#REF!</definedName>
    <definedName name="_ㄴㄴㄴㄴㄴㄴ">#REF!</definedName>
    <definedName name="\q" localSheetId="10">#REF!</definedName>
    <definedName name="\q" localSheetId="12">#REF!</definedName>
    <definedName name="\q" localSheetId="16">#REF!</definedName>
    <definedName name="\q" localSheetId="24">#REF!</definedName>
    <definedName name="\q" localSheetId="26">#REF!</definedName>
    <definedName name="\q" localSheetId="18">#REF!</definedName>
    <definedName name="\q" localSheetId="4">#REF!</definedName>
    <definedName name="\q" localSheetId="28">#REF!</definedName>
    <definedName name="\q" localSheetId="30">#REF!</definedName>
    <definedName name="\q">#REF!</definedName>
    <definedName name="A" localSheetId="10">#REF!</definedName>
    <definedName name="A" localSheetId="12">#REF!</definedName>
    <definedName name="A" localSheetId="16">#REF!</definedName>
    <definedName name="A" localSheetId="24">#REF!</definedName>
    <definedName name="A" localSheetId="26">#REF!</definedName>
    <definedName name="A" localSheetId="18">#REF!</definedName>
    <definedName name="A" localSheetId="4">#REF!</definedName>
    <definedName name="A" localSheetId="28">#REF!</definedName>
    <definedName name="A" localSheetId="30">#REF!</definedName>
    <definedName name="A">#REF!</definedName>
    <definedName name="aa" localSheetId="10">#REF!</definedName>
    <definedName name="aa" localSheetId="12">#REF!</definedName>
    <definedName name="aa" localSheetId="16">#REF!</definedName>
    <definedName name="aa" localSheetId="24">#REF!</definedName>
    <definedName name="aa" localSheetId="26">#REF!</definedName>
    <definedName name="aa" localSheetId="18">#REF!</definedName>
    <definedName name="aa" localSheetId="4">#REF!</definedName>
    <definedName name="aa" localSheetId="28">#REF!</definedName>
    <definedName name="aa" localSheetId="30">#REF!</definedName>
    <definedName name="aa">#REF!</definedName>
    <definedName name="ABC" localSheetId="10">#REF!</definedName>
    <definedName name="ABC" localSheetId="12">#REF!</definedName>
    <definedName name="ABC" localSheetId="16">#REF!</definedName>
    <definedName name="ABC" localSheetId="24">#REF!</definedName>
    <definedName name="ABC" localSheetId="26">#REF!</definedName>
    <definedName name="ABC" localSheetId="18">#REF!</definedName>
    <definedName name="ABC" localSheetId="4">#REF!</definedName>
    <definedName name="ABC" localSheetId="28">#REF!</definedName>
    <definedName name="ABC" localSheetId="30">#REF!</definedName>
    <definedName name="ABC">#REF!</definedName>
    <definedName name="AS2DocOpenMode" hidden="1">"AS2DocumentEdit"</definedName>
    <definedName name="d">'[1]공통속성(작성시 참조)'!$F$2:$F$4</definedName>
    <definedName name="HTML_Description" hidden="1">""</definedName>
    <definedName name="HTML10_6" hidden="1">-4146</definedName>
    <definedName name="HTML13_2" hidden="1">1</definedName>
    <definedName name="HTML16_1" hidden="1">"'[수주통합관리98_2_21.xls]2월3주차'!$A$1:$I$89"</definedName>
    <definedName name="HTML18_6" hidden="1">-4146</definedName>
    <definedName name="HTML20_2" hidden="1">1</definedName>
    <definedName name="HTML23_1" hidden="1">"[수주통합관리98_2_25.xls]보고양식!$A$32:$I$68"</definedName>
    <definedName name="HTML25_6" hidden="1">-4146</definedName>
    <definedName name="HTML28_2" hidden="1">1</definedName>
    <definedName name="HTML30_1" hidden="1">"'[사본 - 영업통합관리(수주.매출).xls]보고양식'!$A$114:$K$131"</definedName>
    <definedName name="HTML5_6" hidden="1">1</definedName>
    <definedName name="HTML8_2" hidden="1">1</definedName>
    <definedName name="premium" localSheetId="10">#REF!</definedName>
    <definedName name="premium" localSheetId="12">#REF!</definedName>
    <definedName name="premium" localSheetId="16">#REF!</definedName>
    <definedName name="premium" localSheetId="24">#REF!</definedName>
    <definedName name="premium" localSheetId="26">#REF!</definedName>
    <definedName name="premium" localSheetId="18">#REF!</definedName>
    <definedName name="premium" localSheetId="4">#REF!</definedName>
    <definedName name="premium" localSheetId="28">#REF!</definedName>
    <definedName name="premium" localSheetId="30">#REF!</definedName>
    <definedName name="premium" localSheetId="42">#REF!</definedName>
    <definedName name="premium" localSheetId="41">#REF!</definedName>
    <definedName name="premium" localSheetId="44">#REF!</definedName>
    <definedName name="premium" localSheetId="43">#REF!</definedName>
    <definedName name="premium">#REF!</definedName>
    <definedName name="_xlnm.Print_Area" localSheetId="6">AC209_개정!$A$1:$M$119</definedName>
    <definedName name="_xlnm.Print_Area" localSheetId="5">AC209_현행!$A$1:$L$114</definedName>
    <definedName name="_xlnm.Print_Area" localSheetId="8">AC210_개정!$A$1:$L$101</definedName>
    <definedName name="_xlnm.Print_Area" localSheetId="7">AC210_현행!$A$1:$L$96</definedName>
    <definedName name="_xlnm.Print_Area" localSheetId="10">AC211_개정!$A$1:$L$102</definedName>
    <definedName name="_xlnm.Print_Area" localSheetId="9">AC211_현행!$A$1:$L$96</definedName>
    <definedName name="_xlnm.Print_Area" localSheetId="12">AC223_개정!$A$1:$H$174</definedName>
    <definedName name="_xlnm.Print_Area" localSheetId="11">AC223_현행!$A$1:$H$174</definedName>
    <definedName name="_xlnm.Print_Area" localSheetId="16">AC233_개정!$A$1:$Q$29</definedName>
    <definedName name="_xlnm.Print_Area" localSheetId="15">AC233_현행!$A$1:$Q$29</definedName>
    <definedName name="_xlnm.Print_Area" localSheetId="20">AC236_개정!$A$1:$D$45</definedName>
    <definedName name="_xlnm.Print_Area" localSheetId="19">AC236_현행!$A$1:$E$43</definedName>
    <definedName name="_xlnm.Print_Area" localSheetId="22">AC237_개정!$A$1:$X$36</definedName>
    <definedName name="_xlnm.Print_Area" localSheetId="21">AC237_현행!$A$1:$J$35</definedName>
    <definedName name="_xlnm.Print_Area" localSheetId="24">AC251_개정!$A$1:$H$43</definedName>
    <definedName name="_xlnm.Print_Area" localSheetId="26">AC266_개정!$A$1:$Q$54</definedName>
    <definedName name="_xlnm.Print_Area" localSheetId="25">AC266_현행!$A$1:$Q$42</definedName>
    <definedName name="_xlnm.Print_Area" localSheetId="32">AC285_개정!$A$1:$L$125</definedName>
    <definedName name="_xlnm.Print_Area" localSheetId="31">AC285_현행!$A$1:$L$118</definedName>
    <definedName name="_xlnm.Print_Area" localSheetId="34">AC286_개정!$A$1:$S$74</definedName>
    <definedName name="_xlnm.Print_Area" localSheetId="33">AC286_현행!$A$1:$P$72</definedName>
    <definedName name="_xlnm.Print_Area" localSheetId="36">AC287_개정!$A$1:$J$46</definedName>
    <definedName name="_xlnm.Print_Area" localSheetId="35">AC287_현행!$A$1:$J$48</definedName>
    <definedName name="_xlnm.Print_Area" localSheetId="18">AC300_개정!$A$1:$M$56</definedName>
    <definedName name="_xlnm.Print_Area" localSheetId="4">AC304_개정!$A$1:$N$116</definedName>
    <definedName name="_xlnm.Print_Area" localSheetId="3">AC304_현행!$A$1:$N$110</definedName>
    <definedName name="_xlnm.Print_Area" localSheetId="38">AC361_개정!$A$1:$AG$30</definedName>
    <definedName name="_xlnm.Print_Area" localSheetId="37">AC361_현행!$A$1:$U$35</definedName>
    <definedName name="_xlnm.Print_Area" localSheetId="28">AC402_개정!$A$1:$Z$55</definedName>
    <definedName name="_xlnm.Print_Area" localSheetId="27">AC402_현행!$A$1:$R$56</definedName>
    <definedName name="_xlnm.Print_Area" localSheetId="30">AC406_개정!$A$1:$P$112</definedName>
    <definedName name="_xlnm.Print_Area" localSheetId="29">AC406_현행!$A$1:$P$111</definedName>
    <definedName name="_xlnm.Print_Area" localSheetId="40">AC410_개정!$A$1:$P$32</definedName>
    <definedName name="_xlnm.Print_Area" localSheetId="39">AC410_현행!$A$1:$J$29</definedName>
    <definedName name="_xlnm.Print_Area" localSheetId="42">AC411_개정!$A$1:$M$76</definedName>
    <definedName name="_xlnm.Print_Area" localSheetId="44">AC412_개정!$A$1:$Q$27</definedName>
    <definedName name="_xlnm.Print_Area" localSheetId="14">AC425_개정!$A$1:$L$49</definedName>
    <definedName name="_xlnm.Print_Area" localSheetId="13">AC425_현행!$A$1:$I$43</definedName>
    <definedName name="_xlnm.Print_Area" localSheetId="2">'AC437(신설)'!$A$1:$J$45</definedName>
    <definedName name="_xlnm.Print_Area" localSheetId="1">목차_개정후!$A$1:$L$144</definedName>
    <definedName name="_xlnm.Print_Area" localSheetId="0">목차_현행!$A$1:$F$139</definedName>
    <definedName name="_xlnm.Print_Area">#REF!</definedName>
    <definedName name="PRINT_AREA_MI" localSheetId="10">#REF!</definedName>
    <definedName name="PRINT_AREA_MI" localSheetId="12">#REF!</definedName>
    <definedName name="PRINT_AREA_MI" localSheetId="16">#REF!</definedName>
    <definedName name="PRINT_AREA_MI" localSheetId="24">#REF!</definedName>
    <definedName name="PRINT_AREA_MI" localSheetId="26">#REF!</definedName>
    <definedName name="PRINT_AREA_MI" localSheetId="18">#REF!</definedName>
    <definedName name="PRINT_AREA_MI" localSheetId="4">#REF!</definedName>
    <definedName name="PRINT_AREA_MI" localSheetId="28">#REF!</definedName>
    <definedName name="PRINT_AREA_MI" localSheetId="30">#REF!</definedName>
    <definedName name="PRINT_AREA_MI" localSheetId="42">#REF!</definedName>
    <definedName name="PRINT_AREA_MI" localSheetId="41">#REF!</definedName>
    <definedName name="PRINT_AREA_MI" localSheetId="44">#REF!</definedName>
    <definedName name="PRINT_AREA_MI" localSheetId="43">#REF!</definedName>
    <definedName name="PRINT_AREA_MI">#REF!</definedName>
    <definedName name="_xlnm.Print_Titles" localSheetId="10">#REF!</definedName>
    <definedName name="_xlnm.Print_Titles" localSheetId="16">#REF!</definedName>
    <definedName name="_xlnm.Print_Titles" localSheetId="26">#REF!</definedName>
    <definedName name="_xlnm.Print_Titles" localSheetId="18">#REF!</definedName>
    <definedName name="_xlnm.Print_Titles" localSheetId="28">#REF!</definedName>
    <definedName name="_xlnm.Print_Titles" localSheetId="42">#REF!</definedName>
    <definedName name="_xlnm.Print_Titles" localSheetId="41">#REF!</definedName>
    <definedName name="_xlnm.Print_Titles" localSheetId="44">#REF!</definedName>
    <definedName name="_xlnm.Print_Titles" localSheetId="43">#REF!</definedName>
    <definedName name="_xlnm.Print_Titles">#REF!</definedName>
    <definedName name="reserve" localSheetId="10">#REF!</definedName>
    <definedName name="reserve" localSheetId="12">#REF!</definedName>
    <definedName name="reserve" localSheetId="16">#REF!</definedName>
    <definedName name="reserve" localSheetId="24">#REF!</definedName>
    <definedName name="reserve" localSheetId="26">#REF!</definedName>
    <definedName name="reserve" localSheetId="18">#REF!</definedName>
    <definedName name="reserve" localSheetId="4">#REF!</definedName>
    <definedName name="reserve" localSheetId="28">#REF!</definedName>
    <definedName name="reserve" localSheetId="30">#REF!</definedName>
    <definedName name="reserve">#REF!</definedName>
    <definedName name="RESV" localSheetId="10">#REF!</definedName>
    <definedName name="RESV" localSheetId="12">#REF!</definedName>
    <definedName name="RESV" localSheetId="16">#REF!</definedName>
    <definedName name="RESV" localSheetId="24">#REF!</definedName>
    <definedName name="RESV" localSheetId="26">#REF!</definedName>
    <definedName name="RESV" localSheetId="18">#REF!</definedName>
    <definedName name="RESV" localSheetId="4">#REF!</definedName>
    <definedName name="RESV" localSheetId="28">#REF!</definedName>
    <definedName name="RESV" localSheetId="30">#REF!</definedName>
    <definedName name="RESV">#REF!</definedName>
    <definedName name="SAPBEXdnldView" hidden="1">"419XS9RUH8RNHPOMVFCKW98L0"</definedName>
    <definedName name="SAPBEXsysID" hidden="1">"KPW"</definedName>
    <definedName name="ST">[2]Manual!$B$2</definedName>
    <definedName name="TextRefCopyRangeCount" hidden="1">5</definedName>
    <definedName name="unearn" localSheetId="10">#REF!</definedName>
    <definedName name="unearn" localSheetId="12">#REF!</definedName>
    <definedName name="unearn" localSheetId="16">#REF!</definedName>
    <definedName name="unearn" localSheetId="24">#REF!</definedName>
    <definedName name="unearn" localSheetId="26">#REF!</definedName>
    <definedName name="unearn" localSheetId="18">#REF!</definedName>
    <definedName name="unearn" localSheetId="4">#REF!</definedName>
    <definedName name="unearn" localSheetId="28">#REF!</definedName>
    <definedName name="unearn" localSheetId="30">#REF!</definedName>
    <definedName name="unearn" localSheetId="42">#REF!</definedName>
    <definedName name="unearn" localSheetId="41">#REF!</definedName>
    <definedName name="unearn" localSheetId="44">#REF!</definedName>
    <definedName name="unearn" localSheetId="43">#REF!</definedName>
    <definedName name="unearn">#REF!</definedName>
    <definedName name="가" localSheetId="10">'[3]만기현황(금전신탁)'!#REF!</definedName>
    <definedName name="가" localSheetId="12">'[3]만기현황(금전신탁)'!#REF!</definedName>
    <definedName name="가" localSheetId="16">'[3]만기현황(금전신탁)'!#REF!</definedName>
    <definedName name="가" localSheetId="24">'[3]만기현황(금전신탁)'!#REF!</definedName>
    <definedName name="가" localSheetId="26">'[3]만기현황(금전신탁)'!#REF!</definedName>
    <definedName name="가" localSheetId="18">'[3]만기현황(금전신탁)'!#REF!</definedName>
    <definedName name="가" localSheetId="4">'[3]만기현황(금전신탁)'!#REF!</definedName>
    <definedName name="가" localSheetId="28">'[3]만기현황(금전신탁)'!#REF!</definedName>
    <definedName name="가" localSheetId="30">'[3]만기현황(금전신탁)'!#REF!</definedName>
    <definedName name="가" localSheetId="42">'[3]만기현황(금전신탁)'!#REF!</definedName>
    <definedName name="가" localSheetId="41">'[3]만기현황(금전신탁)'!#REF!</definedName>
    <definedName name="가" localSheetId="44">'[3]만기현황(금전신탁)'!#REF!</definedName>
    <definedName name="가" localSheetId="43">'[3]만기현황(금전신탁)'!#REF!</definedName>
    <definedName name="가">'[3]만기현황(금전신탁)'!#REF!</definedName>
    <definedName name="각주" localSheetId="10">#REF!</definedName>
    <definedName name="각주" localSheetId="12">#REF!</definedName>
    <definedName name="각주" localSheetId="16">#REF!</definedName>
    <definedName name="각주" localSheetId="24">#REF!</definedName>
    <definedName name="각주" localSheetId="26">#REF!</definedName>
    <definedName name="각주" localSheetId="18">#REF!</definedName>
    <definedName name="각주" localSheetId="4">#REF!</definedName>
    <definedName name="각주" localSheetId="28">#REF!</definedName>
    <definedName name="각주" localSheetId="30">#REF!</definedName>
    <definedName name="각주" localSheetId="42">#REF!</definedName>
    <definedName name="각주" localSheetId="41">#REF!</definedName>
    <definedName name="각주" localSheetId="44">#REF!</definedName>
    <definedName name="각주" localSheetId="43">#REF!</definedName>
    <definedName name="각주">#REF!</definedName>
    <definedName name="각주1" localSheetId="10">#REF!</definedName>
    <definedName name="각주1" localSheetId="12">#REF!</definedName>
    <definedName name="각주1" localSheetId="16">#REF!</definedName>
    <definedName name="각주1" localSheetId="24">#REF!</definedName>
    <definedName name="각주1" localSheetId="26">#REF!</definedName>
    <definedName name="각주1" localSheetId="18">#REF!</definedName>
    <definedName name="각주1" localSheetId="4">#REF!</definedName>
    <definedName name="각주1" localSheetId="28">#REF!</definedName>
    <definedName name="각주1" localSheetId="30">#REF!</definedName>
    <definedName name="각주1" localSheetId="42">#REF!</definedName>
    <definedName name="각주1" localSheetId="41">#REF!</definedName>
    <definedName name="각주1" localSheetId="44">#REF!</definedName>
    <definedName name="각주1" localSheetId="43">#REF!</definedName>
    <definedName name="각주1">#REF!</definedName>
    <definedName name="검증식사용구분" localSheetId="1">[4]공통속성!$F$2:$F$4</definedName>
    <definedName name="검증식사용구분" localSheetId="0">[4]공통속성!$F$2:$F$4</definedName>
    <definedName name="검증식사용구분">[4]공통속성!$F$2:$F$4</definedName>
    <definedName name="경과회차">[5]INSTRUMENT!$B$27</definedName>
    <definedName name="경험위험보험금지급율" localSheetId="10">[6]INSTRUMENT!#REF!</definedName>
    <definedName name="경험위험보험금지급율" localSheetId="12">[6]INSTRUMENT!#REF!</definedName>
    <definedName name="경험위험보험금지급율" localSheetId="16">[6]INSTRUMENT!#REF!</definedName>
    <definedName name="경험위험보험금지급율" localSheetId="24">[6]INSTRUMENT!#REF!</definedName>
    <definedName name="경험위험보험금지급율" localSheetId="26">[6]INSTRUMENT!#REF!</definedName>
    <definedName name="경험위험보험금지급율" localSheetId="18">[6]INSTRUMENT!#REF!</definedName>
    <definedName name="경험위험보험금지급율" localSheetId="4">[6]INSTRUMENT!#REF!</definedName>
    <definedName name="경험위험보험금지급율" localSheetId="28">[6]INSTRUMENT!#REF!</definedName>
    <definedName name="경험위험보험금지급율" localSheetId="30">[6]INSTRUMENT!#REF!</definedName>
    <definedName name="경험위험보험금지급율" localSheetId="42">[6]INSTRUMENT!#REF!</definedName>
    <definedName name="경험위험보험금지급율" localSheetId="41">[6]INSTRUMENT!#REF!</definedName>
    <definedName name="경험위험보험금지급율" localSheetId="44">[6]INSTRUMENT!#REF!</definedName>
    <definedName name="경험위험보험금지급율" localSheetId="43">[6]INSTRUMENT!#REF!</definedName>
    <definedName name="경험위험보험금지급율">[6]INSTRUMENT!#REF!</definedName>
    <definedName name="공통" localSheetId="1">[7]ZY100!$C$46+[7]공통속성!$F$2:$F$4</definedName>
    <definedName name="공통" localSheetId="0">[7]ZY100!$C$46+[7]공통속성!$F$2:$F$4</definedName>
    <definedName name="공통">[7]ZY100!$C$46+[7]공통속성!$F$2:$F$4</definedName>
    <definedName name="구분코드" localSheetId="1">[4]공통속성!$D$2:$D$24</definedName>
    <definedName name="구분코드" localSheetId="0">[4]공통속성!$D$2:$D$24</definedName>
    <definedName name="구분코드">[4]공통속성!$D$2:$D$24</definedName>
    <definedName name="금액단위" localSheetId="10">#REF!</definedName>
    <definedName name="금액단위" localSheetId="12">#REF!</definedName>
    <definedName name="금액단위" localSheetId="16">#REF!</definedName>
    <definedName name="금액단위" localSheetId="24">#REF!</definedName>
    <definedName name="금액단위" localSheetId="26">#REF!</definedName>
    <definedName name="금액단위" localSheetId="18">#REF!</definedName>
    <definedName name="금액단위" localSheetId="4">#REF!</definedName>
    <definedName name="금액단위" localSheetId="28">#REF!</definedName>
    <definedName name="금액단위" localSheetId="30">#REF!</definedName>
    <definedName name="금액단위" localSheetId="42">#REF!</definedName>
    <definedName name="금액단위" localSheetId="41">#REF!</definedName>
    <definedName name="금액단위" localSheetId="44">#REF!</definedName>
    <definedName name="금액단위" localSheetId="43">#REF!</definedName>
    <definedName name="금액단위">#REF!</definedName>
    <definedName name="기업분류1" localSheetId="10">#REF!</definedName>
    <definedName name="기업분류1" localSheetId="12">#REF!</definedName>
    <definedName name="기업분류1" localSheetId="16">#REF!</definedName>
    <definedName name="기업분류1" localSheetId="24">#REF!</definedName>
    <definedName name="기업분류1" localSheetId="26">#REF!</definedName>
    <definedName name="기업분류1" localSheetId="18">#REF!</definedName>
    <definedName name="기업분류1" localSheetId="4">#REF!</definedName>
    <definedName name="기업분류1" localSheetId="28">#REF!</definedName>
    <definedName name="기업분류1" localSheetId="30">#REF!</definedName>
    <definedName name="기업분류1" localSheetId="42">#REF!</definedName>
    <definedName name="기업분류1" localSheetId="41">#REF!</definedName>
    <definedName name="기업분류1" localSheetId="44">#REF!</definedName>
    <definedName name="기업분류1" localSheetId="43">#REF!</definedName>
    <definedName name="기업분류1">#REF!</definedName>
    <definedName name="기업분류2" localSheetId="10">#REF!</definedName>
    <definedName name="기업분류2" localSheetId="12">#REF!</definedName>
    <definedName name="기업분류2" localSheetId="16">#REF!</definedName>
    <definedName name="기업분류2" localSheetId="24">#REF!</definedName>
    <definedName name="기업분류2" localSheetId="26">#REF!</definedName>
    <definedName name="기업분류2" localSheetId="18">#REF!</definedName>
    <definedName name="기업분류2" localSheetId="4">#REF!</definedName>
    <definedName name="기업분류2" localSheetId="28">#REF!</definedName>
    <definedName name="기업분류2" localSheetId="30">#REF!</definedName>
    <definedName name="기업분류2" localSheetId="42">#REF!</definedName>
    <definedName name="기업분류2" localSheetId="41">#REF!</definedName>
    <definedName name="기업분류2" localSheetId="44">#REF!</definedName>
    <definedName name="기업분류2" localSheetId="43">#REF!</definedName>
    <definedName name="기업분류2">#REF!</definedName>
    <definedName name="기업분류3" localSheetId="10">#REF!</definedName>
    <definedName name="기업분류3" localSheetId="12">#REF!</definedName>
    <definedName name="기업분류3" localSheetId="16">#REF!</definedName>
    <definedName name="기업분류3" localSheetId="24">#REF!</definedName>
    <definedName name="기업분류3" localSheetId="26">#REF!</definedName>
    <definedName name="기업분류3" localSheetId="18">#REF!</definedName>
    <definedName name="기업분류3" localSheetId="4">#REF!</definedName>
    <definedName name="기업분류3" localSheetId="28">#REF!</definedName>
    <definedName name="기업분류3" localSheetId="30">#REF!</definedName>
    <definedName name="기업분류3">#REF!</definedName>
    <definedName name="기업분류4" localSheetId="10">#REF!</definedName>
    <definedName name="기업분류4" localSheetId="12">#REF!</definedName>
    <definedName name="기업분류4" localSheetId="16">#REF!</definedName>
    <definedName name="기업분류4" localSheetId="24">#REF!</definedName>
    <definedName name="기업분류4" localSheetId="26">#REF!</definedName>
    <definedName name="기업분류4" localSheetId="18">#REF!</definedName>
    <definedName name="기업분류4" localSheetId="4">#REF!</definedName>
    <definedName name="기업분류4" localSheetId="28">#REF!</definedName>
    <definedName name="기업분류4" localSheetId="30">#REF!</definedName>
    <definedName name="기업분류4">#REF!</definedName>
    <definedName name="단위구분" localSheetId="10">#REF!</definedName>
    <definedName name="단위구분" localSheetId="12">#REF!</definedName>
    <definedName name="단위구분" localSheetId="16">#REF!</definedName>
    <definedName name="단위구분" localSheetId="24">#REF!</definedName>
    <definedName name="단위구분" localSheetId="26">#REF!</definedName>
    <definedName name="단위구분" localSheetId="18">#REF!</definedName>
    <definedName name="단위구분" localSheetId="4">#REF!</definedName>
    <definedName name="단위구분" localSheetId="28">#REF!</definedName>
    <definedName name="단위구분" localSheetId="30">#REF!</definedName>
    <definedName name="단위구분">#REF!</definedName>
    <definedName name="대출분류1" localSheetId="10">#REF!</definedName>
    <definedName name="대출분류1" localSheetId="12">#REF!</definedName>
    <definedName name="대출분류1" localSheetId="16">#REF!</definedName>
    <definedName name="대출분류1" localSheetId="24">#REF!</definedName>
    <definedName name="대출분류1" localSheetId="26">#REF!</definedName>
    <definedName name="대출분류1" localSheetId="18">#REF!</definedName>
    <definedName name="대출분류1" localSheetId="4">#REF!</definedName>
    <definedName name="대출분류1" localSheetId="28">#REF!</definedName>
    <definedName name="대출분류1" localSheetId="30">#REF!</definedName>
    <definedName name="대출분류1">#REF!</definedName>
    <definedName name="대출분류2" localSheetId="10">#REF!</definedName>
    <definedName name="대출분류2" localSheetId="12">#REF!</definedName>
    <definedName name="대출분류2" localSheetId="16">#REF!</definedName>
    <definedName name="대출분류2" localSheetId="24">#REF!</definedName>
    <definedName name="대출분류2" localSheetId="26">#REF!</definedName>
    <definedName name="대출분류2" localSheetId="18">#REF!</definedName>
    <definedName name="대출분류2" localSheetId="4">#REF!</definedName>
    <definedName name="대출분류2" localSheetId="28">#REF!</definedName>
    <definedName name="대출분류2" localSheetId="30">#REF!</definedName>
    <definedName name="대출분류2">#REF!</definedName>
    <definedName name="대출분류3" localSheetId="10">#REF!</definedName>
    <definedName name="대출분류3" localSheetId="12">#REF!</definedName>
    <definedName name="대출분류3" localSheetId="16">#REF!</definedName>
    <definedName name="대출분류3" localSheetId="24">#REF!</definedName>
    <definedName name="대출분류3" localSheetId="26">#REF!</definedName>
    <definedName name="대출분류3" localSheetId="18">#REF!</definedName>
    <definedName name="대출분류3" localSheetId="4">#REF!</definedName>
    <definedName name="대출분류3" localSheetId="28">#REF!</definedName>
    <definedName name="대출분류3" localSheetId="30">#REF!</definedName>
    <definedName name="대출분류3">#REF!</definedName>
    <definedName name="대출분류4" localSheetId="10">[8]대출분류!#REF!</definedName>
    <definedName name="대출분류4" localSheetId="12">[8]대출분류!#REF!</definedName>
    <definedName name="대출분류4" localSheetId="16">[8]대출분류!#REF!</definedName>
    <definedName name="대출분류4" localSheetId="24">[8]대출분류!#REF!</definedName>
    <definedName name="대출분류4" localSheetId="26">[8]대출분류!#REF!</definedName>
    <definedName name="대출분류4" localSheetId="18">[8]대출분류!#REF!</definedName>
    <definedName name="대출분류4" localSheetId="4">[8]대출분류!#REF!</definedName>
    <definedName name="대출분류4" localSheetId="28">[8]대출분류!#REF!</definedName>
    <definedName name="대출분류4" localSheetId="30">[8]대출분류!#REF!</definedName>
    <definedName name="대출분류4">[8]대출분류!#REF!</definedName>
    <definedName name="만기구조1" localSheetId="10">#REF!</definedName>
    <definedName name="만기구조1" localSheetId="12">#REF!</definedName>
    <definedName name="만기구조1" localSheetId="16">#REF!</definedName>
    <definedName name="만기구조1" localSheetId="24">#REF!</definedName>
    <definedName name="만기구조1" localSheetId="26">#REF!</definedName>
    <definedName name="만기구조1" localSheetId="18">#REF!</definedName>
    <definedName name="만기구조1" localSheetId="4">#REF!</definedName>
    <definedName name="만기구조1" localSheetId="28">#REF!</definedName>
    <definedName name="만기구조1" localSheetId="30">#REF!</definedName>
    <definedName name="만기구조1" localSheetId="42">#REF!</definedName>
    <definedName name="만기구조1" localSheetId="41">#REF!</definedName>
    <definedName name="만기구조1" localSheetId="44">#REF!</definedName>
    <definedName name="만기구조1" localSheetId="43">#REF!</definedName>
    <definedName name="만기구조1">#REF!</definedName>
    <definedName name="만기구조3" localSheetId="10">#REF!</definedName>
    <definedName name="만기구조3" localSheetId="12">#REF!</definedName>
    <definedName name="만기구조3" localSheetId="16">#REF!</definedName>
    <definedName name="만기구조3" localSheetId="24">#REF!</definedName>
    <definedName name="만기구조3" localSheetId="26">#REF!</definedName>
    <definedName name="만기구조3" localSheetId="18">#REF!</definedName>
    <definedName name="만기구조3" localSheetId="4">#REF!</definedName>
    <definedName name="만기구조3" localSheetId="28">#REF!</definedName>
    <definedName name="만기구조3" localSheetId="30">#REF!</definedName>
    <definedName name="만기구조3" localSheetId="42">#REF!</definedName>
    <definedName name="만기구조3" localSheetId="41">#REF!</definedName>
    <definedName name="만기구조3" localSheetId="44">#REF!</definedName>
    <definedName name="만기구조3" localSheetId="43">#REF!</definedName>
    <definedName name="만기구조3">#REF!</definedName>
    <definedName name="ㅂ" localSheetId="10">#REF!</definedName>
    <definedName name="ㅂ" localSheetId="12">#REF!</definedName>
    <definedName name="ㅂ" localSheetId="16">#REF!</definedName>
    <definedName name="ㅂ" localSheetId="24">#REF!</definedName>
    <definedName name="ㅂ" localSheetId="26">#REF!</definedName>
    <definedName name="ㅂ" localSheetId="18">#REF!</definedName>
    <definedName name="ㅂ" localSheetId="4">#REF!</definedName>
    <definedName name="ㅂ" localSheetId="28">#REF!</definedName>
    <definedName name="ㅂ" localSheetId="30">#REF!</definedName>
    <definedName name="ㅂ" localSheetId="42">#REF!</definedName>
    <definedName name="ㅂ" localSheetId="41">#REF!</definedName>
    <definedName name="ㅂ" localSheetId="44">#REF!</definedName>
    <definedName name="ㅂ" localSheetId="43">#REF!</definedName>
    <definedName name="ㅂ">#REF!</definedName>
    <definedName name="ㅂㅂ" localSheetId="10">#REF!</definedName>
    <definedName name="ㅂㅂ" localSheetId="12">#REF!</definedName>
    <definedName name="ㅂㅂ" localSheetId="16">#REF!</definedName>
    <definedName name="ㅂㅂ" localSheetId="24">#REF!</definedName>
    <definedName name="ㅂㅂ" localSheetId="26">#REF!</definedName>
    <definedName name="ㅂㅂ" localSheetId="18">#REF!</definedName>
    <definedName name="ㅂㅂ" localSheetId="4">#REF!</definedName>
    <definedName name="ㅂㅂ" localSheetId="28">#REF!</definedName>
    <definedName name="ㅂㅂ" localSheetId="30">#REF!</definedName>
    <definedName name="ㅂㅂ">#REF!</definedName>
    <definedName name="보고서유형" localSheetId="1">[4]공통속성!$A$2:$A$5</definedName>
    <definedName name="보고서유형" localSheetId="0">[4]공통속성!$A$2:$A$5</definedName>
    <definedName name="보고서유형">[4]공통속성!$A$2:$A$5</definedName>
    <definedName name="보증분류2">[9]보증어음분류!$B$12:$F$17</definedName>
    <definedName name="보증분류3">[9]보증어음분류!$B$19:$F$26</definedName>
    <definedName name="보증분류4">[9]보증어음분류!$B$28:$F$29</definedName>
    <definedName name="보험기간">[5]INSTRUMENT!$B$22</definedName>
    <definedName name="부분별수지1" localSheetId="10">#REF!</definedName>
    <definedName name="부분별수지1" localSheetId="12">#REF!</definedName>
    <definedName name="부분별수지1" localSheetId="16">#REF!</definedName>
    <definedName name="부분별수지1" localSheetId="24">#REF!</definedName>
    <definedName name="부분별수지1" localSheetId="26">#REF!</definedName>
    <definedName name="부분별수지1" localSheetId="18">#REF!</definedName>
    <definedName name="부분별수지1" localSheetId="4">#REF!</definedName>
    <definedName name="부분별수지1" localSheetId="28">#REF!</definedName>
    <definedName name="부분별수지1" localSheetId="30">#REF!</definedName>
    <definedName name="부분별수지1" localSheetId="42">#REF!</definedName>
    <definedName name="부분별수지1" localSheetId="41">#REF!</definedName>
    <definedName name="부분별수지1" localSheetId="44">#REF!</definedName>
    <definedName name="부분별수지1" localSheetId="43">#REF!</definedName>
    <definedName name="부분별수지1">#REF!</definedName>
    <definedName name="부분별수지2" localSheetId="10">#REF!</definedName>
    <definedName name="부분별수지2" localSheetId="12">#REF!</definedName>
    <definedName name="부분별수지2" localSheetId="16">#REF!</definedName>
    <definedName name="부분별수지2" localSheetId="24">#REF!</definedName>
    <definedName name="부분별수지2" localSheetId="26">#REF!</definedName>
    <definedName name="부분별수지2" localSheetId="18">#REF!</definedName>
    <definedName name="부분별수지2" localSheetId="4">#REF!</definedName>
    <definedName name="부분별수지2" localSheetId="28">#REF!</definedName>
    <definedName name="부분별수지2" localSheetId="30">#REF!</definedName>
    <definedName name="부분별수지2" localSheetId="42">#REF!</definedName>
    <definedName name="부분별수지2" localSheetId="41">#REF!</definedName>
    <definedName name="부분별수지2" localSheetId="44">#REF!</definedName>
    <definedName name="부분별수지2" localSheetId="43">#REF!</definedName>
    <definedName name="부분별수지2">#REF!</definedName>
    <definedName name="부분별수지3" localSheetId="10">#REF!</definedName>
    <definedName name="부분별수지3" localSheetId="12">#REF!</definedName>
    <definedName name="부분별수지3" localSheetId="16">#REF!</definedName>
    <definedName name="부분별수지3" localSheetId="24">#REF!</definedName>
    <definedName name="부분별수지3" localSheetId="26">#REF!</definedName>
    <definedName name="부분별수지3" localSheetId="18">#REF!</definedName>
    <definedName name="부분별수지3" localSheetId="4">#REF!</definedName>
    <definedName name="부분별수지3" localSheetId="28">#REF!</definedName>
    <definedName name="부분별수지3" localSheetId="30">#REF!</definedName>
    <definedName name="부분별수지3" localSheetId="42">#REF!</definedName>
    <definedName name="부분별수지3" localSheetId="41">#REF!</definedName>
    <definedName name="부분별수지3" localSheetId="44">#REF!</definedName>
    <definedName name="부분별수지3" localSheetId="43">#REF!</definedName>
    <definedName name="부분별수지3">#REF!</definedName>
    <definedName name="부분별수지4" localSheetId="10">#REF!</definedName>
    <definedName name="부분별수지4" localSheetId="12">#REF!</definedName>
    <definedName name="부분별수지4" localSheetId="16">#REF!</definedName>
    <definedName name="부분별수지4" localSheetId="24">#REF!</definedName>
    <definedName name="부분별수지4" localSheetId="26">#REF!</definedName>
    <definedName name="부분별수지4" localSheetId="18">#REF!</definedName>
    <definedName name="부분별수지4" localSheetId="4">#REF!</definedName>
    <definedName name="부분별수지4" localSheetId="28">#REF!</definedName>
    <definedName name="부분별수지4" localSheetId="30">#REF!</definedName>
    <definedName name="부분별수지4">#REF!</definedName>
    <definedName name="부분별수지5" localSheetId="10">#REF!</definedName>
    <definedName name="부분별수지5" localSheetId="12">#REF!</definedName>
    <definedName name="부분별수지5" localSheetId="16">#REF!</definedName>
    <definedName name="부분별수지5" localSheetId="24">#REF!</definedName>
    <definedName name="부분별수지5" localSheetId="26">#REF!</definedName>
    <definedName name="부분별수지5" localSheetId="18">#REF!</definedName>
    <definedName name="부분별수지5" localSheetId="4">#REF!</definedName>
    <definedName name="부분별수지5" localSheetId="28">#REF!</definedName>
    <definedName name="부분별수지5" localSheetId="30">#REF!</definedName>
    <definedName name="부분별수지5">#REF!</definedName>
    <definedName name="부분별수지6" localSheetId="10">#REF!</definedName>
    <definedName name="부분별수지6" localSheetId="12">#REF!</definedName>
    <definedName name="부분별수지6" localSheetId="16">#REF!</definedName>
    <definedName name="부분별수지6" localSheetId="24">#REF!</definedName>
    <definedName name="부분별수지6" localSheetId="26">#REF!</definedName>
    <definedName name="부분별수지6" localSheetId="18">#REF!</definedName>
    <definedName name="부분별수지6" localSheetId="4">#REF!</definedName>
    <definedName name="부분별수지6" localSheetId="28">#REF!</definedName>
    <definedName name="부분별수지6" localSheetId="30">#REF!</definedName>
    <definedName name="부분별수지6">#REF!</definedName>
    <definedName name="부분별수지7" localSheetId="10">'[8]부문별수지(금전신탁)'!#REF!</definedName>
    <definedName name="부분별수지7" localSheetId="12">'[8]부문별수지(금전신탁)'!#REF!</definedName>
    <definedName name="부분별수지7" localSheetId="16">'[8]부문별수지(금전신탁)'!#REF!</definedName>
    <definedName name="부분별수지7" localSheetId="24">'[8]부문별수지(금전신탁)'!#REF!</definedName>
    <definedName name="부분별수지7" localSheetId="26">'[8]부문별수지(금전신탁)'!#REF!</definedName>
    <definedName name="부분별수지7" localSheetId="18">'[8]부문별수지(금전신탁)'!#REF!</definedName>
    <definedName name="부분별수지7" localSheetId="4">'[8]부문별수지(금전신탁)'!#REF!</definedName>
    <definedName name="부분별수지7" localSheetId="28">'[8]부문별수지(금전신탁)'!#REF!</definedName>
    <definedName name="부분별수지7" localSheetId="30">'[8]부문별수지(금전신탁)'!#REF!</definedName>
    <definedName name="부분별수지7">'[8]부문별수지(금전신탁)'!#REF!</definedName>
    <definedName name="부분별수지8" localSheetId="10">'[8]부문별수지(금전신탁)'!#REF!</definedName>
    <definedName name="부분별수지8" localSheetId="12">'[8]부문별수지(금전신탁)'!#REF!</definedName>
    <definedName name="부분별수지8" localSheetId="16">'[8]부문별수지(금전신탁)'!#REF!</definedName>
    <definedName name="부분별수지8" localSheetId="24">'[8]부문별수지(금전신탁)'!#REF!</definedName>
    <definedName name="부분별수지8" localSheetId="26">'[8]부문별수지(금전신탁)'!#REF!</definedName>
    <definedName name="부분별수지8" localSheetId="18">'[8]부문별수지(금전신탁)'!#REF!</definedName>
    <definedName name="부분별수지8" localSheetId="4">'[8]부문별수지(금전신탁)'!#REF!</definedName>
    <definedName name="부분별수지8" localSheetId="28">'[8]부문별수지(금전신탁)'!#REF!</definedName>
    <definedName name="부분별수지8" localSheetId="30">'[8]부문별수지(금전신탁)'!#REF!</definedName>
    <definedName name="부분별수지8">'[8]부문별수지(금전신탁)'!#REF!</definedName>
    <definedName name="분류" localSheetId="1">[4]공통속성!$G$2:$G$82</definedName>
    <definedName name="분류" localSheetId="0">[4]공통속성!$G$2:$G$82</definedName>
    <definedName name="분류">[4]공통속성!$G$2:$G$82</definedName>
    <definedName name="ㅅㅇㅎ옹홍ㅇ" localSheetId="10">#REF!</definedName>
    <definedName name="ㅅㅇㅎ옹홍ㅇ" localSheetId="12">#REF!</definedName>
    <definedName name="ㅅㅇㅎ옹홍ㅇ" localSheetId="16">#REF!</definedName>
    <definedName name="ㅅㅇㅎ옹홍ㅇ" localSheetId="24">#REF!</definedName>
    <definedName name="ㅅㅇㅎ옹홍ㅇ" localSheetId="26">#REF!</definedName>
    <definedName name="ㅅㅇㅎ옹홍ㅇ" localSheetId="18">#REF!</definedName>
    <definedName name="ㅅㅇㅎ옹홍ㅇ" localSheetId="4">#REF!</definedName>
    <definedName name="ㅅㅇㅎ옹홍ㅇ" localSheetId="28">#REF!</definedName>
    <definedName name="ㅅㅇㅎ옹홍ㅇ" localSheetId="30">#REF!</definedName>
    <definedName name="ㅅㅇㅎ옹홍ㅇ" localSheetId="42">#REF!</definedName>
    <definedName name="ㅅㅇㅎ옹홍ㅇ" localSheetId="41">#REF!</definedName>
    <definedName name="ㅅㅇㅎ옹홍ㅇ" localSheetId="44">#REF!</definedName>
    <definedName name="ㅅㅇㅎ옹홍ㅇ" localSheetId="43">#REF!</definedName>
    <definedName name="ㅅㅇㅎ옹홍ㅇ">#REF!</definedName>
    <definedName name="사모분류1">[9]사모사채분류!$B$8:$F$10</definedName>
    <definedName name="사모분류2">[9]사모사채분류!$B$12:$F$17</definedName>
    <definedName name="사모분류3">[9]사모사채분류!$B$19:$F$26</definedName>
    <definedName name="사모분류4">[9]사모사채분류!$B$28:$F$29</definedName>
    <definedName name="수익증권1" localSheetId="10">#REF!</definedName>
    <definedName name="수익증권1" localSheetId="12">#REF!</definedName>
    <definedName name="수익증권1" localSheetId="16">#REF!</definedName>
    <definedName name="수익증권1" localSheetId="24">#REF!</definedName>
    <definedName name="수익증권1" localSheetId="26">#REF!</definedName>
    <definedName name="수익증권1" localSheetId="18">#REF!</definedName>
    <definedName name="수익증권1" localSheetId="4">#REF!</definedName>
    <definedName name="수익증권1" localSheetId="28">#REF!</definedName>
    <definedName name="수익증권1" localSheetId="30">#REF!</definedName>
    <definedName name="수익증권1" localSheetId="42">#REF!</definedName>
    <definedName name="수익증권1" localSheetId="41">#REF!</definedName>
    <definedName name="수익증권1" localSheetId="44">#REF!</definedName>
    <definedName name="수익증권1" localSheetId="43">#REF!</definedName>
    <definedName name="수익증권1">#REF!</definedName>
    <definedName name="수익증권2" localSheetId="10">#REF!</definedName>
    <definedName name="수익증권2" localSheetId="12">#REF!</definedName>
    <definedName name="수익증권2" localSheetId="16">#REF!</definedName>
    <definedName name="수익증권2" localSheetId="24">#REF!</definedName>
    <definedName name="수익증권2" localSheetId="26">#REF!</definedName>
    <definedName name="수익증권2" localSheetId="18">#REF!</definedName>
    <definedName name="수익증권2" localSheetId="4">#REF!</definedName>
    <definedName name="수익증권2" localSheetId="28">#REF!</definedName>
    <definedName name="수익증권2" localSheetId="30">#REF!</definedName>
    <definedName name="수익증권2" localSheetId="42">#REF!</definedName>
    <definedName name="수익증권2" localSheetId="41">#REF!</definedName>
    <definedName name="수익증권2" localSheetId="44">#REF!</definedName>
    <definedName name="수익증권2" localSheetId="43">#REF!</definedName>
    <definedName name="수익증권2">#REF!</definedName>
    <definedName name="수익증권3" localSheetId="10">#REF!</definedName>
    <definedName name="수익증권3" localSheetId="12">#REF!</definedName>
    <definedName name="수익증권3" localSheetId="16">#REF!</definedName>
    <definedName name="수익증권3" localSheetId="24">#REF!</definedName>
    <definedName name="수익증권3" localSheetId="26">#REF!</definedName>
    <definedName name="수익증권3" localSheetId="18">#REF!</definedName>
    <definedName name="수익증권3" localSheetId="4">#REF!</definedName>
    <definedName name="수익증권3" localSheetId="28">#REF!</definedName>
    <definedName name="수익증권3" localSheetId="30">#REF!</definedName>
    <definedName name="수익증권3" localSheetId="42">#REF!</definedName>
    <definedName name="수익증권3" localSheetId="41">#REF!</definedName>
    <definedName name="수익증권3" localSheetId="44">#REF!</definedName>
    <definedName name="수익증권3" localSheetId="43">#REF!</definedName>
    <definedName name="수익증권3">#REF!</definedName>
    <definedName name="수익증권4" localSheetId="10">#REF!</definedName>
    <definedName name="수익증권4" localSheetId="12">#REF!</definedName>
    <definedName name="수익증권4" localSheetId="16">#REF!</definedName>
    <definedName name="수익증권4" localSheetId="24">#REF!</definedName>
    <definedName name="수익증권4" localSheetId="26">#REF!</definedName>
    <definedName name="수익증권4" localSheetId="18">#REF!</definedName>
    <definedName name="수익증권4" localSheetId="4">#REF!</definedName>
    <definedName name="수익증권4" localSheetId="28">#REF!</definedName>
    <definedName name="수익증권4" localSheetId="30">#REF!</definedName>
    <definedName name="수익증권4">#REF!</definedName>
    <definedName name="수익증권5" localSheetId="10">#REF!</definedName>
    <definedName name="수익증권5" localSheetId="12">#REF!</definedName>
    <definedName name="수익증권5" localSheetId="16">#REF!</definedName>
    <definedName name="수익증권5" localSheetId="24">#REF!</definedName>
    <definedName name="수익증권5" localSheetId="26">#REF!</definedName>
    <definedName name="수익증권5" localSheetId="18">#REF!</definedName>
    <definedName name="수익증권5" localSheetId="4">#REF!</definedName>
    <definedName name="수익증권5" localSheetId="28">#REF!</definedName>
    <definedName name="수익증권5" localSheetId="30">#REF!</definedName>
    <definedName name="수익증권5">#REF!</definedName>
    <definedName name="수익증권6" localSheetId="10">#REF!</definedName>
    <definedName name="수익증권6" localSheetId="12">#REF!</definedName>
    <definedName name="수익증권6" localSheetId="16">#REF!</definedName>
    <definedName name="수익증권6" localSheetId="24">#REF!</definedName>
    <definedName name="수익증권6" localSheetId="26">#REF!</definedName>
    <definedName name="수익증권6" localSheetId="18">#REF!</definedName>
    <definedName name="수익증권6" localSheetId="4">#REF!</definedName>
    <definedName name="수익증권6" localSheetId="28">#REF!</definedName>
    <definedName name="수익증권6" localSheetId="30">#REF!</definedName>
    <definedName name="수익증권6">#REF!</definedName>
    <definedName name="수익증권7" localSheetId="10">#REF!</definedName>
    <definedName name="수익증권7" localSheetId="12">#REF!</definedName>
    <definedName name="수익증권7" localSheetId="16">#REF!</definedName>
    <definedName name="수익증권7" localSheetId="24">#REF!</definedName>
    <definedName name="수익증권7" localSheetId="26">#REF!</definedName>
    <definedName name="수익증권7" localSheetId="18">#REF!</definedName>
    <definedName name="수익증권7" localSheetId="4">#REF!</definedName>
    <definedName name="수익증권7" localSheetId="28">#REF!</definedName>
    <definedName name="수익증권7" localSheetId="30">#REF!</definedName>
    <definedName name="수익증권7">#REF!</definedName>
    <definedName name="수익증권8" localSheetId="10">#REF!</definedName>
    <definedName name="수익증권8" localSheetId="12">#REF!</definedName>
    <definedName name="수익증권8" localSheetId="16">#REF!</definedName>
    <definedName name="수익증권8" localSheetId="24">#REF!</definedName>
    <definedName name="수익증권8" localSheetId="26">#REF!</definedName>
    <definedName name="수익증권8" localSheetId="18">#REF!</definedName>
    <definedName name="수익증권8" localSheetId="4">#REF!</definedName>
    <definedName name="수익증권8" localSheetId="28">#REF!</definedName>
    <definedName name="수익증권8" localSheetId="30">#REF!</definedName>
    <definedName name="수익증권8">#REF!</definedName>
    <definedName name="수탁만기1" localSheetId="10">#REF!</definedName>
    <definedName name="수탁만기1" localSheetId="12">#REF!</definedName>
    <definedName name="수탁만기1" localSheetId="16">#REF!</definedName>
    <definedName name="수탁만기1" localSheetId="24">#REF!</definedName>
    <definedName name="수탁만기1" localSheetId="26">#REF!</definedName>
    <definedName name="수탁만기1" localSheetId="18">#REF!</definedName>
    <definedName name="수탁만기1" localSheetId="4">#REF!</definedName>
    <definedName name="수탁만기1" localSheetId="28">#REF!</definedName>
    <definedName name="수탁만기1" localSheetId="30">#REF!</definedName>
    <definedName name="수탁만기1">#REF!</definedName>
    <definedName name="수탁만기2" localSheetId="10">#REF!</definedName>
    <definedName name="수탁만기2" localSheetId="12">#REF!</definedName>
    <definedName name="수탁만기2" localSheetId="16">#REF!</definedName>
    <definedName name="수탁만기2" localSheetId="24">#REF!</definedName>
    <definedName name="수탁만기2" localSheetId="26">#REF!</definedName>
    <definedName name="수탁만기2" localSheetId="18">#REF!</definedName>
    <definedName name="수탁만기2" localSheetId="4">#REF!</definedName>
    <definedName name="수탁만기2" localSheetId="28">#REF!</definedName>
    <definedName name="수탁만기2" localSheetId="30">#REF!</definedName>
    <definedName name="수탁만기2">#REF!</definedName>
    <definedName name="수탁만기3" localSheetId="10">#REF!</definedName>
    <definedName name="수탁만기3" localSheetId="12">#REF!</definedName>
    <definedName name="수탁만기3" localSheetId="16">#REF!</definedName>
    <definedName name="수탁만기3" localSheetId="24">#REF!</definedName>
    <definedName name="수탁만기3" localSheetId="26">#REF!</definedName>
    <definedName name="수탁만기3" localSheetId="18">#REF!</definedName>
    <definedName name="수탁만기3" localSheetId="4">#REF!</definedName>
    <definedName name="수탁만기3" localSheetId="28">#REF!</definedName>
    <definedName name="수탁만기3" localSheetId="30">#REF!</definedName>
    <definedName name="수탁만기3">#REF!</definedName>
    <definedName name="수탁만기4" localSheetId="10">'[8]만기현황(금전신탁)'!#REF!</definedName>
    <definedName name="수탁만기4" localSheetId="12">'[8]만기현황(금전신탁)'!#REF!</definedName>
    <definedName name="수탁만기4" localSheetId="16">'[8]만기현황(금전신탁)'!#REF!</definedName>
    <definedName name="수탁만기4" localSheetId="24">'[8]만기현황(금전신탁)'!#REF!</definedName>
    <definedName name="수탁만기4" localSheetId="26">'[8]만기현황(금전신탁)'!#REF!</definedName>
    <definedName name="수탁만기4" localSheetId="18">'[8]만기현황(금전신탁)'!#REF!</definedName>
    <definedName name="수탁만기4" localSheetId="4">'[8]만기현황(금전신탁)'!#REF!</definedName>
    <definedName name="수탁만기4" localSheetId="28">'[8]만기현황(금전신탁)'!#REF!</definedName>
    <definedName name="수탁만기4" localSheetId="30">'[8]만기현황(금전신탁)'!#REF!</definedName>
    <definedName name="수탁만기4">'[8]만기현황(금전신탁)'!#REF!</definedName>
    <definedName name="ㅇ" localSheetId="10">#REF!</definedName>
    <definedName name="ㅇ" localSheetId="12">#REF!</definedName>
    <definedName name="ㅇ" localSheetId="16">#REF!</definedName>
    <definedName name="ㅇ" localSheetId="24">#REF!</definedName>
    <definedName name="ㅇ" localSheetId="26">#REF!</definedName>
    <definedName name="ㅇ" localSheetId="18">#REF!</definedName>
    <definedName name="ㅇ" localSheetId="4">#REF!</definedName>
    <definedName name="ㅇ" localSheetId="28">#REF!</definedName>
    <definedName name="ㅇ" localSheetId="30">#REF!</definedName>
    <definedName name="ㅇ" localSheetId="42">#REF!</definedName>
    <definedName name="ㅇ" localSheetId="41">#REF!</definedName>
    <definedName name="ㅇ" localSheetId="44">#REF!</definedName>
    <definedName name="ㅇ" localSheetId="43">#REF!</definedName>
    <definedName name="ㅇ">#REF!</definedName>
    <definedName name="ㅇㅇ" localSheetId="10">#REF!</definedName>
    <definedName name="ㅇㅇ" localSheetId="12">#REF!</definedName>
    <definedName name="ㅇㅇ" localSheetId="16">#REF!</definedName>
    <definedName name="ㅇㅇ" localSheetId="24">#REF!</definedName>
    <definedName name="ㅇㅇ" localSheetId="26">#REF!</definedName>
    <definedName name="ㅇㅇ" localSheetId="18">#REF!</definedName>
    <definedName name="ㅇㅇ" localSheetId="4">#REF!</definedName>
    <definedName name="ㅇㅇ" localSheetId="28">#REF!</definedName>
    <definedName name="ㅇㅇ" localSheetId="30">#REF!</definedName>
    <definedName name="ㅇㅇ" localSheetId="42">#REF!</definedName>
    <definedName name="ㅇㅇ" localSheetId="41">#REF!</definedName>
    <definedName name="ㅇㅇ" localSheetId="44">#REF!</definedName>
    <definedName name="ㅇㅇ" localSheetId="43">#REF!</definedName>
    <definedName name="ㅇㅇ">#REF!</definedName>
    <definedName name="유가분류1" localSheetId="10">#REF!</definedName>
    <definedName name="유가분류1" localSheetId="12">#REF!</definedName>
    <definedName name="유가분류1" localSheetId="16">#REF!</definedName>
    <definedName name="유가분류1" localSheetId="24">#REF!</definedName>
    <definedName name="유가분류1" localSheetId="26">#REF!</definedName>
    <definedName name="유가분류1" localSheetId="18">#REF!</definedName>
    <definedName name="유가분류1" localSheetId="4">#REF!</definedName>
    <definedName name="유가분류1" localSheetId="28">#REF!</definedName>
    <definedName name="유가분류1" localSheetId="30">#REF!</definedName>
    <definedName name="유가분류1" localSheetId="42">#REF!</definedName>
    <definedName name="유가분류1" localSheetId="41">#REF!</definedName>
    <definedName name="유가분류1" localSheetId="44">#REF!</definedName>
    <definedName name="유가분류1" localSheetId="43">#REF!</definedName>
    <definedName name="유가분류1">#REF!</definedName>
    <definedName name="유가분류2" localSheetId="10">#REF!</definedName>
    <definedName name="유가분류2" localSheetId="12">#REF!</definedName>
    <definedName name="유가분류2" localSheetId="16">#REF!</definedName>
    <definedName name="유가분류2" localSheetId="24">#REF!</definedName>
    <definedName name="유가분류2" localSheetId="26">#REF!</definedName>
    <definedName name="유가분류2" localSheetId="18">#REF!</definedName>
    <definedName name="유가분류2" localSheetId="4">#REF!</definedName>
    <definedName name="유가분류2" localSheetId="28">#REF!</definedName>
    <definedName name="유가분류2" localSheetId="30">#REF!</definedName>
    <definedName name="유가분류2">#REF!</definedName>
    <definedName name="유가분류3" localSheetId="10">#REF!</definedName>
    <definedName name="유가분류3" localSheetId="12">#REF!</definedName>
    <definedName name="유가분류3" localSheetId="16">#REF!</definedName>
    <definedName name="유가분류3" localSheetId="24">#REF!</definedName>
    <definedName name="유가분류3" localSheetId="26">#REF!</definedName>
    <definedName name="유가분류3" localSheetId="18">#REF!</definedName>
    <definedName name="유가분류3" localSheetId="4">#REF!</definedName>
    <definedName name="유가분류3" localSheetId="28">#REF!</definedName>
    <definedName name="유가분류3" localSheetId="30">#REF!</definedName>
    <definedName name="유가분류3">#REF!</definedName>
    <definedName name="유가분류4" localSheetId="10">#REF!</definedName>
    <definedName name="유가분류4" localSheetId="12">#REF!</definedName>
    <definedName name="유가분류4" localSheetId="16">#REF!</definedName>
    <definedName name="유가분류4" localSheetId="24">#REF!</definedName>
    <definedName name="유가분류4" localSheetId="26">#REF!</definedName>
    <definedName name="유가분류4" localSheetId="18">#REF!</definedName>
    <definedName name="유가분류4" localSheetId="4">#REF!</definedName>
    <definedName name="유가분류4" localSheetId="28">#REF!</definedName>
    <definedName name="유가분류4" localSheetId="30">#REF!</definedName>
    <definedName name="유가분류4">#REF!</definedName>
    <definedName name="작성주기" localSheetId="1">[4]공통속성!$C$2:$C$9</definedName>
    <definedName name="작성주기" localSheetId="0">[4]공통속성!$C$2:$C$9</definedName>
    <definedName name="작성주기">[4]공통속성!$C$2:$C$9</definedName>
    <definedName name="잔존만기" localSheetId="6">#REF!</definedName>
    <definedName name="잔존만기" localSheetId="5">#REF!</definedName>
    <definedName name="잔존만기" localSheetId="8">#REF!</definedName>
    <definedName name="잔존만기" localSheetId="7">#REF!</definedName>
    <definedName name="잔존만기" localSheetId="10">#REF!</definedName>
    <definedName name="잔존만기" localSheetId="9">#REF!</definedName>
    <definedName name="잔존만기" localSheetId="12">#REF!</definedName>
    <definedName name="잔존만기" localSheetId="11">#REF!</definedName>
    <definedName name="잔존만기" localSheetId="16">#REF!</definedName>
    <definedName name="잔존만기" localSheetId="20">#REF!</definedName>
    <definedName name="잔존만기" localSheetId="19">#REF!</definedName>
    <definedName name="잔존만기" localSheetId="22">#REF!</definedName>
    <definedName name="잔존만기" localSheetId="21">#REF!</definedName>
    <definedName name="잔존만기" localSheetId="24">#REF!</definedName>
    <definedName name="잔존만기" localSheetId="26">#REF!</definedName>
    <definedName name="잔존만기" localSheetId="32">#REF!</definedName>
    <definedName name="잔존만기" localSheetId="31">#REF!</definedName>
    <definedName name="잔존만기" localSheetId="18">#REF!</definedName>
    <definedName name="잔존만기" localSheetId="4">#REF!</definedName>
    <definedName name="잔존만기" localSheetId="3">#REF!</definedName>
    <definedName name="잔존만기" localSheetId="28">#REF!</definedName>
    <definedName name="잔존만기" localSheetId="30">#REF!</definedName>
    <definedName name="잔존만기" localSheetId="29">#REF!</definedName>
    <definedName name="잔존만기" localSheetId="14">#REF!</definedName>
    <definedName name="잔존만기" localSheetId="13">#REF!</definedName>
    <definedName name="잔존만기" localSheetId="1">#REF!</definedName>
    <definedName name="잔존만기" localSheetId="0">#REF!</definedName>
    <definedName name="잔존만기">#REF!</definedName>
    <definedName name="제출시기" localSheetId="1">[4]공통속성!$B$2:$B$3</definedName>
    <definedName name="제출시기" localSheetId="0">[4]공통속성!$B$2:$B$3</definedName>
    <definedName name="제출시기">[4]공통속성!$B$2:$B$3</definedName>
    <definedName name="조달운용1" localSheetId="10">#REF!</definedName>
    <definedName name="조달운용1" localSheetId="12">#REF!</definedName>
    <definedName name="조달운용1" localSheetId="16">#REF!</definedName>
    <definedName name="조달운용1" localSheetId="24">#REF!</definedName>
    <definedName name="조달운용1" localSheetId="26">#REF!</definedName>
    <definedName name="조달운용1" localSheetId="34">#REF!</definedName>
    <definedName name="조달운용1" localSheetId="33">#REF!</definedName>
    <definedName name="조달운용1" localSheetId="18">#REF!</definedName>
    <definedName name="조달운용1" localSheetId="4">#REF!</definedName>
    <definedName name="조달운용1" localSheetId="28">#REF!</definedName>
    <definedName name="조달운용1" localSheetId="30">#REF!</definedName>
    <definedName name="조달운용1" localSheetId="42">#REF!</definedName>
    <definedName name="조달운용1" localSheetId="41">#REF!</definedName>
    <definedName name="조달운용1" localSheetId="44">#REF!</definedName>
    <definedName name="조달운용1" localSheetId="43">#REF!</definedName>
    <definedName name="조달운용1">#REF!</definedName>
    <definedName name="조달운용10" localSheetId="10">[8]조달운용!#REF!</definedName>
    <definedName name="조달운용10" localSheetId="12">[8]조달운용!#REF!</definedName>
    <definedName name="조달운용10" localSheetId="16">[8]조달운용!#REF!</definedName>
    <definedName name="조달운용10" localSheetId="24">[8]조달운용!#REF!</definedName>
    <definedName name="조달운용10" localSheetId="26">[8]조달운용!#REF!</definedName>
    <definedName name="조달운용10" localSheetId="34">[8]조달운용!#REF!</definedName>
    <definedName name="조달운용10" localSheetId="33">[8]조달운용!#REF!</definedName>
    <definedName name="조달운용10" localSheetId="18">[8]조달운용!#REF!</definedName>
    <definedName name="조달운용10" localSheetId="4">[8]조달운용!#REF!</definedName>
    <definedName name="조달운용10" localSheetId="28">[8]조달운용!#REF!</definedName>
    <definedName name="조달운용10" localSheetId="30">[8]조달운용!#REF!</definedName>
    <definedName name="조달운용10" localSheetId="42">[8]조달운용!#REF!</definedName>
    <definedName name="조달운용10" localSheetId="41">[8]조달운용!#REF!</definedName>
    <definedName name="조달운용10" localSheetId="44">[8]조달운용!#REF!</definedName>
    <definedName name="조달운용10" localSheetId="43">[8]조달운용!#REF!</definedName>
    <definedName name="조달운용10">[8]조달운용!#REF!</definedName>
    <definedName name="조달운용11" localSheetId="10">[8]조달운용!#REF!</definedName>
    <definedName name="조달운용11" localSheetId="12">[8]조달운용!#REF!</definedName>
    <definedName name="조달운용11" localSheetId="16">[8]조달운용!#REF!</definedName>
    <definedName name="조달운용11" localSheetId="24">[8]조달운용!#REF!</definedName>
    <definedName name="조달운용11" localSheetId="26">[8]조달운용!#REF!</definedName>
    <definedName name="조달운용11" localSheetId="18">[8]조달운용!#REF!</definedName>
    <definedName name="조달운용11" localSheetId="4">[8]조달운용!#REF!</definedName>
    <definedName name="조달운용11" localSheetId="28">[8]조달운용!#REF!</definedName>
    <definedName name="조달운용11" localSheetId="30">[8]조달운용!#REF!</definedName>
    <definedName name="조달운용11" localSheetId="42">[8]조달운용!#REF!</definedName>
    <definedName name="조달운용11" localSheetId="41">[8]조달운용!#REF!</definedName>
    <definedName name="조달운용11" localSheetId="44">[8]조달운용!#REF!</definedName>
    <definedName name="조달운용11" localSheetId="43">[8]조달운용!#REF!</definedName>
    <definedName name="조달운용11">[8]조달운용!#REF!</definedName>
    <definedName name="조달운용12" localSheetId="10">#REF!</definedName>
    <definedName name="조달운용12" localSheetId="12">#REF!</definedName>
    <definedName name="조달운용12" localSheetId="16">#REF!</definedName>
    <definedName name="조달운용12" localSheetId="24">#REF!</definedName>
    <definedName name="조달운용12" localSheetId="26">#REF!</definedName>
    <definedName name="조달운용12" localSheetId="18">#REF!</definedName>
    <definedName name="조달운용12" localSheetId="4">#REF!</definedName>
    <definedName name="조달운용12" localSheetId="28">#REF!</definedName>
    <definedName name="조달운용12" localSheetId="30">#REF!</definedName>
    <definedName name="조달운용12" localSheetId="42">#REF!</definedName>
    <definedName name="조달운용12" localSheetId="41">#REF!</definedName>
    <definedName name="조달운용12" localSheetId="44">#REF!</definedName>
    <definedName name="조달운용12" localSheetId="43">#REF!</definedName>
    <definedName name="조달운용12">#REF!</definedName>
    <definedName name="조달운용2" localSheetId="10">#REF!</definedName>
    <definedName name="조달운용2" localSheetId="12">#REF!</definedName>
    <definedName name="조달운용2" localSheetId="16">#REF!</definedName>
    <definedName name="조달운용2" localSheetId="24">#REF!</definedName>
    <definedName name="조달운용2" localSheetId="26">#REF!</definedName>
    <definedName name="조달운용2" localSheetId="18">#REF!</definedName>
    <definedName name="조달운용2" localSheetId="4">#REF!</definedName>
    <definedName name="조달운용2" localSheetId="28">#REF!</definedName>
    <definedName name="조달운용2" localSheetId="30">#REF!</definedName>
    <definedName name="조달운용2" localSheetId="42">#REF!</definedName>
    <definedName name="조달운용2" localSheetId="41">#REF!</definedName>
    <definedName name="조달운용2" localSheetId="44">#REF!</definedName>
    <definedName name="조달운용2" localSheetId="43">#REF!</definedName>
    <definedName name="조달운용2">#REF!</definedName>
    <definedName name="조달운용3" localSheetId="10">#REF!</definedName>
    <definedName name="조달운용3" localSheetId="12">#REF!</definedName>
    <definedName name="조달운용3" localSheetId="16">#REF!</definedName>
    <definedName name="조달운용3" localSheetId="24">#REF!</definedName>
    <definedName name="조달운용3" localSheetId="26">#REF!</definedName>
    <definedName name="조달운용3" localSheetId="18">#REF!</definedName>
    <definedName name="조달운용3" localSheetId="4">#REF!</definedName>
    <definedName name="조달운용3" localSheetId="28">#REF!</definedName>
    <definedName name="조달운용3" localSheetId="30">#REF!</definedName>
    <definedName name="조달운용3" localSheetId="42">#REF!</definedName>
    <definedName name="조달운용3" localSheetId="41">#REF!</definedName>
    <definedName name="조달운용3" localSheetId="44">#REF!</definedName>
    <definedName name="조달운용3" localSheetId="43">#REF!</definedName>
    <definedName name="조달운용3">#REF!</definedName>
    <definedName name="조달운용4" localSheetId="10">#REF!</definedName>
    <definedName name="조달운용4" localSheetId="12">#REF!</definedName>
    <definedName name="조달운용4" localSheetId="16">#REF!</definedName>
    <definedName name="조달운용4" localSheetId="24">#REF!</definedName>
    <definedName name="조달운용4" localSheetId="26">#REF!</definedName>
    <definedName name="조달운용4" localSheetId="18">#REF!</definedName>
    <definedName name="조달운용4" localSheetId="4">#REF!</definedName>
    <definedName name="조달운용4" localSheetId="28">#REF!</definedName>
    <definedName name="조달운용4" localSheetId="30">#REF!</definedName>
    <definedName name="조달운용4">#REF!</definedName>
    <definedName name="조달운용5" localSheetId="10">#REF!</definedName>
    <definedName name="조달운용5" localSheetId="12">#REF!</definedName>
    <definedName name="조달운용5" localSheetId="16">#REF!</definedName>
    <definedName name="조달운용5" localSheetId="24">#REF!</definedName>
    <definedName name="조달운용5" localSheetId="26">#REF!</definedName>
    <definedName name="조달운용5" localSheetId="18">#REF!</definedName>
    <definedName name="조달운용5" localSheetId="4">#REF!</definedName>
    <definedName name="조달운용5" localSheetId="28">#REF!</definedName>
    <definedName name="조달운용5" localSheetId="30">#REF!</definedName>
    <definedName name="조달운용5">#REF!</definedName>
    <definedName name="조달운용6" localSheetId="10">#REF!</definedName>
    <definedName name="조달운용6" localSheetId="12">#REF!</definedName>
    <definedName name="조달운용6" localSheetId="16">#REF!</definedName>
    <definedName name="조달운용6" localSheetId="24">#REF!</definedName>
    <definedName name="조달운용6" localSheetId="26">#REF!</definedName>
    <definedName name="조달운용6" localSheetId="18">#REF!</definedName>
    <definedName name="조달운용6" localSheetId="4">#REF!</definedName>
    <definedName name="조달운용6" localSheetId="28">#REF!</definedName>
    <definedName name="조달운용6" localSheetId="30">#REF!</definedName>
    <definedName name="조달운용6">#REF!</definedName>
    <definedName name="조달운용7" localSheetId="10">#REF!</definedName>
    <definedName name="조달운용7" localSheetId="12">#REF!</definedName>
    <definedName name="조달운용7" localSheetId="16">#REF!</definedName>
    <definedName name="조달운용7" localSheetId="24">#REF!</definedName>
    <definedName name="조달운용7" localSheetId="26">#REF!</definedName>
    <definedName name="조달운용7" localSheetId="18">#REF!</definedName>
    <definedName name="조달운용7" localSheetId="4">#REF!</definedName>
    <definedName name="조달운용7" localSheetId="28">#REF!</definedName>
    <definedName name="조달운용7" localSheetId="30">#REF!</definedName>
    <definedName name="조달운용7">#REF!</definedName>
    <definedName name="조달운용8" localSheetId="10">#REF!</definedName>
    <definedName name="조달운용8" localSheetId="12">#REF!</definedName>
    <definedName name="조달운용8" localSheetId="16">#REF!</definedName>
    <definedName name="조달운용8" localSheetId="24">#REF!</definedName>
    <definedName name="조달운용8" localSheetId="26">#REF!</definedName>
    <definedName name="조달운용8" localSheetId="18">#REF!</definedName>
    <definedName name="조달운용8" localSheetId="4">#REF!</definedName>
    <definedName name="조달운용8" localSheetId="28">#REF!</definedName>
    <definedName name="조달운용8" localSheetId="30">#REF!</definedName>
    <definedName name="조달운용8">#REF!</definedName>
    <definedName name="조달운용9" localSheetId="10">[8]조달운용!#REF!</definedName>
    <definedName name="조달운용9" localSheetId="12">[8]조달운용!#REF!</definedName>
    <definedName name="조달운용9" localSheetId="16">[8]조달운용!#REF!</definedName>
    <definedName name="조달운용9" localSheetId="24">[8]조달운용!#REF!</definedName>
    <definedName name="조달운용9" localSheetId="26">[8]조달운용!#REF!</definedName>
    <definedName name="조달운용9" localSheetId="18">[8]조달운용!#REF!</definedName>
    <definedName name="조달운용9" localSheetId="4">[8]조달운용!#REF!</definedName>
    <definedName name="조달운용9" localSheetId="28">[8]조달운용!#REF!</definedName>
    <definedName name="조달운용9" localSheetId="30">[8]조달운용!#REF!</definedName>
    <definedName name="조달운용9">[8]조달운용!#REF!</definedName>
    <definedName name="종합수지1" localSheetId="10">#REF!</definedName>
    <definedName name="종합수지1" localSheetId="12">#REF!</definedName>
    <definedName name="종합수지1" localSheetId="16">#REF!</definedName>
    <definedName name="종합수지1" localSheetId="24">#REF!</definedName>
    <definedName name="종합수지1" localSheetId="26">#REF!</definedName>
    <definedName name="종합수지1" localSheetId="18">#REF!</definedName>
    <definedName name="종합수지1" localSheetId="4">#REF!</definedName>
    <definedName name="종합수지1" localSheetId="28">#REF!</definedName>
    <definedName name="종합수지1" localSheetId="30">#REF!</definedName>
    <definedName name="종합수지1" localSheetId="42">#REF!</definedName>
    <definedName name="종합수지1" localSheetId="41">#REF!</definedName>
    <definedName name="종합수지1" localSheetId="44">#REF!</definedName>
    <definedName name="종합수지1" localSheetId="43">#REF!</definedName>
    <definedName name="종합수지1">#REF!</definedName>
    <definedName name="종합수지2" localSheetId="10">#REF!</definedName>
    <definedName name="종합수지2" localSheetId="12">#REF!</definedName>
    <definedName name="종합수지2" localSheetId="16">#REF!</definedName>
    <definedName name="종합수지2" localSheetId="24">#REF!</definedName>
    <definedName name="종합수지2" localSheetId="26">#REF!</definedName>
    <definedName name="종합수지2" localSheetId="18">#REF!</definedName>
    <definedName name="종합수지2" localSheetId="4">#REF!</definedName>
    <definedName name="종합수지2" localSheetId="28">#REF!</definedName>
    <definedName name="종합수지2" localSheetId="30">#REF!</definedName>
    <definedName name="종합수지2" localSheetId="42">#REF!</definedName>
    <definedName name="종합수지2" localSheetId="41">#REF!</definedName>
    <definedName name="종합수지2" localSheetId="44">#REF!</definedName>
    <definedName name="종합수지2" localSheetId="43">#REF!</definedName>
    <definedName name="종합수지2">#REF!</definedName>
    <definedName name="종합수지3" localSheetId="10">#REF!</definedName>
    <definedName name="종합수지3" localSheetId="12">#REF!</definedName>
    <definedName name="종합수지3" localSheetId="16">#REF!</definedName>
    <definedName name="종합수지3" localSheetId="24">#REF!</definedName>
    <definedName name="종합수지3" localSheetId="26">#REF!</definedName>
    <definedName name="종합수지3" localSheetId="18">#REF!</definedName>
    <definedName name="종합수지3" localSheetId="4">#REF!</definedName>
    <definedName name="종합수지3" localSheetId="28">#REF!</definedName>
    <definedName name="종합수지3" localSheetId="30">#REF!</definedName>
    <definedName name="종합수지3" localSheetId="42">#REF!</definedName>
    <definedName name="종합수지3" localSheetId="41">#REF!</definedName>
    <definedName name="종합수지3" localSheetId="44">#REF!</definedName>
    <definedName name="종합수지3" localSheetId="43">#REF!</definedName>
    <definedName name="종합수지3">#REF!</definedName>
    <definedName name="종합수지4" localSheetId="10">'[8]종합수지(금전신탁)'!#REF!</definedName>
    <definedName name="종합수지4" localSheetId="12">'[8]종합수지(금전신탁)'!#REF!</definedName>
    <definedName name="종합수지4" localSheetId="16">'[8]종합수지(금전신탁)'!#REF!</definedName>
    <definedName name="종합수지4" localSheetId="24">'[8]종합수지(금전신탁)'!#REF!</definedName>
    <definedName name="종합수지4" localSheetId="26">'[8]종합수지(금전신탁)'!#REF!</definedName>
    <definedName name="종합수지4" localSheetId="18">'[8]종합수지(금전신탁)'!#REF!</definedName>
    <definedName name="종합수지4" localSheetId="4">'[8]종합수지(금전신탁)'!#REF!</definedName>
    <definedName name="종합수지4" localSheetId="28">'[8]종합수지(금전신탁)'!#REF!</definedName>
    <definedName name="종합수지4" localSheetId="30">'[8]종합수지(금전신탁)'!#REF!</definedName>
    <definedName name="종합수지4" localSheetId="42">'[8]종합수지(금전신탁)'!#REF!</definedName>
    <definedName name="종합수지4" localSheetId="41">'[8]종합수지(금전신탁)'!#REF!</definedName>
    <definedName name="종합수지4" localSheetId="44">'[8]종합수지(금전신탁)'!#REF!</definedName>
    <definedName name="종합수지4" localSheetId="43">'[8]종합수지(금전신탁)'!#REF!</definedName>
    <definedName name="종합수지4">'[8]종합수지(금전신탁)'!#REF!</definedName>
    <definedName name="주식1" localSheetId="10">#REF!</definedName>
    <definedName name="주식1" localSheetId="12">#REF!</definedName>
    <definedName name="주식1" localSheetId="16">#REF!</definedName>
    <definedName name="주식1" localSheetId="24">#REF!</definedName>
    <definedName name="주식1" localSheetId="26">#REF!</definedName>
    <definedName name="주식1" localSheetId="18">#REF!</definedName>
    <definedName name="주식1" localSheetId="4">#REF!</definedName>
    <definedName name="주식1" localSheetId="28">#REF!</definedName>
    <definedName name="주식1" localSheetId="30">#REF!</definedName>
    <definedName name="주식1" localSheetId="42">#REF!</definedName>
    <definedName name="주식1" localSheetId="41">#REF!</definedName>
    <definedName name="주식1" localSheetId="44">#REF!</definedName>
    <definedName name="주식1" localSheetId="43">#REF!</definedName>
    <definedName name="주식1">#REF!</definedName>
    <definedName name="주식2" localSheetId="10">#REF!</definedName>
    <definedName name="주식2" localSheetId="12">#REF!</definedName>
    <definedName name="주식2" localSheetId="16">#REF!</definedName>
    <definedName name="주식2" localSheetId="24">#REF!</definedName>
    <definedName name="주식2" localSheetId="26">#REF!</definedName>
    <definedName name="주식2" localSheetId="18">#REF!</definedName>
    <definedName name="주식2" localSheetId="4">#REF!</definedName>
    <definedName name="주식2" localSheetId="28">#REF!</definedName>
    <definedName name="주식2" localSheetId="30">#REF!</definedName>
    <definedName name="주식2" localSheetId="42">#REF!</definedName>
    <definedName name="주식2" localSheetId="41">#REF!</definedName>
    <definedName name="주식2" localSheetId="44">#REF!</definedName>
    <definedName name="주식2" localSheetId="43">#REF!</definedName>
    <definedName name="주식2">#REF!</definedName>
    <definedName name="주식3" localSheetId="10">#REF!</definedName>
    <definedName name="주식3" localSheetId="12">#REF!</definedName>
    <definedName name="주식3" localSheetId="16">#REF!</definedName>
    <definedName name="주식3" localSheetId="24">#REF!</definedName>
    <definedName name="주식3" localSheetId="26">#REF!</definedName>
    <definedName name="주식3" localSheetId="18">#REF!</definedName>
    <definedName name="주식3" localSheetId="4">#REF!</definedName>
    <definedName name="주식3" localSheetId="28">#REF!</definedName>
    <definedName name="주식3" localSheetId="30">#REF!</definedName>
    <definedName name="주식3" localSheetId="42">#REF!</definedName>
    <definedName name="주식3" localSheetId="41">#REF!</definedName>
    <definedName name="주식3" localSheetId="44">#REF!</definedName>
    <definedName name="주식3" localSheetId="43">#REF!</definedName>
    <definedName name="주식3">#REF!</definedName>
    <definedName name="주식4" localSheetId="10">#REF!</definedName>
    <definedName name="주식4" localSheetId="12">#REF!</definedName>
    <definedName name="주식4" localSheetId="16">#REF!</definedName>
    <definedName name="주식4" localSheetId="24">#REF!</definedName>
    <definedName name="주식4" localSheetId="26">#REF!</definedName>
    <definedName name="주식4" localSheetId="18">#REF!</definedName>
    <definedName name="주식4" localSheetId="4">#REF!</definedName>
    <definedName name="주식4" localSheetId="28">#REF!</definedName>
    <definedName name="주식4" localSheetId="30">#REF!</definedName>
    <definedName name="주식4">#REF!</definedName>
    <definedName name="주식5" localSheetId="10">#REF!</definedName>
    <definedName name="주식5" localSheetId="12">#REF!</definedName>
    <definedName name="주식5" localSheetId="16">#REF!</definedName>
    <definedName name="주식5" localSheetId="24">#REF!</definedName>
    <definedName name="주식5" localSheetId="26">#REF!</definedName>
    <definedName name="주식5" localSheetId="18">#REF!</definedName>
    <definedName name="주식5" localSheetId="4">#REF!</definedName>
    <definedName name="주식5" localSheetId="28">#REF!</definedName>
    <definedName name="주식5" localSheetId="30">#REF!</definedName>
    <definedName name="주식5">#REF!</definedName>
    <definedName name="주식6" localSheetId="10">#REF!</definedName>
    <definedName name="주식6" localSheetId="12">#REF!</definedName>
    <definedName name="주식6" localSheetId="16">#REF!</definedName>
    <definedName name="주식6" localSheetId="24">#REF!</definedName>
    <definedName name="주식6" localSheetId="26">#REF!</definedName>
    <definedName name="주식6" localSheetId="18">#REF!</definedName>
    <definedName name="주식6" localSheetId="4">#REF!</definedName>
    <definedName name="주식6" localSheetId="28">#REF!</definedName>
    <definedName name="주식6" localSheetId="30">#REF!</definedName>
    <definedName name="주식6">#REF!</definedName>
    <definedName name="주식7" localSheetId="10">#REF!</definedName>
    <definedName name="주식7" localSheetId="12">#REF!</definedName>
    <definedName name="주식7" localSheetId="16">#REF!</definedName>
    <definedName name="주식7" localSheetId="24">#REF!</definedName>
    <definedName name="주식7" localSheetId="26">#REF!</definedName>
    <definedName name="주식7" localSheetId="18">#REF!</definedName>
    <definedName name="주식7" localSheetId="4">#REF!</definedName>
    <definedName name="주식7" localSheetId="28">#REF!</definedName>
    <definedName name="주식7" localSheetId="30">#REF!</definedName>
    <definedName name="주식7">#REF!</definedName>
    <definedName name="주식8" localSheetId="10">#REF!</definedName>
    <definedName name="주식8" localSheetId="12">#REF!</definedName>
    <definedName name="주식8" localSheetId="16">#REF!</definedName>
    <definedName name="주식8" localSheetId="24">#REF!</definedName>
    <definedName name="주식8" localSheetId="26">#REF!</definedName>
    <definedName name="주식8" localSheetId="18">#REF!</definedName>
    <definedName name="주식8" localSheetId="4">#REF!</definedName>
    <definedName name="주식8" localSheetId="28">#REF!</definedName>
    <definedName name="주식8" localSheetId="30">#REF!</definedName>
    <definedName name="주식8">#REF!</definedName>
    <definedName name="주식한도1" localSheetId="10">#REF!</definedName>
    <definedName name="주식한도1" localSheetId="12">#REF!</definedName>
    <definedName name="주식한도1" localSheetId="16">#REF!</definedName>
    <definedName name="주식한도1" localSheetId="24">#REF!</definedName>
    <definedName name="주식한도1" localSheetId="26">#REF!</definedName>
    <definedName name="주식한도1" localSheetId="18">#REF!</definedName>
    <definedName name="주식한도1" localSheetId="4">#REF!</definedName>
    <definedName name="주식한도1" localSheetId="28">#REF!</definedName>
    <definedName name="주식한도1" localSheetId="30">#REF!</definedName>
    <definedName name="주식한도1">#REF!</definedName>
    <definedName name="주식한도2" localSheetId="10">#REF!</definedName>
    <definedName name="주식한도2" localSheetId="12">#REF!</definedName>
    <definedName name="주식한도2" localSheetId="16">#REF!</definedName>
    <definedName name="주식한도2" localSheetId="24">#REF!</definedName>
    <definedName name="주식한도2" localSheetId="26">#REF!</definedName>
    <definedName name="주식한도2" localSheetId="18">#REF!</definedName>
    <definedName name="주식한도2" localSheetId="4">#REF!</definedName>
    <definedName name="주식한도2" localSheetId="28">#REF!</definedName>
    <definedName name="주식한도2" localSheetId="30">#REF!</definedName>
    <definedName name="주식한도2">#REF!</definedName>
    <definedName name="주식한도3" localSheetId="10">#REF!</definedName>
    <definedName name="주식한도3" localSheetId="12">#REF!</definedName>
    <definedName name="주식한도3" localSheetId="16">#REF!</definedName>
    <definedName name="주식한도3" localSheetId="24">#REF!</definedName>
    <definedName name="주식한도3" localSheetId="26">#REF!</definedName>
    <definedName name="주식한도3" localSheetId="18">#REF!</definedName>
    <definedName name="주식한도3" localSheetId="4">#REF!</definedName>
    <definedName name="주식한도3" localSheetId="28">#REF!</definedName>
    <definedName name="주식한도3" localSheetId="30">#REF!</definedName>
    <definedName name="주식한도3">#REF!</definedName>
    <definedName name="주식한도4" localSheetId="10">#REF!</definedName>
    <definedName name="주식한도4" localSheetId="12">#REF!</definedName>
    <definedName name="주식한도4" localSheetId="16">#REF!</definedName>
    <definedName name="주식한도4" localSheetId="24">#REF!</definedName>
    <definedName name="주식한도4" localSheetId="26">#REF!</definedName>
    <definedName name="주식한도4" localSheetId="18">#REF!</definedName>
    <definedName name="주식한도4" localSheetId="4">#REF!</definedName>
    <definedName name="주식한도4" localSheetId="28">#REF!</definedName>
    <definedName name="주식한도4" localSheetId="30">#REF!</definedName>
    <definedName name="주식한도4">#REF!</definedName>
    <definedName name="주식한도5" localSheetId="10">'[8]한도관리(3)'!#REF!</definedName>
    <definedName name="주식한도5" localSheetId="12">'[8]한도관리(3)'!#REF!</definedName>
    <definedName name="주식한도5" localSheetId="16">'[8]한도관리(3)'!#REF!</definedName>
    <definedName name="주식한도5" localSheetId="24">'[8]한도관리(3)'!#REF!</definedName>
    <definedName name="주식한도5" localSheetId="26">'[8]한도관리(3)'!#REF!</definedName>
    <definedName name="주식한도5" localSheetId="18">'[8]한도관리(3)'!#REF!</definedName>
    <definedName name="주식한도5" localSheetId="4">'[8]한도관리(3)'!#REF!</definedName>
    <definedName name="주식한도5" localSheetId="28">'[8]한도관리(3)'!#REF!</definedName>
    <definedName name="주식한도5" localSheetId="30">'[8]한도관리(3)'!#REF!</definedName>
    <definedName name="주식한도5">'[8]한도관리(3)'!#REF!</definedName>
    <definedName name="주식한도6" localSheetId="10">'[8]한도관리(3)'!#REF!</definedName>
    <definedName name="주식한도6" localSheetId="12">'[8]한도관리(3)'!#REF!</definedName>
    <definedName name="주식한도6" localSheetId="16">'[8]한도관리(3)'!#REF!</definedName>
    <definedName name="주식한도6" localSheetId="24">'[8]한도관리(3)'!#REF!</definedName>
    <definedName name="주식한도6" localSheetId="26">'[8]한도관리(3)'!#REF!</definedName>
    <definedName name="주식한도6" localSheetId="18">'[8]한도관리(3)'!#REF!</definedName>
    <definedName name="주식한도6" localSheetId="4">'[8]한도관리(3)'!#REF!</definedName>
    <definedName name="주식한도6" localSheetId="28">'[8]한도관리(3)'!#REF!</definedName>
    <definedName name="주식한도6" localSheetId="30">'[8]한도관리(3)'!#REF!</definedName>
    <definedName name="주식한도6">'[8]한도관리(3)'!#REF!</definedName>
    <definedName name="주식한도7" localSheetId="10">'[8]한도관리(3)'!#REF!</definedName>
    <definedName name="주식한도7" localSheetId="12">'[8]한도관리(3)'!#REF!</definedName>
    <definedName name="주식한도7" localSheetId="16">'[8]한도관리(3)'!#REF!</definedName>
    <definedName name="주식한도7" localSheetId="24">'[8]한도관리(3)'!#REF!</definedName>
    <definedName name="주식한도7" localSheetId="26">'[8]한도관리(3)'!#REF!</definedName>
    <definedName name="주식한도7" localSheetId="18">'[8]한도관리(3)'!#REF!</definedName>
    <definedName name="주식한도7" localSheetId="4">'[8]한도관리(3)'!#REF!</definedName>
    <definedName name="주식한도7" localSheetId="28">'[8]한도관리(3)'!#REF!</definedName>
    <definedName name="주식한도7" localSheetId="30">'[8]한도관리(3)'!#REF!</definedName>
    <definedName name="주식한도7">'[8]한도관리(3)'!#REF!</definedName>
    <definedName name="주식한도8" localSheetId="10">'[8]한도관리(3)'!#REF!</definedName>
    <definedName name="주식한도8" localSheetId="12">'[8]한도관리(3)'!#REF!</definedName>
    <definedName name="주식한도8" localSheetId="16">'[8]한도관리(3)'!#REF!</definedName>
    <definedName name="주식한도8" localSheetId="24">'[8]한도관리(3)'!#REF!</definedName>
    <definedName name="주식한도8" localSheetId="26">'[8]한도관리(3)'!#REF!</definedName>
    <definedName name="주식한도8" localSheetId="18">'[8]한도관리(3)'!#REF!</definedName>
    <definedName name="주식한도8" localSheetId="4">'[8]한도관리(3)'!#REF!</definedName>
    <definedName name="주식한도8" localSheetId="28">'[8]한도관리(3)'!#REF!</definedName>
    <definedName name="주식한도8" localSheetId="30">'[8]한도관리(3)'!#REF!</definedName>
    <definedName name="주식한도8">'[8]한도관리(3)'!#REF!</definedName>
    <definedName name="채권상각11" localSheetId="10">[8]채권평가충당금!#REF!</definedName>
    <definedName name="채권상각11" localSheetId="12">[8]채권평가충당금!#REF!</definedName>
    <definedName name="채권상각11" localSheetId="16">[8]채권평가충당금!#REF!</definedName>
    <definedName name="채권상각11" localSheetId="24">[8]채권평가충당금!#REF!</definedName>
    <definedName name="채권상각11" localSheetId="26">[8]채권평가충당금!#REF!</definedName>
    <definedName name="채권상각11" localSheetId="18">[8]채권평가충당금!#REF!</definedName>
    <definedName name="채권상각11" localSheetId="4">[8]채권평가충당금!#REF!</definedName>
    <definedName name="채권상각11" localSheetId="28">[8]채권평가충당금!#REF!</definedName>
    <definedName name="채권상각11" localSheetId="30">[8]채권평가충당금!#REF!</definedName>
    <definedName name="채권상각11">[8]채권평가충당금!#REF!</definedName>
    <definedName name="채권상각4" localSheetId="10">[8]채권평가충당금!#REF!</definedName>
    <definedName name="채권상각4" localSheetId="12">[8]채권평가충당금!#REF!</definedName>
    <definedName name="채권상각4" localSheetId="16">[8]채권평가충당금!#REF!</definedName>
    <definedName name="채권상각4" localSheetId="24">[8]채권평가충당금!#REF!</definedName>
    <definedName name="채권상각4" localSheetId="26">[8]채권평가충당금!#REF!</definedName>
    <definedName name="채권상각4" localSheetId="18">[8]채권평가충당금!#REF!</definedName>
    <definedName name="채권상각4" localSheetId="4">[8]채권평가충당금!#REF!</definedName>
    <definedName name="채권상각4" localSheetId="28">[8]채권평가충당금!#REF!</definedName>
    <definedName name="채권상각4" localSheetId="30">[8]채권평가충당금!#REF!</definedName>
    <definedName name="채권상각4">[8]채권평가충당금!#REF!</definedName>
    <definedName name="채권상각8" localSheetId="10">[8]채권평가충당금!#REF!</definedName>
    <definedName name="채권상각8" localSheetId="12">[8]채권평가충당금!#REF!</definedName>
    <definedName name="채권상각8" localSheetId="16">[8]채권평가충당금!#REF!</definedName>
    <definedName name="채권상각8" localSheetId="24">[8]채권평가충당금!#REF!</definedName>
    <definedName name="채권상각8" localSheetId="26">[8]채권평가충당금!#REF!</definedName>
    <definedName name="채권상각8" localSheetId="18">[8]채권평가충당금!#REF!</definedName>
    <definedName name="채권상각8" localSheetId="4">[8]채권평가충당금!#REF!</definedName>
    <definedName name="채권상각8" localSheetId="28">[8]채권평가충당금!#REF!</definedName>
    <definedName name="채권상각8" localSheetId="30">[8]채권평가충당금!#REF!</definedName>
    <definedName name="채권상각8">[8]채권평가충당금!#REF!</definedName>
    <definedName name="필수여부" localSheetId="1">[4]공통속성!$A$8:$A$9</definedName>
    <definedName name="필수여부" localSheetId="0">[4]공통속성!$A$8:$A$9</definedName>
    <definedName name="필수여부">[4]공통속성!$A$8:$A$9</definedName>
    <definedName name="항목구분" localSheetId="10">#REF!</definedName>
    <definedName name="항목구분" localSheetId="12">#REF!</definedName>
    <definedName name="항목구분" localSheetId="16">#REF!</definedName>
    <definedName name="항목구분" localSheetId="24">#REF!</definedName>
    <definedName name="항목구분" localSheetId="26">#REF!</definedName>
    <definedName name="항목구분" localSheetId="18">#REF!</definedName>
    <definedName name="항목구분" localSheetId="4">#REF!</definedName>
    <definedName name="항목구분" localSheetId="28">#REF!</definedName>
    <definedName name="항목구분" localSheetId="30">#REF!</definedName>
    <definedName name="항목구분" localSheetId="42">#REF!</definedName>
    <definedName name="항목구분" localSheetId="41">#REF!</definedName>
    <definedName name="항목구분" localSheetId="44">#REF!</definedName>
    <definedName name="항목구분" localSheetId="43">#REF!</definedName>
    <definedName name="항목구분">#REF!</definedName>
    <definedName name="ㅏㅣ" localSheetId="10">#REF!</definedName>
    <definedName name="ㅏㅣ" localSheetId="12">#REF!</definedName>
    <definedName name="ㅏㅣ" localSheetId="16">#REF!</definedName>
    <definedName name="ㅏㅣ" localSheetId="24">#REF!</definedName>
    <definedName name="ㅏㅣ" localSheetId="26">#REF!</definedName>
    <definedName name="ㅏㅣ" localSheetId="18">#REF!</definedName>
    <definedName name="ㅏㅣ" localSheetId="4">#REF!</definedName>
    <definedName name="ㅏㅣ" localSheetId="28">#REF!</definedName>
    <definedName name="ㅏㅣ" localSheetId="30">#REF!</definedName>
    <definedName name="ㅏㅣ" localSheetId="42">#REF!</definedName>
    <definedName name="ㅏㅣ" localSheetId="41">#REF!</definedName>
    <definedName name="ㅏㅣ" localSheetId="44">#REF!</definedName>
    <definedName name="ㅏㅣ" localSheetId="43">#REF!</definedName>
    <definedName name="ㅏㅣ">#REF!</definedName>
    <definedName name="ㅘㅘㅕㅗㅕㅏ" localSheetId="10">#REF!</definedName>
    <definedName name="ㅘㅘㅕㅗㅕㅏ" localSheetId="12">#REF!</definedName>
    <definedName name="ㅘㅘㅕㅗㅕㅏ" localSheetId="16">#REF!</definedName>
    <definedName name="ㅘㅘㅕㅗㅕㅏ" localSheetId="24">#REF!</definedName>
    <definedName name="ㅘㅘㅕㅗㅕㅏ" localSheetId="26">#REF!</definedName>
    <definedName name="ㅘㅘㅕㅗㅕㅏ" localSheetId="18">#REF!</definedName>
    <definedName name="ㅘㅘㅕㅗㅕㅏ" localSheetId="4">#REF!</definedName>
    <definedName name="ㅘㅘㅕㅗㅕㅏ" localSheetId="28">#REF!</definedName>
    <definedName name="ㅘㅘㅕㅗㅕㅏ" localSheetId="30">#REF!</definedName>
    <definedName name="ㅘㅘㅕㅗㅕㅏ" localSheetId="42">#REF!</definedName>
    <definedName name="ㅘㅘㅕㅗㅕㅏ" localSheetId="41">#REF!</definedName>
    <definedName name="ㅘㅘㅕㅗㅕㅏ" localSheetId="44">#REF!</definedName>
    <definedName name="ㅘㅘㅕㅗㅕㅏ" localSheetId="43">#REF!</definedName>
    <definedName name="ㅘㅘㅕㅗㅕㅏ">#REF!</definedName>
    <definedName name="ㅣㅏ" localSheetId="10">#REF!</definedName>
    <definedName name="ㅣㅏ" localSheetId="12">#REF!</definedName>
    <definedName name="ㅣㅏ" localSheetId="16">#REF!</definedName>
    <definedName name="ㅣㅏ" localSheetId="24">#REF!</definedName>
    <definedName name="ㅣㅏ" localSheetId="26">#REF!</definedName>
    <definedName name="ㅣㅏ" localSheetId="18">#REF!</definedName>
    <definedName name="ㅣㅏ" localSheetId="4">#REF!</definedName>
    <definedName name="ㅣㅏ" localSheetId="28">#REF!</definedName>
    <definedName name="ㅣㅏ" localSheetId="30">#REF!</definedName>
    <definedName name="ㅣㅏ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84" i="212" l="1"/>
  <c r="H33" i="212" l="1"/>
  <c r="I33" i="212"/>
  <c r="J33" i="212"/>
  <c r="K33" i="212"/>
  <c r="L33" i="212"/>
  <c r="H34" i="212"/>
  <c r="I34" i="212"/>
  <c r="J34" i="212"/>
  <c r="K34" i="212"/>
  <c r="L34" i="212"/>
  <c r="G34" i="212"/>
  <c r="G33" i="212"/>
  <c r="H90" i="212"/>
  <c r="I90" i="212"/>
  <c r="J90" i="212"/>
  <c r="K90" i="212"/>
  <c r="L90" i="212"/>
  <c r="H91" i="212"/>
  <c r="I91" i="212"/>
  <c r="J91" i="212"/>
  <c r="K91" i="212"/>
  <c r="L91" i="212"/>
  <c r="G90" i="212"/>
  <c r="G89" i="212"/>
  <c r="H62" i="212"/>
  <c r="I62" i="212"/>
  <c r="J62" i="212"/>
  <c r="K62" i="212"/>
  <c r="L62" i="212"/>
  <c r="G62" i="212"/>
  <c r="H61" i="212"/>
  <c r="I61" i="212"/>
  <c r="I65" i="212" s="1"/>
  <c r="J61" i="212"/>
  <c r="K61" i="212"/>
  <c r="L61" i="212"/>
  <c r="G61" i="212"/>
  <c r="H84" i="242"/>
  <c r="I84" i="242"/>
  <c r="J84" i="242"/>
  <c r="K84" i="242"/>
  <c r="L84" i="242"/>
  <c r="G84" i="242"/>
  <c r="H83" i="242"/>
  <c r="I83" i="242"/>
  <c r="J83" i="242"/>
  <c r="K83" i="242"/>
  <c r="L83" i="242"/>
  <c r="G83" i="242"/>
  <c r="K52" i="242"/>
  <c r="K58" i="242" s="1"/>
  <c r="K51" i="242"/>
  <c r="K57" i="242" s="1"/>
  <c r="H58" i="242"/>
  <c r="I58" i="242"/>
  <c r="J58" i="242"/>
  <c r="G58" i="242"/>
  <c r="H57" i="242"/>
  <c r="I57" i="242"/>
  <c r="J57" i="242"/>
  <c r="G57" i="242"/>
  <c r="H32" i="242"/>
  <c r="I32" i="242"/>
  <c r="J32" i="242"/>
  <c r="K32" i="242"/>
  <c r="L32" i="242"/>
  <c r="G32" i="242"/>
  <c r="H31" i="242"/>
  <c r="I31" i="242"/>
  <c r="J31" i="242"/>
  <c r="K31" i="242"/>
  <c r="L31" i="242"/>
  <c r="G31" i="242" l="1"/>
  <c r="K44" i="242"/>
  <c r="K43" i="242"/>
  <c r="J43" i="242"/>
  <c r="G25" i="242"/>
  <c r="G26" i="242"/>
  <c r="G61" i="242"/>
  <c r="G85" i="242"/>
  <c r="H85" i="242"/>
  <c r="I85" i="242"/>
  <c r="K17" i="212" l="1"/>
  <c r="D22" i="254"/>
  <c r="K78" i="258" l="1"/>
  <c r="L78" i="258" s="1"/>
  <c r="K77" i="258"/>
  <c r="L77" i="258" s="1"/>
  <c r="K76" i="258"/>
  <c r="L76" i="258" s="1"/>
  <c r="K75" i="258"/>
  <c r="L75" i="258" s="1"/>
  <c r="K73" i="258"/>
  <c r="L73" i="258" s="1"/>
  <c r="K72" i="258"/>
  <c r="L72" i="258" s="1"/>
  <c r="K71" i="258"/>
  <c r="L71" i="258" s="1"/>
  <c r="K70" i="258"/>
  <c r="L70" i="258" s="1"/>
  <c r="K69" i="258"/>
  <c r="L69" i="258" s="1"/>
  <c r="K68" i="258"/>
  <c r="L68" i="258" s="1"/>
  <c r="K67" i="258"/>
  <c r="L67" i="258" s="1"/>
  <c r="K66" i="258"/>
  <c r="L66" i="258" s="1"/>
  <c r="K65" i="258"/>
  <c r="L65" i="258" s="1"/>
  <c r="K64" i="258"/>
  <c r="L64" i="258" s="1"/>
  <c r="K63" i="258"/>
  <c r="L63" i="258" s="1"/>
  <c r="K62" i="258"/>
  <c r="L62" i="258" s="1"/>
  <c r="K61" i="258"/>
  <c r="L61" i="258" s="1"/>
  <c r="K60" i="258"/>
  <c r="L60" i="258" s="1"/>
  <c r="K59" i="258"/>
  <c r="L59" i="258" s="1"/>
  <c r="K57" i="258"/>
  <c r="L57" i="258" s="1"/>
  <c r="K56" i="258"/>
  <c r="L56" i="258" s="1"/>
  <c r="K55" i="258"/>
  <c r="L55" i="258" s="1"/>
  <c r="K54" i="258"/>
  <c r="L54" i="258" s="1"/>
  <c r="K53" i="258"/>
  <c r="L53" i="258" s="1"/>
  <c r="K52" i="258"/>
  <c r="L52" i="258" s="1"/>
  <c r="K51" i="258"/>
  <c r="L51" i="258" s="1"/>
  <c r="K50" i="258"/>
  <c r="L50" i="258" s="1"/>
  <c r="K49" i="258"/>
  <c r="L49" i="258" s="1"/>
  <c r="K48" i="258"/>
  <c r="L48" i="258" s="1"/>
  <c r="K47" i="258"/>
  <c r="L47" i="258" s="1"/>
  <c r="K46" i="258"/>
  <c r="L46" i="258" s="1"/>
  <c r="K45" i="258"/>
  <c r="L45" i="258" s="1"/>
  <c r="K44" i="258"/>
  <c r="L44" i="258" s="1"/>
  <c r="K43" i="258"/>
  <c r="L43" i="258" s="1"/>
  <c r="K42" i="258"/>
  <c r="L42" i="258" s="1"/>
  <c r="K41" i="258"/>
  <c r="L41" i="258" s="1"/>
  <c r="K40" i="258"/>
  <c r="L40" i="258" s="1"/>
  <c r="K39" i="258"/>
  <c r="L39" i="258" s="1"/>
  <c r="K38" i="258"/>
  <c r="L38" i="258" s="1"/>
  <c r="K37" i="258"/>
  <c r="L37" i="258" s="1"/>
  <c r="K36" i="258"/>
  <c r="L36" i="258" s="1"/>
  <c r="K35" i="258"/>
  <c r="L35" i="258" s="1"/>
  <c r="K34" i="258"/>
  <c r="L34" i="258" s="1"/>
  <c r="K33" i="258"/>
  <c r="L33" i="258" s="1"/>
  <c r="K32" i="258"/>
  <c r="L32" i="258" s="1"/>
  <c r="K31" i="258"/>
  <c r="L31" i="258" s="1"/>
  <c r="K30" i="258"/>
  <c r="L30" i="258" s="1"/>
  <c r="K29" i="258"/>
  <c r="L29" i="258" s="1"/>
  <c r="K28" i="258"/>
  <c r="L28" i="258" s="1"/>
  <c r="L27" i="258"/>
  <c r="K27" i="258"/>
  <c r="K26" i="258"/>
  <c r="L26" i="258" s="1"/>
  <c r="K25" i="258"/>
  <c r="L25" i="258" s="1"/>
  <c r="K24" i="258"/>
  <c r="L24" i="258" s="1"/>
  <c r="K23" i="258"/>
  <c r="L23" i="258" s="1"/>
  <c r="K22" i="258"/>
  <c r="L22" i="258" s="1"/>
  <c r="K21" i="258"/>
  <c r="L21" i="258" s="1"/>
  <c r="K20" i="258"/>
  <c r="L20" i="258" s="1"/>
  <c r="J19" i="258"/>
  <c r="I19" i="258"/>
  <c r="H19" i="258"/>
  <c r="G19" i="258"/>
  <c r="F19" i="258"/>
  <c r="K18" i="258"/>
  <c r="L18" i="258" s="1"/>
  <c r="K17" i="258"/>
  <c r="L17" i="258" s="1"/>
  <c r="J16" i="258"/>
  <c r="I16" i="258"/>
  <c r="H16" i="258"/>
  <c r="G16" i="258"/>
  <c r="F16" i="258"/>
  <c r="K15" i="258"/>
  <c r="L15" i="258" s="1"/>
  <c r="K14" i="258"/>
  <c r="L14" i="258" s="1"/>
  <c r="K13" i="258"/>
  <c r="L13" i="258" s="1"/>
  <c r="K12" i="258"/>
  <c r="L12" i="258" s="1"/>
  <c r="K79" i="257"/>
  <c r="L79" i="257" s="1"/>
  <c r="K78" i="257"/>
  <c r="L78" i="257" s="1"/>
  <c r="K77" i="257"/>
  <c r="L77" i="257" s="1"/>
  <c r="K76" i="257"/>
  <c r="L76" i="257" s="1"/>
  <c r="K74" i="257"/>
  <c r="L74" i="257" s="1"/>
  <c r="K73" i="257"/>
  <c r="L73" i="257" s="1"/>
  <c r="K72" i="257"/>
  <c r="L72" i="257" s="1"/>
  <c r="K71" i="257"/>
  <c r="L71" i="257" s="1"/>
  <c r="K70" i="257"/>
  <c r="L70" i="257" s="1"/>
  <c r="K69" i="257"/>
  <c r="L69" i="257" s="1"/>
  <c r="K68" i="257"/>
  <c r="L68" i="257" s="1"/>
  <c r="K67" i="257"/>
  <c r="L67" i="257" s="1"/>
  <c r="K66" i="257"/>
  <c r="L66" i="257" s="1"/>
  <c r="K64" i="257"/>
  <c r="L64" i="257" s="1"/>
  <c r="K63" i="257"/>
  <c r="L63" i="257" s="1"/>
  <c r="K62" i="257"/>
  <c r="L62" i="257" s="1"/>
  <c r="K61" i="257"/>
  <c r="L61" i="257" s="1"/>
  <c r="K60" i="257"/>
  <c r="L60" i="257" s="1"/>
  <c r="K58" i="257"/>
  <c r="L58" i="257" s="1"/>
  <c r="K57" i="257"/>
  <c r="L57" i="257" s="1"/>
  <c r="K56" i="257"/>
  <c r="L56" i="257" s="1"/>
  <c r="L55" i="257"/>
  <c r="K55" i="257"/>
  <c r="K54" i="257"/>
  <c r="L54" i="257" s="1"/>
  <c r="K53" i="257"/>
  <c r="L53" i="257" s="1"/>
  <c r="K52" i="257"/>
  <c r="L52" i="257" s="1"/>
  <c r="K51" i="257"/>
  <c r="L51" i="257" s="1"/>
  <c r="K50" i="257"/>
  <c r="L50" i="257" s="1"/>
  <c r="K49" i="257"/>
  <c r="L49" i="257" s="1"/>
  <c r="K48" i="257"/>
  <c r="L48" i="257" s="1"/>
  <c r="K47" i="257"/>
  <c r="L47" i="257" s="1"/>
  <c r="K46" i="257"/>
  <c r="L46" i="257" s="1"/>
  <c r="K45" i="257"/>
  <c r="L45" i="257" s="1"/>
  <c r="K44" i="257"/>
  <c r="L44" i="257" s="1"/>
  <c r="K43" i="257"/>
  <c r="L43" i="257" s="1"/>
  <c r="K42" i="257"/>
  <c r="L42" i="257" s="1"/>
  <c r="K41" i="257"/>
  <c r="L41" i="257" s="1"/>
  <c r="K40" i="257"/>
  <c r="L40" i="257" s="1"/>
  <c r="K39" i="257"/>
  <c r="L39" i="257" s="1"/>
  <c r="K38" i="257"/>
  <c r="L38" i="257" s="1"/>
  <c r="K37" i="257"/>
  <c r="L37" i="257" s="1"/>
  <c r="K36" i="257"/>
  <c r="L36" i="257" s="1"/>
  <c r="K35" i="257"/>
  <c r="L35" i="257" s="1"/>
  <c r="K34" i="257"/>
  <c r="L34" i="257" s="1"/>
  <c r="K33" i="257"/>
  <c r="L33" i="257" s="1"/>
  <c r="K32" i="257"/>
  <c r="L32" i="257" s="1"/>
  <c r="K31" i="257"/>
  <c r="L31" i="257" s="1"/>
  <c r="K30" i="257"/>
  <c r="L30" i="257" s="1"/>
  <c r="K29" i="257"/>
  <c r="L29" i="257" s="1"/>
  <c r="K28" i="257"/>
  <c r="L28" i="257" s="1"/>
  <c r="K27" i="257"/>
  <c r="L27" i="257" s="1"/>
  <c r="K26" i="257"/>
  <c r="L26" i="257" s="1"/>
  <c r="K23" i="257"/>
  <c r="L23" i="257" s="1"/>
  <c r="K22" i="257"/>
  <c r="L22" i="257" s="1"/>
  <c r="K21" i="257"/>
  <c r="L21" i="257" s="1"/>
  <c r="J20" i="257"/>
  <c r="I20" i="257"/>
  <c r="H20" i="257"/>
  <c r="G20" i="257"/>
  <c r="F20" i="257"/>
  <c r="K19" i="257"/>
  <c r="L19" i="257" s="1"/>
  <c r="K18" i="257"/>
  <c r="L18" i="257" s="1"/>
  <c r="J17" i="257"/>
  <c r="I17" i="257"/>
  <c r="H17" i="257"/>
  <c r="G17" i="257"/>
  <c r="F17" i="257"/>
  <c r="L16" i="257"/>
  <c r="K16" i="257"/>
  <c r="K15" i="257"/>
  <c r="L15" i="257" s="1"/>
  <c r="K14" i="257"/>
  <c r="L14" i="257" s="1"/>
  <c r="K13" i="257"/>
  <c r="L13" i="257" s="1"/>
  <c r="L77" i="256"/>
  <c r="K77" i="256"/>
  <c r="L76" i="256"/>
  <c r="K76" i="256"/>
  <c r="L75" i="256"/>
  <c r="K75" i="256"/>
  <c r="L74" i="256"/>
  <c r="K74" i="256"/>
  <c r="L72" i="256"/>
  <c r="K72" i="256"/>
  <c r="L71" i="256"/>
  <c r="K71" i="256"/>
  <c r="L70" i="256"/>
  <c r="K70" i="256"/>
  <c r="L69" i="256"/>
  <c r="K69" i="256"/>
  <c r="L68" i="256"/>
  <c r="K68" i="256"/>
  <c r="L67" i="256"/>
  <c r="K67" i="256"/>
  <c r="L66" i="256"/>
  <c r="K66" i="256"/>
  <c r="L65" i="256"/>
  <c r="K65" i="256"/>
  <c r="L64" i="256"/>
  <c r="K64" i="256"/>
  <c r="L63" i="256"/>
  <c r="K63" i="256"/>
  <c r="L62" i="256"/>
  <c r="K62" i="256"/>
  <c r="L61" i="256"/>
  <c r="K61" i="256"/>
  <c r="L60" i="256"/>
  <c r="K60" i="256"/>
  <c r="L59" i="256"/>
  <c r="K59" i="256"/>
  <c r="L58" i="256"/>
  <c r="K58" i="256"/>
  <c r="L57" i="256"/>
  <c r="K57" i="256"/>
  <c r="L56" i="256"/>
  <c r="K56" i="256"/>
  <c r="L55" i="256"/>
  <c r="K55" i="256"/>
  <c r="L54" i="256"/>
  <c r="K54" i="256"/>
  <c r="L53" i="256"/>
  <c r="K53" i="256"/>
  <c r="L52" i="256"/>
  <c r="K52" i="256"/>
  <c r="L51" i="256"/>
  <c r="K51" i="256"/>
  <c r="L50" i="256"/>
  <c r="K50" i="256"/>
  <c r="L49" i="256"/>
  <c r="K49" i="256"/>
  <c r="L48" i="256"/>
  <c r="K48" i="256"/>
  <c r="L47" i="256"/>
  <c r="K47" i="256"/>
  <c r="L46" i="256"/>
  <c r="K46" i="256"/>
  <c r="L45" i="256"/>
  <c r="K45" i="256"/>
  <c r="L44" i="256"/>
  <c r="K44" i="256"/>
  <c r="L43" i="256"/>
  <c r="K43" i="256"/>
  <c r="L42" i="256"/>
  <c r="K42" i="256"/>
  <c r="L41" i="256"/>
  <c r="K41" i="256"/>
  <c r="L40" i="256"/>
  <c r="K40" i="256"/>
  <c r="L39" i="256"/>
  <c r="K39" i="256"/>
  <c r="L38" i="256"/>
  <c r="K38" i="256"/>
  <c r="L37" i="256"/>
  <c r="K37" i="256"/>
  <c r="L36" i="256"/>
  <c r="K36" i="256"/>
  <c r="L35" i="256"/>
  <c r="K35" i="256"/>
  <c r="L34" i="256"/>
  <c r="K34" i="256"/>
  <c r="L33" i="256"/>
  <c r="K33" i="256"/>
  <c r="L32" i="256"/>
  <c r="K32" i="256"/>
  <c r="L31" i="256"/>
  <c r="K31" i="256"/>
  <c r="L30" i="256"/>
  <c r="K30" i="256"/>
  <c r="L29" i="256"/>
  <c r="K29" i="256"/>
  <c r="L28" i="256"/>
  <c r="K28" i="256"/>
  <c r="L27" i="256"/>
  <c r="K27" i="256"/>
  <c r="L26" i="256"/>
  <c r="K26" i="256"/>
  <c r="L25" i="256"/>
  <c r="K25" i="256"/>
  <c r="L24" i="256"/>
  <c r="K24" i="256"/>
  <c r="L23" i="256"/>
  <c r="K23" i="256"/>
  <c r="L22" i="256"/>
  <c r="K22" i="256"/>
  <c r="L21" i="256"/>
  <c r="K21" i="256"/>
  <c r="L20" i="256"/>
  <c r="K20" i="256"/>
  <c r="L19" i="256"/>
  <c r="K19" i="256"/>
  <c r="J19" i="256"/>
  <c r="I19" i="256"/>
  <c r="H19" i="256"/>
  <c r="G19" i="256"/>
  <c r="F19" i="256"/>
  <c r="L18" i="256"/>
  <c r="K18" i="256"/>
  <c r="L17" i="256"/>
  <c r="K17" i="256"/>
  <c r="L16" i="256"/>
  <c r="K16" i="256"/>
  <c r="J16" i="256"/>
  <c r="I16" i="256"/>
  <c r="H16" i="256"/>
  <c r="G16" i="256"/>
  <c r="F16" i="256"/>
  <c r="L15" i="256"/>
  <c r="K15" i="256"/>
  <c r="L14" i="256"/>
  <c r="K14" i="256"/>
  <c r="L13" i="256"/>
  <c r="K13" i="256"/>
  <c r="L12" i="256"/>
  <c r="K12" i="256"/>
  <c r="L78" i="255"/>
  <c r="K78" i="255"/>
  <c r="L77" i="255"/>
  <c r="K77" i="255"/>
  <c r="L76" i="255"/>
  <c r="K76" i="255"/>
  <c r="L75" i="255"/>
  <c r="K75" i="255"/>
  <c r="L73" i="255"/>
  <c r="K73" i="255"/>
  <c r="L72" i="255"/>
  <c r="K72" i="255"/>
  <c r="L71" i="255"/>
  <c r="K71" i="255"/>
  <c r="L70" i="255"/>
  <c r="K70" i="255"/>
  <c r="L69" i="255"/>
  <c r="K69" i="255"/>
  <c r="L68" i="255"/>
  <c r="K68" i="255"/>
  <c r="L67" i="255"/>
  <c r="K67" i="255"/>
  <c r="L66" i="255"/>
  <c r="K66" i="255"/>
  <c r="L65" i="255"/>
  <c r="K65" i="255"/>
  <c r="L63" i="255"/>
  <c r="K63" i="255"/>
  <c r="L62" i="255"/>
  <c r="K62" i="255"/>
  <c r="L61" i="255"/>
  <c r="K61" i="255"/>
  <c r="L60" i="255"/>
  <c r="K60" i="255"/>
  <c r="L59" i="255"/>
  <c r="K59" i="255"/>
  <c r="L58" i="255"/>
  <c r="K58" i="255"/>
  <c r="L57" i="255"/>
  <c r="K57" i="255"/>
  <c r="L56" i="255"/>
  <c r="K56" i="255"/>
  <c r="L55" i="255"/>
  <c r="K55" i="255"/>
  <c r="L54" i="255"/>
  <c r="K54" i="255"/>
  <c r="L53" i="255"/>
  <c r="K53" i="255"/>
  <c r="L52" i="255"/>
  <c r="K52" i="255"/>
  <c r="L51" i="255"/>
  <c r="K51" i="255"/>
  <c r="L50" i="255"/>
  <c r="K50" i="255"/>
  <c r="L49" i="255"/>
  <c r="K49" i="255"/>
  <c r="L48" i="255"/>
  <c r="K48" i="255"/>
  <c r="L47" i="255"/>
  <c r="K47" i="255"/>
  <c r="L46" i="255"/>
  <c r="K46" i="255"/>
  <c r="L45" i="255"/>
  <c r="K45" i="255"/>
  <c r="L44" i="255"/>
  <c r="K44" i="255"/>
  <c r="L43" i="255"/>
  <c r="K43" i="255"/>
  <c r="L42" i="255"/>
  <c r="K42" i="255"/>
  <c r="L41" i="255"/>
  <c r="K41" i="255"/>
  <c r="L40" i="255"/>
  <c r="K40" i="255"/>
  <c r="L39" i="255"/>
  <c r="K39" i="255"/>
  <c r="L38" i="255"/>
  <c r="K38" i="255"/>
  <c r="L37" i="255"/>
  <c r="K37" i="255"/>
  <c r="L36" i="255"/>
  <c r="K36" i="255"/>
  <c r="L35" i="255"/>
  <c r="K35" i="255"/>
  <c r="L34" i="255"/>
  <c r="K34" i="255"/>
  <c r="L33" i="255"/>
  <c r="K33" i="255"/>
  <c r="L32" i="255"/>
  <c r="K32" i="255"/>
  <c r="L31" i="255"/>
  <c r="K31" i="255"/>
  <c r="L30" i="255"/>
  <c r="K30" i="255"/>
  <c r="L29" i="255"/>
  <c r="K29" i="255"/>
  <c r="L28" i="255"/>
  <c r="K28" i="255"/>
  <c r="L27" i="255"/>
  <c r="K27" i="255"/>
  <c r="L26" i="255"/>
  <c r="K26" i="255"/>
  <c r="H25" i="255"/>
  <c r="F25" i="255"/>
  <c r="J24" i="255"/>
  <c r="J25" i="255" s="1"/>
  <c r="I24" i="255"/>
  <c r="I25" i="255" s="1"/>
  <c r="H24" i="255"/>
  <c r="G24" i="255"/>
  <c r="G25" i="255" s="1"/>
  <c r="F24" i="255"/>
  <c r="L23" i="255"/>
  <c r="K23" i="255"/>
  <c r="L22" i="255"/>
  <c r="K22" i="255"/>
  <c r="L21" i="255"/>
  <c r="K21" i="255"/>
  <c r="L20" i="255"/>
  <c r="K20" i="255"/>
  <c r="J20" i="255"/>
  <c r="I20" i="255"/>
  <c r="H20" i="255"/>
  <c r="G20" i="255"/>
  <c r="F20" i="255"/>
  <c r="L19" i="255"/>
  <c r="K19" i="255"/>
  <c r="L18" i="255"/>
  <c r="K18" i="255"/>
  <c r="K17" i="255"/>
  <c r="L17" i="255" s="1"/>
  <c r="J17" i="255"/>
  <c r="I17" i="255"/>
  <c r="H17" i="255"/>
  <c r="G17" i="255"/>
  <c r="F17" i="255"/>
  <c r="L16" i="255"/>
  <c r="K16" i="255"/>
  <c r="L15" i="255"/>
  <c r="K15" i="255"/>
  <c r="L14" i="255"/>
  <c r="K14" i="255"/>
  <c r="L13" i="255"/>
  <c r="K13" i="255"/>
  <c r="K17" i="257" l="1"/>
  <c r="K16" i="258"/>
  <c r="L16" i="258" s="1"/>
  <c r="K20" i="257"/>
  <c r="L20" i="257" s="1"/>
  <c r="G24" i="257"/>
  <c r="G25" i="257" s="1"/>
  <c r="H24" i="257"/>
  <c r="I24" i="257"/>
  <c r="I25" i="257" s="1"/>
  <c r="L17" i="257"/>
  <c r="F24" i="257"/>
  <c r="F25" i="257" s="1"/>
  <c r="K19" i="258"/>
  <c r="L19" i="258" s="1"/>
  <c r="H25" i="257"/>
  <c r="J24" i="257"/>
  <c r="J25" i="257" s="1"/>
  <c r="K25" i="255"/>
  <c r="L25" i="255" s="1"/>
  <c r="K24" i="255"/>
  <c r="L24" i="255" s="1"/>
  <c r="K25" i="257" l="1"/>
  <c r="L25" i="257"/>
  <c r="K24" i="257"/>
  <c r="L24" i="257" s="1"/>
  <c r="H37" i="212" l="1"/>
  <c r="K65" i="212"/>
  <c r="J65" i="212"/>
  <c r="H65" i="212"/>
  <c r="I37" i="212"/>
  <c r="J37" i="212"/>
  <c r="K37" i="212"/>
  <c r="G37" i="212"/>
  <c r="K35" i="242" l="1"/>
  <c r="L12" i="240" l="1"/>
  <c r="G84" i="212"/>
  <c r="V12" i="246"/>
  <c r="V13" i="246"/>
  <c r="W13" i="246"/>
  <c r="X13" i="246"/>
  <c r="V14" i="246"/>
  <c r="W14" i="246"/>
  <c r="X14" i="246"/>
  <c r="V15" i="246"/>
  <c r="W15" i="246"/>
  <c r="X15" i="246"/>
  <c r="V16" i="246"/>
  <c r="W16" i="246"/>
  <c r="X16" i="246"/>
  <c r="S13" i="246"/>
  <c r="S14" i="246"/>
  <c r="S15" i="246"/>
  <c r="S16" i="246"/>
  <c r="P13" i="246"/>
  <c r="P14" i="246"/>
  <c r="P15" i="246"/>
  <c r="P16" i="246"/>
  <c r="J13" i="246"/>
  <c r="J12" i="246"/>
  <c r="J14" i="246"/>
  <c r="J15" i="246"/>
  <c r="J16" i="246"/>
  <c r="J29" i="239"/>
  <c r="J28" i="239"/>
  <c r="J27" i="239"/>
  <c r="J26" i="239"/>
  <c r="J25" i="239"/>
  <c r="J24" i="239"/>
  <c r="J22" i="239"/>
  <c r="J21" i="239"/>
  <c r="J20" i="239"/>
  <c r="J19" i="239"/>
  <c r="J17" i="239"/>
  <c r="J16" i="239"/>
  <c r="J14" i="239"/>
  <c r="J13" i="239"/>
  <c r="F31" i="211"/>
  <c r="I22" i="254" l="1"/>
  <c r="H22" i="254"/>
  <c r="G22" i="254"/>
  <c r="F22" i="254"/>
  <c r="E22" i="254"/>
  <c r="I21" i="254"/>
  <c r="H21" i="254"/>
  <c r="G21" i="254"/>
  <c r="F21" i="254"/>
  <c r="E21" i="254"/>
  <c r="D21" i="254"/>
  <c r="I22" i="253"/>
  <c r="H22" i="253"/>
  <c r="G22" i="253"/>
  <c r="F22" i="253"/>
  <c r="E22" i="253"/>
  <c r="D22" i="253"/>
  <c r="I21" i="253"/>
  <c r="H21" i="253"/>
  <c r="G21" i="253"/>
  <c r="F21" i="253"/>
  <c r="E21" i="253"/>
  <c r="D21" i="253"/>
  <c r="K84" i="212" l="1"/>
  <c r="H84" i="212"/>
  <c r="J84" i="212" s="1"/>
  <c r="K83" i="212"/>
  <c r="I83" i="212"/>
  <c r="H83" i="212"/>
  <c r="J83" i="212" s="1"/>
  <c r="G83" i="212"/>
  <c r="L83" i="212" s="1"/>
  <c r="K56" i="212"/>
  <c r="I56" i="212"/>
  <c r="H56" i="212"/>
  <c r="J56" i="212" s="1"/>
  <c r="G56" i="212"/>
  <c r="K55" i="212"/>
  <c r="I55" i="212"/>
  <c r="H55" i="212"/>
  <c r="J55" i="212" s="1"/>
  <c r="G55" i="212"/>
  <c r="K28" i="212"/>
  <c r="K27" i="212"/>
  <c r="H28" i="212"/>
  <c r="I28" i="212"/>
  <c r="G28" i="212"/>
  <c r="H27" i="212"/>
  <c r="I27" i="212"/>
  <c r="G27" i="212"/>
  <c r="J32" i="212"/>
  <c r="J31" i="212"/>
  <c r="J30" i="212"/>
  <c r="J29" i="212"/>
  <c r="L29" i="212" s="1"/>
  <c r="J27" i="212"/>
  <c r="J26" i="212"/>
  <c r="L26" i="212" s="1"/>
  <c r="J35" i="212"/>
  <c r="L35" i="212" s="1"/>
  <c r="J36" i="212"/>
  <c r="L36" i="212" s="1"/>
  <c r="J38" i="212"/>
  <c r="L38" i="212" s="1"/>
  <c r="J39" i="212"/>
  <c r="J40" i="212"/>
  <c r="J41" i="212"/>
  <c r="L41" i="212" s="1"/>
  <c r="J42" i="212"/>
  <c r="J43" i="212"/>
  <c r="L43" i="212" s="1"/>
  <c r="J44" i="212"/>
  <c r="J47" i="212"/>
  <c r="L47" i="212" s="1"/>
  <c r="J48" i="212"/>
  <c r="L48" i="212" s="1"/>
  <c r="J49" i="212"/>
  <c r="L49" i="212" s="1"/>
  <c r="J50" i="212"/>
  <c r="L50" i="212" s="1"/>
  <c r="J51" i="212"/>
  <c r="L51" i="212" s="1"/>
  <c r="J52" i="212"/>
  <c r="J53" i="212"/>
  <c r="J54" i="212"/>
  <c r="J57" i="212"/>
  <c r="L57" i="212" s="1"/>
  <c r="J58" i="212"/>
  <c r="L58" i="212" s="1"/>
  <c r="J59" i="212"/>
  <c r="L59" i="212" s="1"/>
  <c r="J60" i="212"/>
  <c r="L60" i="212" s="1"/>
  <c r="J63" i="212"/>
  <c r="L63" i="212" s="1"/>
  <c r="J64" i="212"/>
  <c r="L64" i="212" s="1"/>
  <c r="J66" i="212"/>
  <c r="L66" i="212" s="1"/>
  <c r="J67" i="212"/>
  <c r="L67" i="212" s="1"/>
  <c r="J68" i="212"/>
  <c r="L68" i="212" s="1"/>
  <c r="J69" i="212"/>
  <c r="J70" i="212"/>
  <c r="J71" i="212"/>
  <c r="J72" i="212"/>
  <c r="L72" i="212" s="1"/>
  <c r="J75" i="212"/>
  <c r="L75" i="212" s="1"/>
  <c r="J76" i="212"/>
  <c r="L76" i="212" s="1"/>
  <c r="J77" i="212"/>
  <c r="L77" i="212" s="1"/>
  <c r="J78" i="212"/>
  <c r="L78" i="212" s="1"/>
  <c r="J79" i="212"/>
  <c r="L79" i="212" s="1"/>
  <c r="J80" i="212"/>
  <c r="L80" i="212" s="1"/>
  <c r="J81" i="212"/>
  <c r="L81" i="212" s="1"/>
  <c r="J82" i="212"/>
  <c r="L82" i="212" s="1"/>
  <c r="J85" i="212"/>
  <c r="J86" i="212"/>
  <c r="L86" i="212" s="1"/>
  <c r="J87" i="212"/>
  <c r="J88" i="212"/>
  <c r="L88" i="212" s="1"/>
  <c r="J94" i="212"/>
  <c r="L94" i="212" s="1"/>
  <c r="J95" i="212"/>
  <c r="L95" i="212" s="1"/>
  <c r="J96" i="212"/>
  <c r="L96" i="212" s="1"/>
  <c r="J97" i="212"/>
  <c r="L97" i="212" s="1"/>
  <c r="J98" i="212"/>
  <c r="L98" i="212" s="1"/>
  <c r="J99" i="212"/>
  <c r="L99" i="212" s="1"/>
  <c r="J100" i="212"/>
  <c r="L100" i="212" s="1"/>
  <c r="J101" i="212"/>
  <c r="L101" i="212" s="1"/>
  <c r="J102" i="212"/>
  <c r="J103" i="212"/>
  <c r="J104" i="212"/>
  <c r="J105" i="212"/>
  <c r="L105" i="212" s="1"/>
  <c r="J23" i="212"/>
  <c r="L23" i="212" s="1"/>
  <c r="J24" i="212"/>
  <c r="L24" i="212" s="1"/>
  <c r="L30" i="212"/>
  <c r="L31" i="212"/>
  <c r="L32" i="212"/>
  <c r="L39" i="212"/>
  <c r="L40" i="212"/>
  <c r="L42" i="212"/>
  <c r="L44" i="212"/>
  <c r="L52" i="212"/>
  <c r="L53" i="212"/>
  <c r="L54" i="212"/>
  <c r="L69" i="212"/>
  <c r="L70" i="212"/>
  <c r="L71" i="212"/>
  <c r="L85" i="212"/>
  <c r="L87" i="212"/>
  <c r="L102" i="212"/>
  <c r="L103" i="212"/>
  <c r="L104" i="212"/>
  <c r="I12" i="250"/>
  <c r="I13" i="250"/>
  <c r="I14" i="250"/>
  <c r="I15" i="250"/>
  <c r="I16" i="250"/>
  <c r="I17" i="250"/>
  <c r="I18" i="250"/>
  <c r="I19" i="250"/>
  <c r="I20" i="250"/>
  <c r="I21" i="250"/>
  <c r="I22" i="250"/>
  <c r="I23" i="250"/>
  <c r="I24" i="250"/>
  <c r="I25" i="250"/>
  <c r="I26" i="250"/>
  <c r="I27" i="250"/>
  <c r="I28" i="250"/>
  <c r="I29" i="250"/>
  <c r="I30" i="250"/>
  <c r="I31" i="250"/>
  <c r="I32" i="250"/>
  <c r="I33" i="250"/>
  <c r="I34" i="250"/>
  <c r="I35" i="250"/>
  <c r="I36" i="250"/>
  <c r="I37" i="250"/>
  <c r="I38" i="250"/>
  <c r="I39" i="250"/>
  <c r="I40" i="250"/>
  <c r="I41" i="250"/>
  <c r="I42" i="250"/>
  <c r="I43" i="250"/>
  <c r="I44" i="250"/>
  <c r="I45" i="250"/>
  <c r="I46" i="250"/>
  <c r="I47" i="250"/>
  <c r="I48" i="250"/>
  <c r="I49" i="250"/>
  <c r="I50" i="250"/>
  <c r="I51" i="250"/>
  <c r="I52" i="250"/>
  <c r="I53" i="250"/>
  <c r="I54" i="250"/>
  <c r="I55" i="250"/>
  <c r="I56" i="250"/>
  <c r="I57" i="250"/>
  <c r="I58" i="250"/>
  <c r="I59" i="250"/>
  <c r="I60" i="250"/>
  <c r="I61" i="250"/>
  <c r="I62" i="250"/>
  <c r="I63" i="250"/>
  <c r="I64" i="250"/>
  <c r="M13" i="241"/>
  <c r="M14" i="241"/>
  <c r="L13" i="241"/>
  <c r="L14" i="241"/>
  <c r="L12" i="241"/>
  <c r="I12" i="252"/>
  <c r="I13" i="252"/>
  <c r="I14" i="252"/>
  <c r="I15" i="252"/>
  <c r="I17" i="252"/>
  <c r="I18" i="252"/>
  <c r="I19" i="252"/>
  <c r="I20" i="252"/>
  <c r="I22" i="252"/>
  <c r="I23" i="252"/>
  <c r="I24" i="252"/>
  <c r="I25" i="252"/>
  <c r="I26" i="252"/>
  <c r="I28" i="252"/>
  <c r="I29" i="252"/>
  <c r="I30" i="252"/>
  <c r="I31" i="252"/>
  <c r="I32" i="252"/>
  <c r="I34" i="252"/>
  <c r="I35" i="252"/>
  <c r="I36" i="252"/>
  <c r="I37" i="252"/>
  <c r="I39" i="252"/>
  <c r="I40" i="252"/>
  <c r="I41" i="252"/>
  <c r="I42" i="252"/>
  <c r="I44" i="252"/>
  <c r="I45" i="252"/>
  <c r="I46" i="252"/>
  <c r="I47" i="252"/>
  <c r="I48" i="252"/>
  <c r="I49" i="252"/>
  <c r="I50" i="252"/>
  <c r="I51" i="252"/>
  <c r="I52" i="252"/>
  <c r="I53" i="252"/>
  <c r="I55" i="252"/>
  <c r="I56" i="252"/>
  <c r="I57" i="252"/>
  <c r="I58" i="252"/>
  <c r="I59" i="252"/>
  <c r="I60" i="252"/>
  <c r="I61" i="252"/>
  <c r="I62" i="252"/>
  <c r="I11" i="252"/>
  <c r="AG14" i="240"/>
  <c r="AF14" i="240"/>
  <c r="AG13" i="240"/>
  <c r="AF13" i="240"/>
  <c r="AG12" i="240"/>
  <c r="AF12" i="240"/>
  <c r="W14" i="240"/>
  <c r="V14" i="240"/>
  <c r="W13" i="240"/>
  <c r="V13" i="240"/>
  <c r="W12" i="240"/>
  <c r="V12" i="240"/>
  <c r="L13" i="240"/>
  <c r="M13" i="240"/>
  <c r="L14" i="240"/>
  <c r="M14" i="240"/>
  <c r="M12" i="240"/>
  <c r="AG15" i="240"/>
  <c r="AF15" i="240"/>
  <c r="AE15" i="240"/>
  <c r="AD15" i="240"/>
  <c r="AC15" i="240"/>
  <c r="AB15" i="240"/>
  <c r="AA15" i="240"/>
  <c r="Z15" i="240"/>
  <c r="Y15" i="240"/>
  <c r="X15" i="240"/>
  <c r="W15" i="240"/>
  <c r="V15" i="240"/>
  <c r="U15" i="240"/>
  <c r="T15" i="240"/>
  <c r="S15" i="240"/>
  <c r="R15" i="240"/>
  <c r="Q15" i="240"/>
  <c r="P15" i="240"/>
  <c r="O15" i="240"/>
  <c r="N15" i="240"/>
  <c r="M15" i="240"/>
  <c r="K15" i="240"/>
  <c r="J15" i="240"/>
  <c r="I15" i="240"/>
  <c r="H15" i="240"/>
  <c r="G15" i="240"/>
  <c r="F15" i="240"/>
  <c r="E15" i="240"/>
  <c r="D15" i="240"/>
  <c r="H63" i="252"/>
  <c r="G63" i="252"/>
  <c r="F63" i="252"/>
  <c r="E63" i="252"/>
  <c r="I63" i="252" s="1"/>
  <c r="H54" i="252"/>
  <c r="G54" i="252"/>
  <c r="F54" i="252"/>
  <c r="E54" i="252"/>
  <c r="I54" i="252" s="1"/>
  <c r="H47" i="252"/>
  <c r="G47" i="252"/>
  <c r="F47" i="252"/>
  <c r="E47" i="252"/>
  <c r="H43" i="252"/>
  <c r="G43" i="252"/>
  <c r="F43" i="252"/>
  <c r="E43" i="252"/>
  <c r="I43" i="252" s="1"/>
  <c r="H38" i="252"/>
  <c r="G38" i="252"/>
  <c r="I38" i="252" s="1"/>
  <c r="F38" i="252"/>
  <c r="E38" i="252"/>
  <c r="H33" i="252"/>
  <c r="G33" i="252"/>
  <c r="F33" i="252"/>
  <c r="E33" i="252"/>
  <c r="I33" i="252" s="1"/>
  <c r="H27" i="252"/>
  <c r="G27" i="252"/>
  <c r="F27" i="252"/>
  <c r="E27" i="252"/>
  <c r="I27" i="252" s="1"/>
  <c r="H21" i="252"/>
  <c r="G21" i="252"/>
  <c r="F21" i="252"/>
  <c r="E21" i="252"/>
  <c r="I21" i="252" s="1"/>
  <c r="H16" i="252"/>
  <c r="H64" i="252" s="1"/>
  <c r="G16" i="252"/>
  <c r="G64" i="252" s="1"/>
  <c r="F16" i="252"/>
  <c r="F64" i="252" s="1"/>
  <c r="E16" i="252"/>
  <c r="I16" i="252" s="1"/>
  <c r="G63" i="251"/>
  <c r="F63" i="251"/>
  <c r="E63" i="251"/>
  <c r="H63" i="251" s="1"/>
  <c r="H62" i="251"/>
  <c r="H61" i="251"/>
  <c r="H60" i="251"/>
  <c r="H59" i="251"/>
  <c r="H58" i="251"/>
  <c r="H57" i="251"/>
  <c r="H56" i="251"/>
  <c r="H55" i="251"/>
  <c r="G54" i="251"/>
  <c r="F54" i="251"/>
  <c r="E54" i="251"/>
  <c r="H54" i="251" s="1"/>
  <c r="H53" i="251"/>
  <c r="H52" i="251"/>
  <c r="H51" i="251"/>
  <c r="H50" i="251"/>
  <c r="H49" i="251"/>
  <c r="H48" i="251"/>
  <c r="G47" i="251"/>
  <c r="H47" i="251" s="1"/>
  <c r="F47" i="251"/>
  <c r="E47" i="251"/>
  <c r="H46" i="251"/>
  <c r="H45" i="251"/>
  <c r="H44" i="251"/>
  <c r="G43" i="251"/>
  <c r="F43" i="251"/>
  <c r="E43" i="251"/>
  <c r="H43" i="251" s="1"/>
  <c r="H42" i="251"/>
  <c r="H41" i="251"/>
  <c r="H40" i="251"/>
  <c r="H39" i="251"/>
  <c r="G38" i="251"/>
  <c r="F38" i="251"/>
  <c r="E38" i="251"/>
  <c r="H38" i="251" s="1"/>
  <c r="H37" i="251"/>
  <c r="H36" i="251"/>
  <c r="H35" i="251"/>
  <c r="H34" i="251"/>
  <c r="G33" i="251"/>
  <c r="F33" i="251"/>
  <c r="E33" i="251"/>
  <c r="H33" i="251" s="1"/>
  <c r="H32" i="251"/>
  <c r="H31" i="251"/>
  <c r="H30" i="251"/>
  <c r="H29" i="251"/>
  <c r="H28" i="251"/>
  <c r="G27" i="251"/>
  <c r="F27" i="251"/>
  <c r="H27" i="251" s="1"/>
  <c r="E27" i="251"/>
  <c r="H26" i="251"/>
  <c r="H25" i="251"/>
  <c r="H24" i="251"/>
  <c r="H23" i="251"/>
  <c r="H22" i="251"/>
  <c r="G21" i="251"/>
  <c r="F21" i="251"/>
  <c r="E21" i="251"/>
  <c r="H21" i="251" s="1"/>
  <c r="H20" i="251"/>
  <c r="H19" i="251"/>
  <c r="H18" i="251"/>
  <c r="H17" i="251"/>
  <c r="G16" i="251"/>
  <c r="G64" i="251" s="1"/>
  <c r="F16" i="251"/>
  <c r="F64" i="251" s="1"/>
  <c r="E16" i="251"/>
  <c r="E64" i="251" s="1"/>
  <c r="H15" i="251"/>
  <c r="H14" i="251"/>
  <c r="H13" i="251"/>
  <c r="H12" i="251"/>
  <c r="H11" i="251"/>
  <c r="M12" i="241"/>
  <c r="K15" i="241"/>
  <c r="J15" i="241"/>
  <c r="I15" i="241"/>
  <c r="H15" i="241"/>
  <c r="G15" i="241"/>
  <c r="F15" i="241"/>
  <c r="E15" i="241"/>
  <c r="M15" i="241" s="1"/>
  <c r="D15" i="241"/>
  <c r="L15" i="241" s="1"/>
  <c r="R27" i="250"/>
  <c r="R33" i="250"/>
  <c r="R38" i="250"/>
  <c r="R43" i="250"/>
  <c r="R47" i="250"/>
  <c r="R54" i="250"/>
  <c r="R63" i="250"/>
  <c r="M27" i="250"/>
  <c r="M33" i="250"/>
  <c r="M38" i="250"/>
  <c r="M43" i="250"/>
  <c r="M47" i="250"/>
  <c r="M54" i="250"/>
  <c r="M63" i="250"/>
  <c r="H47" i="250"/>
  <c r="H54" i="250"/>
  <c r="H63" i="250"/>
  <c r="H43" i="250"/>
  <c r="H38" i="250"/>
  <c r="H33" i="250"/>
  <c r="H27" i="250"/>
  <c r="H21" i="250"/>
  <c r="M21" i="250"/>
  <c r="R21" i="250"/>
  <c r="R16" i="250"/>
  <c r="M16" i="250"/>
  <c r="H16" i="250"/>
  <c r="S62" i="250"/>
  <c r="S61" i="250"/>
  <c r="S60" i="250"/>
  <c r="S59" i="250"/>
  <c r="S58" i="250"/>
  <c r="S57" i="250"/>
  <c r="S56" i="250"/>
  <c r="S55" i="250"/>
  <c r="S53" i="250"/>
  <c r="S52" i="250"/>
  <c r="S51" i="250"/>
  <c r="S50" i="250"/>
  <c r="S49" i="250"/>
  <c r="S48" i="250"/>
  <c r="S46" i="250"/>
  <c r="S45" i="250"/>
  <c r="S44" i="250"/>
  <c r="S42" i="250"/>
  <c r="S41" i="250"/>
  <c r="S40" i="250"/>
  <c r="S39" i="250"/>
  <c r="S37" i="250"/>
  <c r="S36" i="250"/>
  <c r="S35" i="250"/>
  <c r="S34" i="250"/>
  <c r="S32" i="250"/>
  <c r="S31" i="250"/>
  <c r="S30" i="250"/>
  <c r="S29" i="250"/>
  <c r="S28" i="250"/>
  <c r="S26" i="250"/>
  <c r="S25" i="250"/>
  <c r="S24" i="250"/>
  <c r="S23" i="250"/>
  <c r="S22" i="250"/>
  <c r="S20" i="250"/>
  <c r="S19" i="250"/>
  <c r="S18" i="250"/>
  <c r="S17" i="250"/>
  <c r="S15" i="250"/>
  <c r="S14" i="250"/>
  <c r="S13" i="250"/>
  <c r="S12" i="250"/>
  <c r="S11" i="250"/>
  <c r="N62" i="250"/>
  <c r="N61" i="250"/>
  <c r="N60" i="250"/>
  <c r="N59" i="250"/>
  <c r="N58" i="250"/>
  <c r="N57" i="250"/>
  <c r="N56" i="250"/>
  <c r="N55" i="250"/>
  <c r="N53" i="250"/>
  <c r="N52" i="250"/>
  <c r="N51" i="250"/>
  <c r="N50" i="250"/>
  <c r="N49" i="250"/>
  <c r="N48" i="250"/>
  <c r="N46" i="250"/>
  <c r="N45" i="250"/>
  <c r="N44" i="250"/>
  <c r="N42" i="250"/>
  <c r="N41" i="250"/>
  <c r="N40" i="250"/>
  <c r="N39" i="250"/>
  <c r="N37" i="250"/>
  <c r="N36" i="250"/>
  <c r="N35" i="250"/>
  <c r="N34" i="250"/>
  <c r="N32" i="250"/>
  <c r="N31" i="250"/>
  <c r="N30" i="250"/>
  <c r="N29" i="250"/>
  <c r="N28" i="250"/>
  <c r="N26" i="250"/>
  <c r="N25" i="250"/>
  <c r="N24" i="250"/>
  <c r="N23" i="250"/>
  <c r="N22" i="250"/>
  <c r="N20" i="250"/>
  <c r="N19" i="250"/>
  <c r="N18" i="250"/>
  <c r="N17" i="250"/>
  <c r="N15" i="250"/>
  <c r="N14" i="250"/>
  <c r="N13" i="250"/>
  <c r="N12" i="250"/>
  <c r="N11" i="250"/>
  <c r="I11" i="250"/>
  <c r="Q63" i="250"/>
  <c r="P63" i="250"/>
  <c r="O63" i="250"/>
  <c r="L63" i="250"/>
  <c r="K63" i="250"/>
  <c r="J63" i="250"/>
  <c r="G63" i="250"/>
  <c r="F63" i="250"/>
  <c r="E63" i="250"/>
  <c r="Q54" i="250"/>
  <c r="P54" i="250"/>
  <c r="O54" i="250"/>
  <c r="L54" i="250"/>
  <c r="K54" i="250"/>
  <c r="J54" i="250"/>
  <c r="G54" i="250"/>
  <c r="F54" i="250"/>
  <c r="E54" i="250"/>
  <c r="Q47" i="250"/>
  <c r="P47" i="250"/>
  <c r="O47" i="250"/>
  <c r="L47" i="250"/>
  <c r="K47" i="250"/>
  <c r="J47" i="250"/>
  <c r="G47" i="250"/>
  <c r="F47" i="250"/>
  <c r="E47" i="250"/>
  <c r="Q43" i="250"/>
  <c r="P43" i="250"/>
  <c r="O43" i="250"/>
  <c r="L43" i="250"/>
  <c r="K43" i="250"/>
  <c r="J43" i="250"/>
  <c r="G43" i="250"/>
  <c r="F43" i="250"/>
  <c r="E43" i="250"/>
  <c r="Q38" i="250"/>
  <c r="P38" i="250"/>
  <c r="O38" i="250"/>
  <c r="L38" i="250"/>
  <c r="K38" i="250"/>
  <c r="J38" i="250"/>
  <c r="G38" i="250"/>
  <c r="F38" i="250"/>
  <c r="E38" i="250"/>
  <c r="Q33" i="250"/>
  <c r="P33" i="250"/>
  <c r="O33" i="250"/>
  <c r="L33" i="250"/>
  <c r="K33" i="250"/>
  <c r="J33" i="250"/>
  <c r="G33" i="250"/>
  <c r="F33" i="250"/>
  <c r="E33" i="250"/>
  <c r="Q27" i="250"/>
  <c r="P27" i="250"/>
  <c r="O27" i="250"/>
  <c r="L27" i="250"/>
  <c r="K27" i="250"/>
  <c r="J27" i="250"/>
  <c r="G27" i="250"/>
  <c r="F27" i="250"/>
  <c r="E27" i="250"/>
  <c r="Q21" i="250"/>
  <c r="P21" i="250"/>
  <c r="O21" i="250"/>
  <c r="L21" i="250"/>
  <c r="K21" i="250"/>
  <c r="J21" i="250"/>
  <c r="G21" i="250"/>
  <c r="F21" i="250"/>
  <c r="E21" i="250"/>
  <c r="Q16" i="250"/>
  <c r="P16" i="250"/>
  <c r="O16" i="250"/>
  <c r="L16" i="250"/>
  <c r="K16" i="250"/>
  <c r="N16" i="250" s="1"/>
  <c r="J16" i="250"/>
  <c r="G16" i="250"/>
  <c r="F16" i="250"/>
  <c r="E16" i="250"/>
  <c r="O63" i="249"/>
  <c r="N63" i="249"/>
  <c r="M63" i="249"/>
  <c r="P63" i="249" s="1"/>
  <c r="K63" i="249"/>
  <c r="L63" i="249" s="1"/>
  <c r="J63" i="249"/>
  <c r="I63" i="249"/>
  <c r="G63" i="249"/>
  <c r="F63" i="249"/>
  <c r="E63" i="249"/>
  <c r="E64" i="249" s="1"/>
  <c r="P62" i="249"/>
  <c r="L62" i="249"/>
  <c r="H62" i="249"/>
  <c r="P61" i="249"/>
  <c r="L61" i="249"/>
  <c r="H61" i="249"/>
  <c r="P60" i="249"/>
  <c r="L60" i="249"/>
  <c r="H60" i="249"/>
  <c r="P59" i="249"/>
  <c r="L59" i="249"/>
  <c r="H59" i="249"/>
  <c r="P58" i="249"/>
  <c r="L58" i="249"/>
  <c r="H58" i="249"/>
  <c r="P57" i="249"/>
  <c r="L57" i="249"/>
  <c r="H57" i="249"/>
  <c r="P56" i="249"/>
  <c r="L56" i="249"/>
  <c r="H56" i="249"/>
  <c r="P55" i="249"/>
  <c r="L55" i="249"/>
  <c r="H55" i="249"/>
  <c r="O54" i="249"/>
  <c r="N54" i="249"/>
  <c r="M54" i="249"/>
  <c r="P54" i="249" s="1"/>
  <c r="K54" i="249"/>
  <c r="L54" i="249" s="1"/>
  <c r="J54" i="249"/>
  <c r="I54" i="249"/>
  <c r="G54" i="249"/>
  <c r="G64" i="249" s="1"/>
  <c r="F54" i="249"/>
  <c r="F64" i="249" s="1"/>
  <c r="E54" i="249"/>
  <c r="H54" i="249" s="1"/>
  <c r="P53" i="249"/>
  <c r="L53" i="249"/>
  <c r="H53" i="249"/>
  <c r="P52" i="249"/>
  <c r="L52" i="249"/>
  <c r="H52" i="249"/>
  <c r="P51" i="249"/>
  <c r="L51" i="249"/>
  <c r="H51" i="249"/>
  <c r="P50" i="249"/>
  <c r="L50" i="249"/>
  <c r="H50" i="249"/>
  <c r="P49" i="249"/>
  <c r="L49" i="249"/>
  <c r="H49" i="249"/>
  <c r="P48" i="249"/>
  <c r="L48" i="249"/>
  <c r="H48" i="249"/>
  <c r="O47" i="249"/>
  <c r="N47" i="249"/>
  <c r="M47" i="249"/>
  <c r="P47" i="249" s="1"/>
  <c r="K47" i="249"/>
  <c r="L47" i="249" s="1"/>
  <c r="J47" i="249"/>
  <c r="I47" i="249"/>
  <c r="G47" i="249"/>
  <c r="F47" i="249"/>
  <c r="E47" i="249"/>
  <c r="H47" i="249" s="1"/>
  <c r="P46" i="249"/>
  <c r="L46" i="249"/>
  <c r="H46" i="249"/>
  <c r="P45" i="249"/>
  <c r="L45" i="249"/>
  <c r="H45" i="249"/>
  <c r="P44" i="249"/>
  <c r="L44" i="249"/>
  <c r="H44" i="249"/>
  <c r="O43" i="249"/>
  <c r="N43" i="249"/>
  <c r="P43" i="249" s="1"/>
  <c r="M43" i="249"/>
  <c r="K43" i="249"/>
  <c r="J43" i="249"/>
  <c r="I43" i="249"/>
  <c r="L43" i="249" s="1"/>
  <c r="H43" i="249"/>
  <c r="G43" i="249"/>
  <c r="F43" i="249"/>
  <c r="E43" i="249"/>
  <c r="P42" i="249"/>
  <c r="L42" i="249"/>
  <c r="H42" i="249"/>
  <c r="P41" i="249"/>
  <c r="L41" i="249"/>
  <c r="H41" i="249"/>
  <c r="P40" i="249"/>
  <c r="L40" i="249"/>
  <c r="H40" i="249"/>
  <c r="P39" i="249"/>
  <c r="L39" i="249"/>
  <c r="H39" i="249"/>
  <c r="O38" i="249"/>
  <c r="N38" i="249"/>
  <c r="P38" i="249" s="1"/>
  <c r="M38" i="249"/>
  <c r="K38" i="249"/>
  <c r="J38" i="249"/>
  <c r="I38" i="249"/>
  <c r="L38" i="249" s="1"/>
  <c r="H38" i="249"/>
  <c r="G38" i="249"/>
  <c r="F38" i="249"/>
  <c r="E38" i="249"/>
  <c r="P37" i="249"/>
  <c r="L37" i="249"/>
  <c r="H37" i="249"/>
  <c r="P36" i="249"/>
  <c r="L36" i="249"/>
  <c r="H36" i="249"/>
  <c r="P35" i="249"/>
  <c r="L35" i="249"/>
  <c r="H35" i="249"/>
  <c r="P34" i="249"/>
  <c r="L34" i="249"/>
  <c r="H34" i="249"/>
  <c r="O33" i="249"/>
  <c r="N33" i="249"/>
  <c r="P33" i="249" s="1"/>
  <c r="M33" i="249"/>
  <c r="K33" i="249"/>
  <c r="J33" i="249"/>
  <c r="I33" i="249"/>
  <c r="L33" i="249" s="1"/>
  <c r="H33" i="249"/>
  <c r="G33" i="249"/>
  <c r="F33" i="249"/>
  <c r="E33" i="249"/>
  <c r="P32" i="249"/>
  <c r="L32" i="249"/>
  <c r="H32" i="249"/>
  <c r="P31" i="249"/>
  <c r="L31" i="249"/>
  <c r="H31" i="249"/>
  <c r="P30" i="249"/>
  <c r="L30" i="249"/>
  <c r="H30" i="249"/>
  <c r="P29" i="249"/>
  <c r="L29" i="249"/>
  <c r="H29" i="249"/>
  <c r="P28" i="249"/>
  <c r="L28" i="249"/>
  <c r="H28" i="249"/>
  <c r="O27" i="249"/>
  <c r="N27" i="249"/>
  <c r="M27" i="249"/>
  <c r="M64" i="249" s="1"/>
  <c r="K27" i="249"/>
  <c r="K64" i="249" s="1"/>
  <c r="J27" i="249"/>
  <c r="I27" i="249"/>
  <c r="G27" i="249"/>
  <c r="F27" i="249"/>
  <c r="E27" i="249"/>
  <c r="H27" i="249" s="1"/>
  <c r="P26" i="249"/>
  <c r="L26" i="249"/>
  <c r="H26" i="249"/>
  <c r="P25" i="249"/>
  <c r="L25" i="249"/>
  <c r="H25" i="249"/>
  <c r="P24" i="249"/>
  <c r="L24" i="249"/>
  <c r="H24" i="249"/>
  <c r="P23" i="249"/>
  <c r="L23" i="249"/>
  <c r="H23" i="249"/>
  <c r="P22" i="249"/>
  <c r="L22" i="249"/>
  <c r="H22" i="249"/>
  <c r="O21" i="249"/>
  <c r="N21" i="249"/>
  <c r="P21" i="249" s="1"/>
  <c r="M21" i="249"/>
  <c r="K21" i="249"/>
  <c r="J21" i="249"/>
  <c r="I21" i="249"/>
  <c r="L21" i="249" s="1"/>
  <c r="H21" i="249"/>
  <c r="G21" i="249"/>
  <c r="F21" i="249"/>
  <c r="E21" i="249"/>
  <c r="P20" i="249"/>
  <c r="L20" i="249"/>
  <c r="H20" i="249"/>
  <c r="P19" i="249"/>
  <c r="L19" i="249"/>
  <c r="H19" i="249"/>
  <c r="P18" i="249"/>
  <c r="L18" i="249"/>
  <c r="H18" i="249"/>
  <c r="P17" i="249"/>
  <c r="L17" i="249"/>
  <c r="H17" i="249"/>
  <c r="O16" i="249"/>
  <c r="O64" i="249" s="1"/>
  <c r="N16" i="249"/>
  <c r="N64" i="249" s="1"/>
  <c r="M16" i="249"/>
  <c r="K16" i="249"/>
  <c r="J16" i="249"/>
  <c r="J64" i="249" s="1"/>
  <c r="I16" i="249"/>
  <c r="L16" i="249" s="1"/>
  <c r="H16" i="249"/>
  <c r="G16" i="249"/>
  <c r="F16" i="249"/>
  <c r="E16" i="249"/>
  <c r="P15" i="249"/>
  <c r="L15" i="249"/>
  <c r="H15" i="249"/>
  <c r="P14" i="249"/>
  <c r="L14" i="249"/>
  <c r="H14" i="249"/>
  <c r="P13" i="249"/>
  <c r="L13" i="249"/>
  <c r="H13" i="249"/>
  <c r="P12" i="249"/>
  <c r="L12" i="249"/>
  <c r="H12" i="249"/>
  <c r="P11" i="249"/>
  <c r="L11" i="249"/>
  <c r="H11" i="249"/>
  <c r="R16" i="246"/>
  <c r="Q16" i="246"/>
  <c r="O16" i="246"/>
  <c r="U16" i="246" s="1"/>
  <c r="N16" i="246"/>
  <c r="T16" i="246" s="1"/>
  <c r="M16" i="246"/>
  <c r="F16" i="246"/>
  <c r="L16" i="246" s="1"/>
  <c r="E16" i="246"/>
  <c r="K16" i="246" s="1"/>
  <c r="R15" i="246"/>
  <c r="Q15" i="246"/>
  <c r="O15" i="246"/>
  <c r="N15" i="246"/>
  <c r="M15" i="246"/>
  <c r="L15" i="246"/>
  <c r="K15" i="246"/>
  <c r="I15" i="246"/>
  <c r="I16" i="246" s="1"/>
  <c r="H15" i="246"/>
  <c r="H16" i="246" s="1"/>
  <c r="F15" i="246"/>
  <c r="E15" i="246"/>
  <c r="U14" i="246"/>
  <c r="T14" i="246"/>
  <c r="M14" i="246"/>
  <c r="L14" i="246"/>
  <c r="K14" i="246"/>
  <c r="G14" i="246"/>
  <c r="D14" i="246"/>
  <c r="U13" i="246"/>
  <c r="U15" i="246" s="1"/>
  <c r="T13" i="246"/>
  <c r="M13" i="246"/>
  <c r="L13" i="246"/>
  <c r="K13" i="246"/>
  <c r="G13" i="246"/>
  <c r="G15" i="246" s="1"/>
  <c r="D13" i="246"/>
  <c r="D15" i="246" s="1"/>
  <c r="W12" i="246"/>
  <c r="U12" i="246"/>
  <c r="S12" i="246" s="1"/>
  <c r="T12" i="246"/>
  <c r="P12" i="246"/>
  <c r="M12" i="246"/>
  <c r="L12" i="246"/>
  <c r="K12" i="246"/>
  <c r="G12" i="246"/>
  <c r="D12" i="246"/>
  <c r="J28" i="212" l="1"/>
  <c r="L28" i="212" s="1"/>
  <c r="L55" i="212"/>
  <c r="E64" i="252"/>
  <c r="I64" i="252" s="1"/>
  <c r="L84" i="212"/>
  <c r="L56" i="212"/>
  <c r="L27" i="212"/>
  <c r="L15" i="240"/>
  <c r="H16" i="251"/>
  <c r="H64" i="251" s="1"/>
  <c r="S16" i="250"/>
  <c r="S38" i="250"/>
  <c r="H64" i="250"/>
  <c r="M64" i="250"/>
  <c r="N21" i="250"/>
  <c r="S21" i="250"/>
  <c r="S43" i="250"/>
  <c r="N43" i="250"/>
  <c r="N47" i="250"/>
  <c r="N38" i="250"/>
  <c r="S54" i="250"/>
  <c r="S47" i="250"/>
  <c r="E64" i="250"/>
  <c r="N63" i="250"/>
  <c r="S33" i="250"/>
  <c r="N27" i="250"/>
  <c r="S63" i="250"/>
  <c r="K64" i="250"/>
  <c r="N54" i="250"/>
  <c r="S27" i="250"/>
  <c r="N33" i="250"/>
  <c r="R64" i="250"/>
  <c r="F64" i="250"/>
  <c r="O64" i="250"/>
  <c r="G64" i="250"/>
  <c r="P64" i="250"/>
  <c r="Q64" i="250"/>
  <c r="J64" i="250"/>
  <c r="N64" i="250" s="1"/>
  <c r="L64" i="250"/>
  <c r="L27" i="249"/>
  <c r="L64" i="249" s="1"/>
  <c r="H63" i="249"/>
  <c r="H64" i="249" s="1"/>
  <c r="I64" i="249"/>
  <c r="P16" i="249"/>
  <c r="P27" i="249"/>
  <c r="G16" i="246"/>
  <c r="D16" i="246"/>
  <c r="X12" i="246"/>
  <c r="T15" i="246"/>
  <c r="S64" i="250" l="1"/>
  <c r="P64" i="249"/>
  <c r="G16" i="211" l="1"/>
  <c r="G28" i="211" s="1"/>
  <c r="H16" i="211"/>
  <c r="H28" i="211" s="1"/>
  <c r="I16" i="211"/>
  <c r="I28" i="211" s="1"/>
  <c r="E16" i="211"/>
  <c r="E28" i="211" s="1"/>
  <c r="G33" i="211"/>
  <c r="H33" i="211"/>
  <c r="I33" i="211"/>
  <c r="E33" i="211"/>
  <c r="F13" i="211"/>
  <c r="J13" i="211" s="1"/>
  <c r="F14" i="211"/>
  <c r="J14" i="211" s="1"/>
  <c r="F15" i="211"/>
  <c r="J15" i="211" s="1"/>
  <c r="F17" i="211"/>
  <c r="J17" i="211" s="1"/>
  <c r="F18" i="211"/>
  <c r="J18" i="211" s="1"/>
  <c r="F19" i="211"/>
  <c r="J19" i="211" s="1"/>
  <c r="F20" i="211"/>
  <c r="J20" i="211" s="1"/>
  <c r="F21" i="211"/>
  <c r="J21" i="211" s="1"/>
  <c r="F22" i="211"/>
  <c r="J22" i="211" s="1"/>
  <c r="F23" i="211"/>
  <c r="J23" i="211" s="1"/>
  <c r="F24" i="211"/>
  <c r="J24" i="211" s="1"/>
  <c r="F25" i="211"/>
  <c r="J25" i="211" s="1"/>
  <c r="F26" i="211"/>
  <c r="J26" i="211" s="1"/>
  <c r="F27" i="211"/>
  <c r="J27" i="211" s="1"/>
  <c r="F29" i="211"/>
  <c r="J29" i="211" s="1"/>
  <c r="F30" i="211"/>
  <c r="J30" i="211" s="1"/>
  <c r="J31" i="211"/>
  <c r="F32" i="211"/>
  <c r="J32" i="211" s="1"/>
  <c r="F12" i="211"/>
  <c r="J12" i="211" s="1"/>
  <c r="H15" i="248"/>
  <c r="G15" i="248"/>
  <c r="I15" i="248" s="1"/>
  <c r="E15" i="248"/>
  <c r="D15" i="248"/>
  <c r="F15" i="248" s="1"/>
  <c r="J15" i="248" s="1"/>
  <c r="I14" i="248"/>
  <c r="F14" i="248"/>
  <c r="J14" i="248" s="1"/>
  <c r="I13" i="248"/>
  <c r="J13" i="248" s="1"/>
  <c r="F13" i="248"/>
  <c r="I12" i="248"/>
  <c r="F12" i="248"/>
  <c r="J12" i="248" s="1"/>
  <c r="I11" i="248"/>
  <c r="F11" i="248"/>
  <c r="J11" i="248" s="1"/>
  <c r="J33" i="211" l="1"/>
  <c r="F33" i="211"/>
  <c r="J16" i="211"/>
  <c r="J28" i="211" s="1"/>
  <c r="F16" i="211"/>
  <c r="F28" i="211" s="1"/>
  <c r="I61" i="242"/>
  <c r="H30" i="239"/>
  <c r="G30" i="239"/>
  <c r="F30" i="239"/>
  <c r="E30" i="239"/>
  <c r="I29" i="239"/>
  <c r="I28" i="239"/>
  <c r="I27" i="239"/>
  <c r="I26" i="239"/>
  <c r="I25" i="239"/>
  <c r="I24" i="239"/>
  <c r="I22" i="239"/>
  <c r="I21" i="239"/>
  <c r="I20" i="239"/>
  <c r="I19" i="239"/>
  <c r="H18" i="239"/>
  <c r="G18" i="239"/>
  <c r="G23" i="239" s="1"/>
  <c r="F18" i="239"/>
  <c r="F23" i="239" s="1"/>
  <c r="E18" i="239"/>
  <c r="I17" i="239"/>
  <c r="H15" i="239"/>
  <c r="G15" i="239"/>
  <c r="F15" i="239"/>
  <c r="E15" i="239"/>
  <c r="I14" i="239"/>
  <c r="I13" i="239"/>
  <c r="J12" i="239"/>
  <c r="I12" i="239"/>
  <c r="J11" i="239"/>
  <c r="I11" i="239"/>
  <c r="J30" i="239" l="1"/>
  <c r="H23" i="239"/>
  <c r="J23" i="239" s="1"/>
  <c r="J18" i="239"/>
  <c r="J15" i="239"/>
  <c r="I18" i="239"/>
  <c r="I15" i="239"/>
  <c r="H31" i="239"/>
  <c r="F31" i="239"/>
  <c r="I30" i="239"/>
  <c r="G31" i="239"/>
  <c r="E23" i="239"/>
  <c r="I23" i="239" s="1"/>
  <c r="I31" i="239" s="1"/>
  <c r="J31" i="239" l="1"/>
  <c r="E31" i="239"/>
  <c r="L99" i="242" l="1"/>
  <c r="J99" i="242"/>
  <c r="J98" i="242"/>
  <c r="L98" i="242" s="1"/>
  <c r="J97" i="242"/>
  <c r="L97" i="242" s="1"/>
  <c r="J96" i="242"/>
  <c r="L96" i="242" s="1"/>
  <c r="J95" i="242"/>
  <c r="L95" i="242" s="1"/>
  <c r="J94" i="242"/>
  <c r="L94" i="242" s="1"/>
  <c r="L93" i="242"/>
  <c r="L92" i="242"/>
  <c r="L91" i="242"/>
  <c r="L90" i="242"/>
  <c r="L89" i="242"/>
  <c r="L88" i="242"/>
  <c r="K85" i="242"/>
  <c r="L82" i="242"/>
  <c r="J82" i="242"/>
  <c r="J81" i="242"/>
  <c r="L81" i="242" s="1"/>
  <c r="J80" i="242"/>
  <c r="L80" i="242" s="1"/>
  <c r="J79" i="242"/>
  <c r="L79" i="242" s="1"/>
  <c r="I78" i="242"/>
  <c r="H78" i="242"/>
  <c r="J78" i="242" s="1"/>
  <c r="G78" i="242"/>
  <c r="I77" i="242"/>
  <c r="H77" i="242"/>
  <c r="J77" i="242" s="1"/>
  <c r="G77" i="242"/>
  <c r="J76" i="242"/>
  <c r="L76" i="242" s="1"/>
  <c r="J75" i="242"/>
  <c r="L75" i="242" s="1"/>
  <c r="J74" i="242"/>
  <c r="L74" i="242" s="1"/>
  <c r="L73" i="242"/>
  <c r="J73" i="242"/>
  <c r="J72" i="242"/>
  <c r="L72" i="242" s="1"/>
  <c r="J71" i="242"/>
  <c r="L71" i="242" s="1"/>
  <c r="I70" i="242"/>
  <c r="H70" i="242"/>
  <c r="G70" i="242"/>
  <c r="J69" i="242"/>
  <c r="L69" i="242" s="1"/>
  <c r="I69" i="242"/>
  <c r="H69" i="242"/>
  <c r="G69" i="242"/>
  <c r="J68" i="242"/>
  <c r="L68" i="242" s="1"/>
  <c r="J67" i="242"/>
  <c r="L67" i="242" s="1"/>
  <c r="J66" i="242"/>
  <c r="L66" i="242" s="1"/>
  <c r="J65" i="242"/>
  <c r="L65" i="242" s="1"/>
  <c r="L64" i="242"/>
  <c r="J64" i="242"/>
  <c r="J63" i="242"/>
  <c r="L63" i="242" s="1"/>
  <c r="J62" i="242"/>
  <c r="L62" i="242" s="1"/>
  <c r="K61" i="242"/>
  <c r="L60" i="242"/>
  <c r="J59" i="242"/>
  <c r="L59" i="242" s="1"/>
  <c r="J56" i="242"/>
  <c r="L56" i="242" s="1"/>
  <c r="J55" i="242"/>
  <c r="L55" i="242" s="1"/>
  <c r="J54" i="242"/>
  <c r="L54" i="242" s="1"/>
  <c r="J53" i="242"/>
  <c r="L53" i="242" s="1"/>
  <c r="I52" i="242"/>
  <c r="H52" i="242"/>
  <c r="J52" i="242" s="1"/>
  <c r="L52" i="242" s="1"/>
  <c r="L58" i="242" s="1"/>
  <c r="G52" i="242"/>
  <c r="I51" i="242"/>
  <c r="H51" i="242"/>
  <c r="J51" i="242" s="1"/>
  <c r="G51" i="242"/>
  <c r="J50" i="242"/>
  <c r="L50" i="242" s="1"/>
  <c r="J49" i="242"/>
  <c r="L49" i="242" s="1"/>
  <c r="J48" i="242"/>
  <c r="L48" i="242" s="1"/>
  <c r="J47" i="242"/>
  <c r="L47" i="242" s="1"/>
  <c r="J46" i="242"/>
  <c r="L46" i="242" s="1"/>
  <c r="J45" i="242"/>
  <c r="L45" i="242" s="1"/>
  <c r="I44" i="242"/>
  <c r="H44" i="242"/>
  <c r="H61" i="242" s="1"/>
  <c r="G44" i="242"/>
  <c r="I43" i="242"/>
  <c r="H43" i="242"/>
  <c r="G43" i="242"/>
  <c r="J42" i="242"/>
  <c r="L42" i="242" s="1"/>
  <c r="J41" i="242"/>
  <c r="L41" i="242" s="1"/>
  <c r="J40" i="242"/>
  <c r="L40" i="242" s="1"/>
  <c r="J39" i="242"/>
  <c r="L39" i="242" s="1"/>
  <c r="J38" i="242"/>
  <c r="L38" i="242" s="1"/>
  <c r="J37" i="242"/>
  <c r="L37" i="242" s="1"/>
  <c r="J36" i="242"/>
  <c r="L36" i="242" s="1"/>
  <c r="I35" i="242"/>
  <c r="H35" i="242"/>
  <c r="L34" i="242"/>
  <c r="L33" i="242"/>
  <c r="K86" i="242"/>
  <c r="I86" i="242"/>
  <c r="J30" i="242"/>
  <c r="L30" i="242" s="1"/>
  <c r="J29" i="242"/>
  <c r="L29" i="242" s="1"/>
  <c r="J28" i="242"/>
  <c r="L28" i="242" s="1"/>
  <c r="J27" i="242"/>
  <c r="L27" i="242" s="1"/>
  <c r="K26" i="242"/>
  <c r="I26" i="242"/>
  <c r="H26" i="242"/>
  <c r="J26" i="242" s="1"/>
  <c r="L26" i="242" s="1"/>
  <c r="K25" i="242"/>
  <c r="I25" i="242"/>
  <c r="H25" i="242"/>
  <c r="J25" i="242" s="1"/>
  <c r="L25" i="242"/>
  <c r="J24" i="242"/>
  <c r="L24" i="242" s="1"/>
  <c r="J23" i="242"/>
  <c r="L23" i="242" s="1"/>
  <c r="J22" i="242"/>
  <c r="L22" i="242" s="1"/>
  <c r="J21" i="242"/>
  <c r="L21" i="242" s="1"/>
  <c r="J20" i="242"/>
  <c r="L20" i="242" s="1"/>
  <c r="J19" i="242"/>
  <c r="L19" i="242" s="1"/>
  <c r="K18" i="242"/>
  <c r="I18" i="242"/>
  <c r="H18" i="242"/>
  <c r="J18" i="242" s="1"/>
  <c r="G18" i="242"/>
  <c r="K17" i="242"/>
  <c r="I17" i="242"/>
  <c r="H17" i="242"/>
  <c r="H86" i="242" s="1"/>
  <c r="G17" i="242"/>
  <c r="J16" i="242"/>
  <c r="L16" i="242" s="1"/>
  <c r="J15" i="242"/>
  <c r="L15" i="242" s="1"/>
  <c r="J14" i="242"/>
  <c r="L14" i="242" s="1"/>
  <c r="J13" i="242"/>
  <c r="L13" i="242" s="1"/>
  <c r="J12" i="242"/>
  <c r="L12" i="242" s="1"/>
  <c r="J11" i="242"/>
  <c r="L11" i="242" s="1"/>
  <c r="L18" i="242" l="1"/>
  <c r="J35" i="242"/>
  <c r="L51" i="242"/>
  <c r="L57" i="242" s="1"/>
  <c r="L43" i="242"/>
  <c r="L77" i="242"/>
  <c r="H87" i="242"/>
  <c r="I87" i="242"/>
  <c r="L78" i="242"/>
  <c r="G86" i="242"/>
  <c r="G35" i="242"/>
  <c r="K87" i="242"/>
  <c r="J44" i="242"/>
  <c r="J61" i="242" s="1"/>
  <c r="L61" i="242" s="1"/>
  <c r="J85" i="242"/>
  <c r="J17" i="242"/>
  <c r="J86" i="242" s="1"/>
  <c r="L44" i="242"/>
  <c r="J70" i="242"/>
  <c r="L70" i="242"/>
  <c r="L85" i="242"/>
  <c r="L17" i="242"/>
  <c r="L35" i="242" l="1"/>
  <c r="L86" i="242"/>
  <c r="J87" i="242"/>
  <c r="G87" i="242"/>
  <c r="L87" i="242" l="1"/>
  <c r="O75" i="238" l="1"/>
  <c r="N75" i="238"/>
  <c r="M75" i="238"/>
  <c r="P75" i="238" s="1"/>
  <c r="H75" i="238"/>
  <c r="F75" i="238"/>
  <c r="E75" i="238"/>
  <c r="G75" i="238" s="1"/>
  <c r="D75" i="238"/>
  <c r="P74" i="238"/>
  <c r="O74" i="238"/>
  <c r="N74" i="238"/>
  <c r="M74" i="238"/>
  <c r="J74" i="238"/>
  <c r="I74" i="238"/>
  <c r="H74" i="238"/>
  <c r="K74" i="238" s="1"/>
  <c r="L74" i="238" s="1"/>
  <c r="G74" i="238"/>
  <c r="F74" i="238"/>
  <c r="E74" i="238"/>
  <c r="P73" i="238"/>
  <c r="O73" i="238"/>
  <c r="N73" i="238"/>
  <c r="M73" i="238"/>
  <c r="J73" i="238"/>
  <c r="I73" i="238"/>
  <c r="H73" i="238"/>
  <c r="G73" i="238"/>
  <c r="F73" i="238"/>
  <c r="E73" i="238"/>
  <c r="P72" i="238"/>
  <c r="O72" i="238"/>
  <c r="N72" i="238"/>
  <c r="M72" i="238"/>
  <c r="J72" i="238"/>
  <c r="I72" i="238"/>
  <c r="H72" i="238"/>
  <c r="K72" i="238" s="1"/>
  <c r="L72" i="238" s="1"/>
  <c r="G72" i="238"/>
  <c r="F72" i="238"/>
  <c r="E72" i="238"/>
  <c r="P71" i="238"/>
  <c r="O71" i="238"/>
  <c r="N71" i="238"/>
  <c r="M71" i="238"/>
  <c r="J71" i="238"/>
  <c r="I71" i="238"/>
  <c r="H71" i="238"/>
  <c r="K71" i="238" s="1"/>
  <c r="L71" i="238" s="1"/>
  <c r="G71" i="238"/>
  <c r="F71" i="238"/>
  <c r="E71" i="238"/>
  <c r="P70" i="238"/>
  <c r="O70" i="238"/>
  <c r="N70" i="238"/>
  <c r="M70" i="238"/>
  <c r="J70" i="238"/>
  <c r="I70" i="238"/>
  <c r="H70" i="238"/>
  <c r="G70" i="238"/>
  <c r="F70" i="238"/>
  <c r="E70" i="238"/>
  <c r="P69" i="238"/>
  <c r="O69" i="238"/>
  <c r="N69" i="238"/>
  <c r="M69" i="238"/>
  <c r="J69" i="238"/>
  <c r="I69" i="238"/>
  <c r="H69" i="238"/>
  <c r="K69" i="238" s="1"/>
  <c r="L69" i="238" s="1"/>
  <c r="G69" i="238"/>
  <c r="F69" i="238"/>
  <c r="E69" i="238"/>
  <c r="P68" i="238"/>
  <c r="O68" i="238"/>
  <c r="N68" i="238"/>
  <c r="M68" i="238"/>
  <c r="J68" i="238"/>
  <c r="I68" i="238"/>
  <c r="H68" i="238"/>
  <c r="G68" i="238"/>
  <c r="F68" i="238"/>
  <c r="E68" i="238"/>
  <c r="P67" i="238"/>
  <c r="O67" i="238"/>
  <c r="N67" i="238"/>
  <c r="M67" i="238"/>
  <c r="J67" i="238"/>
  <c r="I67" i="238"/>
  <c r="H67" i="238"/>
  <c r="G67" i="238"/>
  <c r="F67" i="238"/>
  <c r="E67" i="238"/>
  <c r="P66" i="238"/>
  <c r="O66" i="238"/>
  <c r="N66" i="238"/>
  <c r="M66" i="238"/>
  <c r="J66" i="238"/>
  <c r="I66" i="238"/>
  <c r="H66" i="238"/>
  <c r="K66" i="238" s="1"/>
  <c r="L66" i="238" s="1"/>
  <c r="G66" i="238"/>
  <c r="F66" i="238"/>
  <c r="E66" i="238"/>
  <c r="P65" i="238"/>
  <c r="O65" i="238"/>
  <c r="N65" i="238"/>
  <c r="M65" i="238"/>
  <c r="J65" i="238"/>
  <c r="I65" i="238"/>
  <c r="H65" i="238"/>
  <c r="K65" i="238" s="1"/>
  <c r="L65" i="238" s="1"/>
  <c r="G65" i="238"/>
  <c r="F65" i="238"/>
  <c r="E65" i="238"/>
  <c r="P64" i="238"/>
  <c r="O64" i="238"/>
  <c r="N64" i="238"/>
  <c r="M64" i="238"/>
  <c r="J64" i="238"/>
  <c r="I64" i="238"/>
  <c r="H64" i="238"/>
  <c r="G64" i="238"/>
  <c r="F64" i="238"/>
  <c r="E64" i="238"/>
  <c r="P63" i="238"/>
  <c r="O63" i="238"/>
  <c r="N63" i="238"/>
  <c r="M63" i="238"/>
  <c r="J63" i="238"/>
  <c r="I63" i="238"/>
  <c r="H63" i="238"/>
  <c r="K63" i="238" s="1"/>
  <c r="L63" i="238" s="1"/>
  <c r="G63" i="238"/>
  <c r="F63" i="238"/>
  <c r="E63" i="238"/>
  <c r="P62" i="238"/>
  <c r="O62" i="238"/>
  <c r="N62" i="238"/>
  <c r="M62" i="238"/>
  <c r="J62" i="238"/>
  <c r="I62" i="238"/>
  <c r="H62" i="238"/>
  <c r="G62" i="238"/>
  <c r="F62" i="238"/>
  <c r="E62" i="238"/>
  <c r="P61" i="238"/>
  <c r="O61" i="238"/>
  <c r="N61" i="238"/>
  <c r="M61" i="238"/>
  <c r="J61" i="238"/>
  <c r="I61" i="238"/>
  <c r="H61" i="238"/>
  <c r="G61" i="238"/>
  <c r="F61" i="238"/>
  <c r="E61" i="238"/>
  <c r="P60" i="238"/>
  <c r="O60" i="238"/>
  <c r="N60" i="238"/>
  <c r="M60" i="238"/>
  <c r="J60" i="238"/>
  <c r="I60" i="238"/>
  <c r="H60" i="238"/>
  <c r="K60" i="238" s="1"/>
  <c r="L60" i="238" s="1"/>
  <c r="G60" i="238"/>
  <c r="F60" i="238"/>
  <c r="E60" i="238"/>
  <c r="P59" i="238"/>
  <c r="O59" i="238"/>
  <c r="N59" i="238"/>
  <c r="M59" i="238"/>
  <c r="J59" i="238"/>
  <c r="I59" i="238"/>
  <c r="H59" i="238"/>
  <c r="K59" i="238" s="1"/>
  <c r="L59" i="238" s="1"/>
  <c r="G59" i="238"/>
  <c r="F59" i="238"/>
  <c r="E59" i="238"/>
  <c r="P58" i="238"/>
  <c r="O58" i="238"/>
  <c r="N58" i="238"/>
  <c r="M58" i="238"/>
  <c r="J58" i="238"/>
  <c r="I58" i="238"/>
  <c r="H58" i="238"/>
  <c r="G58" i="238"/>
  <c r="F58" i="238"/>
  <c r="E58" i="238"/>
  <c r="P57" i="238"/>
  <c r="O57" i="238"/>
  <c r="N57" i="238"/>
  <c r="M57" i="238"/>
  <c r="J57" i="238"/>
  <c r="I57" i="238"/>
  <c r="H57" i="238"/>
  <c r="K57" i="238" s="1"/>
  <c r="L57" i="238" s="1"/>
  <c r="G57" i="238"/>
  <c r="F57" i="238"/>
  <c r="E57" i="238"/>
  <c r="P56" i="238"/>
  <c r="O56" i="238"/>
  <c r="N56" i="238"/>
  <c r="M56" i="238"/>
  <c r="J56" i="238"/>
  <c r="I56" i="238"/>
  <c r="H56" i="238"/>
  <c r="G56" i="238"/>
  <c r="F56" i="238"/>
  <c r="E56" i="238"/>
  <c r="P55" i="238"/>
  <c r="O55" i="238"/>
  <c r="N55" i="238"/>
  <c r="M55" i="238"/>
  <c r="J55" i="238"/>
  <c r="I55" i="238"/>
  <c r="I75" i="238" s="1"/>
  <c r="H55" i="238"/>
  <c r="G55" i="238"/>
  <c r="F55" i="238"/>
  <c r="E55" i="238"/>
  <c r="P54" i="238"/>
  <c r="O54" i="238"/>
  <c r="N54" i="238"/>
  <c r="M54" i="238"/>
  <c r="J54" i="238"/>
  <c r="H54" i="238"/>
  <c r="G54" i="238"/>
  <c r="E54" i="238"/>
  <c r="D54" i="238"/>
  <c r="P53" i="238"/>
  <c r="L53" i="238"/>
  <c r="K53" i="238"/>
  <c r="G53" i="238"/>
  <c r="P52" i="238"/>
  <c r="K52" i="238"/>
  <c r="G52" i="238"/>
  <c r="L52" i="238" s="1"/>
  <c r="P51" i="238"/>
  <c r="L51" i="238"/>
  <c r="K51" i="238"/>
  <c r="G51" i="238"/>
  <c r="P50" i="238"/>
  <c r="L50" i="238"/>
  <c r="K50" i="238"/>
  <c r="G50" i="238"/>
  <c r="P49" i="238"/>
  <c r="K49" i="238"/>
  <c r="G49" i="238"/>
  <c r="L49" i="238" s="1"/>
  <c r="P48" i="238"/>
  <c r="L48" i="238"/>
  <c r="K48" i="238"/>
  <c r="G48" i="238"/>
  <c r="P47" i="238"/>
  <c r="L47" i="238"/>
  <c r="K47" i="238"/>
  <c r="G47" i="238"/>
  <c r="P46" i="238"/>
  <c r="K46" i="238"/>
  <c r="G46" i="238"/>
  <c r="L46" i="238" s="1"/>
  <c r="P45" i="238"/>
  <c r="L45" i="238"/>
  <c r="K45" i="238"/>
  <c r="G45" i="238"/>
  <c r="P44" i="238"/>
  <c r="L44" i="238"/>
  <c r="K44" i="238"/>
  <c r="G44" i="238"/>
  <c r="P43" i="238"/>
  <c r="K43" i="238"/>
  <c r="G43" i="238"/>
  <c r="L43" i="238" s="1"/>
  <c r="P42" i="238"/>
  <c r="L42" i="238"/>
  <c r="K42" i="238"/>
  <c r="G42" i="238"/>
  <c r="P41" i="238"/>
  <c r="L41" i="238"/>
  <c r="K41" i="238"/>
  <c r="G41" i="238"/>
  <c r="P40" i="238"/>
  <c r="K40" i="238"/>
  <c r="G40" i="238"/>
  <c r="L40" i="238" s="1"/>
  <c r="P39" i="238"/>
  <c r="L39" i="238"/>
  <c r="K39" i="238"/>
  <c r="G39" i="238"/>
  <c r="P38" i="238"/>
  <c r="L38" i="238"/>
  <c r="K38" i="238"/>
  <c r="G38" i="238"/>
  <c r="P37" i="238"/>
  <c r="K37" i="238"/>
  <c r="G37" i="238"/>
  <c r="L37" i="238" s="1"/>
  <c r="P36" i="238"/>
  <c r="L36" i="238"/>
  <c r="K36" i="238"/>
  <c r="G36" i="238"/>
  <c r="P35" i="238"/>
  <c r="L35" i="238"/>
  <c r="K35" i="238"/>
  <c r="G35" i="238"/>
  <c r="P34" i="238"/>
  <c r="K34" i="238"/>
  <c r="G34" i="238"/>
  <c r="L34" i="238" s="1"/>
  <c r="L33" i="238"/>
  <c r="K33" i="238"/>
  <c r="J33" i="238"/>
  <c r="I33" i="238"/>
  <c r="H33" i="238"/>
  <c r="G33" i="238"/>
  <c r="F33" i="238"/>
  <c r="E33" i="238"/>
  <c r="D33" i="238"/>
  <c r="L32" i="238"/>
  <c r="K32" i="238"/>
  <c r="K31" i="238"/>
  <c r="L31" i="238" s="1"/>
  <c r="L30" i="238"/>
  <c r="K30" i="238"/>
  <c r="L29" i="238"/>
  <c r="K29" i="238"/>
  <c r="L28" i="238"/>
  <c r="K28" i="238"/>
  <c r="L27" i="238"/>
  <c r="K27" i="238"/>
  <c r="L26" i="238"/>
  <c r="K26" i="238"/>
  <c r="K25" i="238"/>
  <c r="L25" i="238" s="1"/>
  <c r="L24" i="238"/>
  <c r="K24" i="238"/>
  <c r="L23" i="238"/>
  <c r="K23" i="238"/>
  <c r="L22" i="238"/>
  <c r="K22" i="238"/>
  <c r="G22" i="238"/>
  <c r="K21" i="238"/>
  <c r="G21" i="238"/>
  <c r="L21" i="238" s="1"/>
  <c r="L20" i="238"/>
  <c r="K20" i="238"/>
  <c r="G20" i="238"/>
  <c r="L19" i="238"/>
  <c r="K19" i="238"/>
  <c r="G19" i="238"/>
  <c r="L18" i="238"/>
  <c r="K18" i="238"/>
  <c r="G18" i="238"/>
  <c r="K17" i="238"/>
  <c r="G17" i="238"/>
  <c r="L17" i="238" s="1"/>
  <c r="L16" i="238"/>
  <c r="K16" i="238"/>
  <c r="G16" i="238"/>
  <c r="L15" i="238"/>
  <c r="K15" i="238"/>
  <c r="G15" i="238"/>
  <c r="L14" i="238"/>
  <c r="K14" i="238"/>
  <c r="G14" i="238"/>
  <c r="K13" i="238"/>
  <c r="G13" i="238"/>
  <c r="L13" i="238" s="1"/>
  <c r="O75" i="237"/>
  <c r="P75" i="237" s="1"/>
  <c r="M75" i="237"/>
  <c r="J75" i="237"/>
  <c r="I75" i="237"/>
  <c r="H75" i="237"/>
  <c r="K75" i="237" s="1"/>
  <c r="F75" i="237"/>
  <c r="D75" i="237"/>
  <c r="P74" i="237"/>
  <c r="O74" i="237"/>
  <c r="N74" i="237"/>
  <c r="M74" i="237"/>
  <c r="K74" i="237"/>
  <c r="J74" i="237"/>
  <c r="I74" i="237"/>
  <c r="H74" i="237"/>
  <c r="F74" i="237"/>
  <c r="E74" i="237"/>
  <c r="G74" i="237" s="1"/>
  <c r="L74" i="237" s="1"/>
  <c r="P73" i="237"/>
  <c r="O73" i="237"/>
  <c r="N73" i="237"/>
  <c r="M73" i="237"/>
  <c r="K73" i="237"/>
  <c r="J73" i="237"/>
  <c r="I73" i="237"/>
  <c r="H73" i="237"/>
  <c r="F73" i="237"/>
  <c r="E73" i="237"/>
  <c r="G73" i="237" s="1"/>
  <c r="L73" i="237" s="1"/>
  <c r="P72" i="237"/>
  <c r="O72" i="237"/>
  <c r="N72" i="237"/>
  <c r="M72" i="237"/>
  <c r="K72" i="237"/>
  <c r="J72" i="237"/>
  <c r="I72" i="237"/>
  <c r="H72" i="237"/>
  <c r="F72" i="237"/>
  <c r="E72" i="237"/>
  <c r="G72" i="237" s="1"/>
  <c r="L72" i="237" s="1"/>
  <c r="P71" i="237"/>
  <c r="O71" i="237"/>
  <c r="N71" i="237"/>
  <c r="M71" i="237"/>
  <c r="K71" i="237"/>
  <c r="J71" i="237"/>
  <c r="I71" i="237"/>
  <c r="H71" i="237"/>
  <c r="F71" i="237"/>
  <c r="E71" i="237"/>
  <c r="G71" i="237" s="1"/>
  <c r="L71" i="237" s="1"/>
  <c r="P70" i="237"/>
  <c r="O70" i="237"/>
  <c r="N70" i="237"/>
  <c r="M70" i="237"/>
  <c r="K70" i="237"/>
  <c r="J70" i="237"/>
  <c r="I70" i="237"/>
  <c r="H70" i="237"/>
  <c r="F70" i="237"/>
  <c r="E70" i="237"/>
  <c r="G70" i="237" s="1"/>
  <c r="L70" i="237" s="1"/>
  <c r="P69" i="237"/>
  <c r="O69" i="237"/>
  <c r="N69" i="237"/>
  <c r="M69" i="237"/>
  <c r="K69" i="237"/>
  <c r="J69" i="237"/>
  <c r="I69" i="237"/>
  <c r="H69" i="237"/>
  <c r="F69" i="237"/>
  <c r="E69" i="237"/>
  <c r="G69" i="237" s="1"/>
  <c r="L69" i="237" s="1"/>
  <c r="P68" i="237"/>
  <c r="O68" i="237"/>
  <c r="N68" i="237"/>
  <c r="M68" i="237"/>
  <c r="K68" i="237"/>
  <c r="J68" i="237"/>
  <c r="I68" i="237"/>
  <c r="H68" i="237"/>
  <c r="F68" i="237"/>
  <c r="E68" i="237"/>
  <c r="G68" i="237" s="1"/>
  <c r="L68" i="237" s="1"/>
  <c r="P67" i="237"/>
  <c r="O67" i="237"/>
  <c r="N67" i="237"/>
  <c r="M67" i="237"/>
  <c r="K67" i="237"/>
  <c r="J67" i="237"/>
  <c r="I67" i="237"/>
  <c r="H67" i="237"/>
  <c r="F67" i="237"/>
  <c r="E67" i="237"/>
  <c r="G67" i="237" s="1"/>
  <c r="L67" i="237" s="1"/>
  <c r="P66" i="237"/>
  <c r="O66" i="237"/>
  <c r="N66" i="237"/>
  <c r="M66" i="237"/>
  <c r="K66" i="237"/>
  <c r="J66" i="237"/>
  <c r="I66" i="237"/>
  <c r="H66" i="237"/>
  <c r="F66" i="237"/>
  <c r="E66" i="237"/>
  <c r="G66" i="237" s="1"/>
  <c r="L66" i="237" s="1"/>
  <c r="P65" i="237"/>
  <c r="O65" i="237"/>
  <c r="N65" i="237"/>
  <c r="M65" i="237"/>
  <c r="K65" i="237"/>
  <c r="J65" i="237"/>
  <c r="I65" i="237"/>
  <c r="H65" i="237"/>
  <c r="F65" i="237"/>
  <c r="E65" i="237"/>
  <c r="G65" i="237" s="1"/>
  <c r="L65" i="237" s="1"/>
  <c r="P64" i="237"/>
  <c r="O64" i="237"/>
  <c r="N64" i="237"/>
  <c r="M64" i="237"/>
  <c r="K64" i="237"/>
  <c r="J64" i="237"/>
  <c r="I64" i="237"/>
  <c r="H64" i="237"/>
  <c r="F64" i="237"/>
  <c r="E64" i="237"/>
  <c r="G64" i="237" s="1"/>
  <c r="L64" i="237" s="1"/>
  <c r="P63" i="237"/>
  <c r="O63" i="237"/>
  <c r="N63" i="237"/>
  <c r="M63" i="237"/>
  <c r="K63" i="237"/>
  <c r="J63" i="237"/>
  <c r="I63" i="237"/>
  <c r="H63" i="237"/>
  <c r="F63" i="237"/>
  <c r="E63" i="237"/>
  <c r="G63" i="237" s="1"/>
  <c r="L63" i="237" s="1"/>
  <c r="P62" i="237"/>
  <c r="O62" i="237"/>
  <c r="N62" i="237"/>
  <c r="M62" i="237"/>
  <c r="K62" i="237"/>
  <c r="J62" i="237"/>
  <c r="I62" i="237"/>
  <c r="H62" i="237"/>
  <c r="F62" i="237"/>
  <c r="E62" i="237"/>
  <c r="G62" i="237" s="1"/>
  <c r="L62" i="237" s="1"/>
  <c r="P61" i="237"/>
  <c r="O61" i="237"/>
  <c r="N61" i="237"/>
  <c r="M61" i="237"/>
  <c r="K61" i="237"/>
  <c r="J61" i="237"/>
  <c r="I61" i="237"/>
  <c r="H61" i="237"/>
  <c r="F61" i="237"/>
  <c r="E61" i="237"/>
  <c r="G61" i="237" s="1"/>
  <c r="L61" i="237" s="1"/>
  <c r="P60" i="237"/>
  <c r="O60" i="237"/>
  <c r="N60" i="237"/>
  <c r="M60" i="237"/>
  <c r="K60" i="237"/>
  <c r="J60" i="237"/>
  <c r="I60" i="237"/>
  <c r="H60" i="237"/>
  <c r="F60" i="237"/>
  <c r="E60" i="237"/>
  <c r="G60" i="237" s="1"/>
  <c r="L60" i="237" s="1"/>
  <c r="P59" i="237"/>
  <c r="O59" i="237"/>
  <c r="N59" i="237"/>
  <c r="M59" i="237"/>
  <c r="K59" i="237"/>
  <c r="J59" i="237"/>
  <c r="I59" i="237"/>
  <c r="H59" i="237"/>
  <c r="F59" i="237"/>
  <c r="E59" i="237"/>
  <c r="G59" i="237" s="1"/>
  <c r="L59" i="237" s="1"/>
  <c r="P58" i="237"/>
  <c r="O58" i="237"/>
  <c r="N58" i="237"/>
  <c r="M58" i="237"/>
  <c r="K58" i="237"/>
  <c r="J58" i="237"/>
  <c r="I58" i="237"/>
  <c r="H58" i="237"/>
  <c r="F58" i="237"/>
  <c r="E58" i="237"/>
  <c r="G58" i="237" s="1"/>
  <c r="L58" i="237" s="1"/>
  <c r="P57" i="237"/>
  <c r="O57" i="237"/>
  <c r="N57" i="237"/>
  <c r="M57" i="237"/>
  <c r="K57" i="237"/>
  <c r="J57" i="237"/>
  <c r="I57" i="237"/>
  <c r="H57" i="237"/>
  <c r="F57" i="237"/>
  <c r="E57" i="237"/>
  <c r="G57" i="237" s="1"/>
  <c r="L57" i="237" s="1"/>
  <c r="P56" i="237"/>
  <c r="O56" i="237"/>
  <c r="N56" i="237"/>
  <c r="M56" i="237"/>
  <c r="K56" i="237"/>
  <c r="J56" i="237"/>
  <c r="I56" i="237"/>
  <c r="H56" i="237"/>
  <c r="F56" i="237"/>
  <c r="E56" i="237"/>
  <c r="G56" i="237" s="1"/>
  <c r="L56" i="237" s="1"/>
  <c r="P55" i="237"/>
  <c r="O55" i="237"/>
  <c r="N55" i="237"/>
  <c r="N75" i="237" s="1"/>
  <c r="M55" i="237"/>
  <c r="K55" i="237"/>
  <c r="J55" i="237"/>
  <c r="I55" i="237"/>
  <c r="H55" i="237"/>
  <c r="F55" i="237"/>
  <c r="E55" i="237"/>
  <c r="P54" i="237"/>
  <c r="O54" i="237"/>
  <c r="N54" i="237"/>
  <c r="M54" i="237"/>
  <c r="L54" i="237"/>
  <c r="K54" i="237"/>
  <c r="J54" i="237"/>
  <c r="H54" i="237"/>
  <c r="G54" i="237"/>
  <c r="E54" i="237"/>
  <c r="D54" i="237"/>
  <c r="P53" i="237"/>
  <c r="L53" i="237"/>
  <c r="K53" i="237"/>
  <c r="G53" i="237"/>
  <c r="P52" i="237"/>
  <c r="L52" i="237"/>
  <c r="K52" i="237"/>
  <c r="G52" i="237"/>
  <c r="P51" i="237"/>
  <c r="K51" i="237"/>
  <c r="G51" i="237"/>
  <c r="L51" i="237" s="1"/>
  <c r="P50" i="237"/>
  <c r="L50" i="237"/>
  <c r="K50" i="237"/>
  <c r="G50" i="237"/>
  <c r="P49" i="237"/>
  <c r="L49" i="237"/>
  <c r="K49" i="237"/>
  <c r="G49" i="237"/>
  <c r="P48" i="237"/>
  <c r="K48" i="237"/>
  <c r="G48" i="237"/>
  <c r="L48" i="237" s="1"/>
  <c r="P47" i="237"/>
  <c r="L47" i="237"/>
  <c r="K47" i="237"/>
  <c r="G47" i="237"/>
  <c r="P46" i="237"/>
  <c r="L46" i="237"/>
  <c r="K46" i="237"/>
  <c r="G46" i="237"/>
  <c r="P45" i="237"/>
  <c r="K45" i="237"/>
  <c r="G45" i="237"/>
  <c r="L45" i="237" s="1"/>
  <c r="P44" i="237"/>
  <c r="L44" i="237"/>
  <c r="K44" i="237"/>
  <c r="G44" i="237"/>
  <c r="P43" i="237"/>
  <c r="L43" i="237"/>
  <c r="K43" i="237"/>
  <c r="G43" i="237"/>
  <c r="P42" i="237"/>
  <c r="K42" i="237"/>
  <c r="G42" i="237"/>
  <c r="L42" i="237" s="1"/>
  <c r="P41" i="237"/>
  <c r="L41" i="237"/>
  <c r="K41" i="237"/>
  <c r="G41" i="237"/>
  <c r="P40" i="237"/>
  <c r="L40" i="237"/>
  <c r="K40" i="237"/>
  <c r="G40" i="237"/>
  <c r="P39" i="237"/>
  <c r="K39" i="237"/>
  <c r="G39" i="237"/>
  <c r="L39" i="237" s="1"/>
  <c r="P38" i="237"/>
  <c r="L38" i="237"/>
  <c r="K38" i="237"/>
  <c r="G38" i="237"/>
  <c r="P37" i="237"/>
  <c r="L37" i="237"/>
  <c r="K37" i="237"/>
  <c r="G37" i="237"/>
  <c r="P36" i="237"/>
  <c r="K36" i="237"/>
  <c r="G36" i="237"/>
  <c r="L36" i="237" s="1"/>
  <c r="P35" i="237"/>
  <c r="L35" i="237"/>
  <c r="K35" i="237"/>
  <c r="G35" i="237"/>
  <c r="P34" i="237"/>
  <c r="L34" i="237"/>
  <c r="K34" i="237"/>
  <c r="G34" i="237"/>
  <c r="L33" i="237"/>
  <c r="J33" i="237"/>
  <c r="I33" i="237"/>
  <c r="H33" i="237"/>
  <c r="K33" i="237" s="1"/>
  <c r="G33" i="237"/>
  <c r="F33" i="237"/>
  <c r="E33" i="237"/>
  <c r="D33" i="237"/>
  <c r="L32" i="237"/>
  <c r="K32" i="237"/>
  <c r="L31" i="237"/>
  <c r="K31" i="237"/>
  <c r="L30" i="237"/>
  <c r="K30" i="237"/>
  <c r="K29" i="237"/>
  <c r="L29" i="237" s="1"/>
  <c r="L28" i="237"/>
  <c r="K28" i="237"/>
  <c r="L27" i="237"/>
  <c r="K27" i="237"/>
  <c r="L26" i="237"/>
  <c r="K26" i="237"/>
  <c r="L25" i="237"/>
  <c r="K25" i="237"/>
  <c r="L24" i="237"/>
  <c r="K24" i="237"/>
  <c r="K23" i="237"/>
  <c r="L23" i="237" s="1"/>
  <c r="L22" i="237"/>
  <c r="K22" i="237"/>
  <c r="G22" i="237"/>
  <c r="L21" i="237"/>
  <c r="K21" i="237"/>
  <c r="G21" i="237"/>
  <c r="L20" i="237"/>
  <c r="K20" i="237"/>
  <c r="G20" i="237"/>
  <c r="K19" i="237"/>
  <c r="G19" i="237"/>
  <c r="L19" i="237" s="1"/>
  <c r="L18" i="237"/>
  <c r="K18" i="237"/>
  <c r="G18" i="237"/>
  <c r="L17" i="237"/>
  <c r="K17" i="237"/>
  <c r="G17" i="237"/>
  <c r="L16" i="237"/>
  <c r="K16" i="237"/>
  <c r="G16" i="237"/>
  <c r="K15" i="237"/>
  <c r="G15" i="237"/>
  <c r="L15" i="237" s="1"/>
  <c r="L14" i="237"/>
  <c r="K14" i="237"/>
  <c r="G14" i="237"/>
  <c r="L13" i="237"/>
  <c r="K13" i="237"/>
  <c r="G13" i="237"/>
  <c r="H17" i="230"/>
  <c r="G17" i="230"/>
  <c r="F17" i="230"/>
  <c r="E17" i="230"/>
  <c r="D17" i="230"/>
  <c r="C17" i="230"/>
  <c r="H17" i="229"/>
  <c r="G17" i="229"/>
  <c r="F17" i="229"/>
  <c r="E17" i="229"/>
  <c r="D17" i="229"/>
  <c r="C17" i="229"/>
  <c r="J25" i="228"/>
  <c r="M24" i="228"/>
  <c r="L24" i="228"/>
  <c r="H24" i="228"/>
  <c r="G24" i="228"/>
  <c r="M23" i="228"/>
  <c r="L23" i="228"/>
  <c r="H23" i="228"/>
  <c r="G23" i="228"/>
  <c r="K22" i="228"/>
  <c r="K25" i="228" s="1"/>
  <c r="J22" i="228"/>
  <c r="I22" i="228"/>
  <c r="H22" i="228"/>
  <c r="G22" i="228"/>
  <c r="F22" i="228"/>
  <c r="E22" i="228"/>
  <c r="D22" i="228"/>
  <c r="M21" i="228"/>
  <c r="L21" i="228"/>
  <c r="G21" i="228"/>
  <c r="H21" i="228" s="1"/>
  <c r="M20" i="228"/>
  <c r="L20" i="228"/>
  <c r="H20" i="228"/>
  <c r="G20" i="228"/>
  <c r="M19" i="228"/>
  <c r="L19" i="228"/>
  <c r="H19" i="228"/>
  <c r="G19" i="228"/>
  <c r="M18" i="228"/>
  <c r="L18" i="228"/>
  <c r="G18" i="228"/>
  <c r="H18" i="228" s="1"/>
  <c r="M17" i="228"/>
  <c r="L17" i="228"/>
  <c r="H17" i="228"/>
  <c r="G17" i="228"/>
  <c r="M16" i="228"/>
  <c r="L16" i="228"/>
  <c r="H16" i="228"/>
  <c r="G16" i="228"/>
  <c r="M15" i="228"/>
  <c r="L15" i="228"/>
  <c r="G15" i="228"/>
  <c r="H15" i="228" s="1"/>
  <c r="M14" i="228"/>
  <c r="L14" i="228"/>
  <c r="H14" i="228"/>
  <c r="G14" i="228"/>
  <c r="L13" i="228"/>
  <c r="K13" i="228"/>
  <c r="J13" i="228"/>
  <c r="I13" i="228"/>
  <c r="M13" i="228" s="1"/>
  <c r="F13" i="228"/>
  <c r="F25" i="228" s="1"/>
  <c r="E13" i="228"/>
  <c r="G13" i="228" s="1"/>
  <c r="D13" i="228"/>
  <c r="D25" i="228" s="1"/>
  <c r="F25" i="227"/>
  <c r="D25" i="227"/>
  <c r="M24" i="227"/>
  <c r="L24" i="227"/>
  <c r="H24" i="227"/>
  <c r="G24" i="227"/>
  <c r="M23" i="227"/>
  <c r="L23" i="227"/>
  <c r="H23" i="227"/>
  <c r="G23" i="227"/>
  <c r="K22" i="227"/>
  <c r="K25" i="227" s="1"/>
  <c r="J22" i="227"/>
  <c r="I22" i="227"/>
  <c r="H22" i="227"/>
  <c r="G22" i="227"/>
  <c r="F22" i="227"/>
  <c r="E22" i="227"/>
  <c r="D22" i="227"/>
  <c r="M21" i="227"/>
  <c r="L21" i="227"/>
  <c r="H21" i="227"/>
  <c r="G21" i="227"/>
  <c r="L20" i="227"/>
  <c r="M20" i="227" s="1"/>
  <c r="H20" i="227"/>
  <c r="G20" i="227"/>
  <c r="M19" i="227"/>
  <c r="L19" i="227"/>
  <c r="H19" i="227"/>
  <c r="G19" i="227"/>
  <c r="M18" i="227"/>
  <c r="L18" i="227"/>
  <c r="H18" i="227"/>
  <c r="G18" i="227"/>
  <c r="L17" i="227"/>
  <c r="M17" i="227" s="1"/>
  <c r="H17" i="227"/>
  <c r="G17" i="227"/>
  <c r="M16" i="227"/>
  <c r="L16" i="227"/>
  <c r="H16" i="227"/>
  <c r="G16" i="227"/>
  <c r="M15" i="227"/>
  <c r="L15" i="227"/>
  <c r="H15" i="227"/>
  <c r="G15" i="227"/>
  <c r="L14" i="227"/>
  <c r="M14" i="227" s="1"/>
  <c r="H14" i="227"/>
  <c r="G14" i="227"/>
  <c r="L13" i="227"/>
  <c r="M13" i="227" s="1"/>
  <c r="K13" i="227"/>
  <c r="J13" i="227"/>
  <c r="I13" i="227"/>
  <c r="F13" i="227"/>
  <c r="E13" i="227"/>
  <c r="G13" i="227" s="1"/>
  <c r="G25" i="227" s="1"/>
  <c r="D13" i="227"/>
  <c r="H13" i="227" s="1"/>
  <c r="H25" i="227" s="1"/>
  <c r="F97" i="222"/>
  <c r="E97" i="222"/>
  <c r="F94" i="222"/>
  <c r="E94" i="222"/>
  <c r="F91" i="222"/>
  <c r="E91" i="222"/>
  <c r="F88" i="222"/>
  <c r="E88" i="222"/>
  <c r="G82" i="222"/>
  <c r="F82" i="222"/>
  <c r="E82" i="222"/>
  <c r="E85" i="222" s="1"/>
  <c r="G77" i="222"/>
  <c r="F77" i="222"/>
  <c r="F85" i="222" s="1"/>
  <c r="E77" i="222"/>
  <c r="F75" i="222"/>
  <c r="G71" i="222"/>
  <c r="F71" i="222"/>
  <c r="E71" i="222"/>
  <c r="E75" i="222" s="1"/>
  <c r="G67" i="222"/>
  <c r="F67" i="222"/>
  <c r="F68" i="222" s="1"/>
  <c r="E67" i="222"/>
  <c r="E68" i="222" s="1"/>
  <c r="G63" i="222"/>
  <c r="F63" i="222"/>
  <c r="E63" i="222"/>
  <c r="G57" i="222"/>
  <c r="F57" i="222"/>
  <c r="E57" i="222"/>
  <c r="G52" i="222"/>
  <c r="F52" i="222"/>
  <c r="F61" i="222" s="1"/>
  <c r="E52" i="222"/>
  <c r="E61" i="222" s="1"/>
  <c r="F50" i="222"/>
  <c r="E50" i="222"/>
  <c r="F47" i="222"/>
  <c r="G46" i="222"/>
  <c r="F46" i="222"/>
  <c r="E46" i="222"/>
  <c r="E47" i="222" s="1"/>
  <c r="F44" i="222"/>
  <c r="E44" i="222"/>
  <c r="F41" i="222"/>
  <c r="E41" i="222"/>
  <c r="F35" i="222"/>
  <c r="E35" i="222"/>
  <c r="F32" i="222"/>
  <c r="E32" i="222"/>
  <c r="G28" i="222"/>
  <c r="F28" i="222"/>
  <c r="E28" i="222"/>
  <c r="G26" i="222"/>
  <c r="F26" i="222"/>
  <c r="E26" i="222"/>
  <c r="F12" i="222"/>
  <c r="E12" i="222"/>
  <c r="F97" i="221"/>
  <c r="E97" i="221"/>
  <c r="F94" i="221"/>
  <c r="E94" i="221"/>
  <c r="F91" i="221"/>
  <c r="E91" i="221"/>
  <c r="F88" i="221"/>
  <c r="E88" i="221"/>
  <c r="G82" i="221"/>
  <c r="F82" i="221"/>
  <c r="E82" i="221"/>
  <c r="E85" i="221" s="1"/>
  <c r="G77" i="221"/>
  <c r="F77" i="221"/>
  <c r="E77" i="221"/>
  <c r="F75" i="221"/>
  <c r="G71" i="221"/>
  <c r="F71" i="221"/>
  <c r="E71" i="221"/>
  <c r="E75" i="221" s="1"/>
  <c r="G67" i="221"/>
  <c r="F67" i="221"/>
  <c r="F68" i="221" s="1"/>
  <c r="E67" i="221"/>
  <c r="E68" i="221" s="1"/>
  <c r="G63" i="221"/>
  <c r="F63" i="221"/>
  <c r="E63" i="221"/>
  <c r="G57" i="221"/>
  <c r="F57" i="221"/>
  <c r="E57" i="221"/>
  <c r="G52" i="221"/>
  <c r="F52" i="221"/>
  <c r="F61" i="221" s="1"/>
  <c r="E52" i="221"/>
  <c r="E61" i="221" s="1"/>
  <c r="F50" i="221"/>
  <c r="E50" i="221"/>
  <c r="F47" i="221"/>
  <c r="G46" i="221"/>
  <c r="F46" i="221"/>
  <c r="E46" i="221"/>
  <c r="E47" i="221" s="1"/>
  <c r="F44" i="221"/>
  <c r="E44" i="221"/>
  <c r="F41" i="221"/>
  <c r="E41" i="221"/>
  <c r="F35" i="221"/>
  <c r="E35" i="221"/>
  <c r="F32" i="221"/>
  <c r="E32" i="221"/>
  <c r="G28" i="221"/>
  <c r="F28" i="221"/>
  <c r="E28" i="221"/>
  <c r="G26" i="221"/>
  <c r="F26" i="221"/>
  <c r="E26" i="221"/>
  <c r="F12" i="221"/>
  <c r="E12" i="221"/>
  <c r="K78" i="220"/>
  <c r="L78" i="220" s="1"/>
  <c r="K77" i="220"/>
  <c r="L77" i="220" s="1"/>
  <c r="K76" i="220"/>
  <c r="L76" i="220" s="1"/>
  <c r="K75" i="220"/>
  <c r="L75" i="220" s="1"/>
  <c r="K73" i="220"/>
  <c r="L73" i="220" s="1"/>
  <c r="K72" i="220"/>
  <c r="L72" i="220" s="1"/>
  <c r="K71" i="220"/>
  <c r="L71" i="220" s="1"/>
  <c r="K70" i="220"/>
  <c r="L70" i="220" s="1"/>
  <c r="K69" i="220"/>
  <c r="L69" i="220" s="1"/>
  <c r="K68" i="220"/>
  <c r="L68" i="220" s="1"/>
  <c r="K67" i="220"/>
  <c r="L67" i="220" s="1"/>
  <c r="K66" i="220"/>
  <c r="L66" i="220" s="1"/>
  <c r="K65" i="220"/>
  <c r="L65" i="220" s="1"/>
  <c r="K63" i="220"/>
  <c r="L63" i="220" s="1"/>
  <c r="K62" i="220"/>
  <c r="L62" i="220" s="1"/>
  <c r="K61" i="220"/>
  <c r="L61" i="220" s="1"/>
  <c r="K60" i="220"/>
  <c r="L60" i="220" s="1"/>
  <c r="K59" i="220"/>
  <c r="L59" i="220" s="1"/>
  <c r="K57" i="220"/>
  <c r="L57" i="220" s="1"/>
  <c r="K56" i="220"/>
  <c r="L56" i="220" s="1"/>
  <c r="K55" i="220"/>
  <c r="L55" i="220" s="1"/>
  <c r="K54" i="220"/>
  <c r="L54" i="220" s="1"/>
  <c r="K53" i="220"/>
  <c r="L53" i="220" s="1"/>
  <c r="K52" i="220"/>
  <c r="L52" i="220" s="1"/>
  <c r="K51" i="220"/>
  <c r="L51" i="220" s="1"/>
  <c r="K50" i="220"/>
  <c r="L50" i="220" s="1"/>
  <c r="K49" i="220"/>
  <c r="L49" i="220" s="1"/>
  <c r="K48" i="220"/>
  <c r="L48" i="220" s="1"/>
  <c r="K47" i="220"/>
  <c r="L47" i="220" s="1"/>
  <c r="K46" i="220"/>
  <c r="L46" i="220" s="1"/>
  <c r="L45" i="220"/>
  <c r="K45" i="220"/>
  <c r="K44" i="220"/>
  <c r="L44" i="220" s="1"/>
  <c r="L43" i="220"/>
  <c r="K43" i="220"/>
  <c r="K42" i="220"/>
  <c r="L42" i="220" s="1"/>
  <c r="K41" i="220"/>
  <c r="L41" i="220" s="1"/>
  <c r="K40" i="220"/>
  <c r="L40" i="220" s="1"/>
  <c r="K39" i="220"/>
  <c r="L39" i="220" s="1"/>
  <c r="K38" i="220"/>
  <c r="L38" i="220" s="1"/>
  <c r="K37" i="220"/>
  <c r="L37" i="220" s="1"/>
  <c r="K36" i="220"/>
  <c r="L36" i="220" s="1"/>
  <c r="K35" i="220"/>
  <c r="L35" i="220" s="1"/>
  <c r="K34" i="220"/>
  <c r="L34" i="220" s="1"/>
  <c r="K33" i="220"/>
  <c r="L33" i="220" s="1"/>
  <c r="K32" i="220"/>
  <c r="L32" i="220" s="1"/>
  <c r="K31" i="220"/>
  <c r="L31" i="220" s="1"/>
  <c r="K30" i="220"/>
  <c r="L30" i="220" s="1"/>
  <c r="K29" i="220"/>
  <c r="L29" i="220" s="1"/>
  <c r="K28" i="220"/>
  <c r="L28" i="220" s="1"/>
  <c r="K27" i="220"/>
  <c r="L27" i="220" s="1"/>
  <c r="K26" i="220"/>
  <c r="L26" i="220" s="1"/>
  <c r="K25" i="220"/>
  <c r="L25" i="220" s="1"/>
  <c r="K24" i="220"/>
  <c r="L24" i="220" s="1"/>
  <c r="K23" i="220"/>
  <c r="L23" i="220" s="1"/>
  <c r="K22" i="220"/>
  <c r="L22" i="220" s="1"/>
  <c r="K21" i="220"/>
  <c r="L21" i="220" s="1"/>
  <c r="K20" i="220"/>
  <c r="L20" i="220" s="1"/>
  <c r="K19" i="220"/>
  <c r="L19" i="220" s="1"/>
  <c r="K18" i="220"/>
  <c r="L18" i="220" s="1"/>
  <c r="K17" i="220"/>
  <c r="L17" i="220" s="1"/>
  <c r="K16" i="220"/>
  <c r="L16" i="220" s="1"/>
  <c r="K15" i="220"/>
  <c r="L15" i="220" s="1"/>
  <c r="K14" i="220"/>
  <c r="L14" i="220" s="1"/>
  <c r="K13" i="220"/>
  <c r="L13" i="220" s="1"/>
  <c r="K12" i="220"/>
  <c r="L12" i="220" s="1"/>
  <c r="L77" i="219"/>
  <c r="K77" i="219"/>
  <c r="K76" i="219"/>
  <c r="L76" i="219" s="1"/>
  <c r="L75" i="219"/>
  <c r="K75" i="219"/>
  <c r="L74" i="219"/>
  <c r="K74" i="219"/>
  <c r="L72" i="219"/>
  <c r="K72" i="219"/>
  <c r="L71" i="219"/>
  <c r="K71" i="219"/>
  <c r="L70" i="219"/>
  <c r="K70" i="219"/>
  <c r="K69" i="219"/>
  <c r="L69" i="219" s="1"/>
  <c r="L68" i="219"/>
  <c r="K68" i="219"/>
  <c r="L67" i="219"/>
  <c r="K67" i="219"/>
  <c r="L66" i="219"/>
  <c r="K66" i="219"/>
  <c r="L65" i="219"/>
  <c r="K65" i="219"/>
  <c r="L64" i="219"/>
  <c r="K64" i="219"/>
  <c r="K62" i="219"/>
  <c r="L62" i="219" s="1"/>
  <c r="L61" i="219"/>
  <c r="K61" i="219"/>
  <c r="L60" i="219"/>
  <c r="K60" i="219"/>
  <c r="L59" i="219"/>
  <c r="K59" i="219"/>
  <c r="L58" i="219"/>
  <c r="K58" i="219"/>
  <c r="L57" i="219"/>
  <c r="K57" i="219"/>
  <c r="K56" i="219"/>
  <c r="L56" i="219" s="1"/>
  <c r="L55" i="219"/>
  <c r="K55" i="219"/>
  <c r="L54" i="219"/>
  <c r="K54" i="219"/>
  <c r="L53" i="219"/>
  <c r="K53" i="219"/>
  <c r="L52" i="219"/>
  <c r="K52" i="219"/>
  <c r="L51" i="219"/>
  <c r="K51" i="219"/>
  <c r="K50" i="219"/>
  <c r="L50" i="219" s="1"/>
  <c r="L49" i="219"/>
  <c r="K49" i="219"/>
  <c r="L48" i="219"/>
  <c r="K48" i="219"/>
  <c r="L47" i="219"/>
  <c r="K47" i="219"/>
  <c r="L46" i="219"/>
  <c r="K46" i="219"/>
  <c r="L45" i="219"/>
  <c r="K45" i="219"/>
  <c r="K44" i="219"/>
  <c r="L44" i="219" s="1"/>
  <c r="L43" i="219"/>
  <c r="K43" i="219"/>
  <c r="L42" i="219"/>
  <c r="K42" i="219"/>
  <c r="L41" i="219"/>
  <c r="K41" i="219"/>
  <c r="L40" i="219"/>
  <c r="K40" i="219"/>
  <c r="L39" i="219"/>
  <c r="K39" i="219"/>
  <c r="K38" i="219"/>
  <c r="L38" i="219" s="1"/>
  <c r="L37" i="219"/>
  <c r="K37" i="219"/>
  <c r="L36" i="219"/>
  <c r="K36" i="219"/>
  <c r="L35" i="219"/>
  <c r="K35" i="219"/>
  <c r="L34" i="219"/>
  <c r="K34" i="219"/>
  <c r="L33" i="219"/>
  <c r="K33" i="219"/>
  <c r="K32" i="219"/>
  <c r="L32" i="219" s="1"/>
  <c r="L31" i="219"/>
  <c r="K31" i="219"/>
  <c r="L30" i="219"/>
  <c r="K30" i="219"/>
  <c r="L29" i="219"/>
  <c r="K29" i="219"/>
  <c r="L28" i="219"/>
  <c r="K28" i="219"/>
  <c r="L27" i="219"/>
  <c r="K27" i="219"/>
  <c r="K26" i="219"/>
  <c r="L26" i="219" s="1"/>
  <c r="L25" i="219"/>
  <c r="K25" i="219"/>
  <c r="L24" i="219"/>
  <c r="K24" i="219"/>
  <c r="L23" i="219"/>
  <c r="K23" i="219"/>
  <c r="L22" i="219"/>
  <c r="K22" i="219"/>
  <c r="L21" i="219"/>
  <c r="K21" i="219"/>
  <c r="K20" i="219"/>
  <c r="L20" i="219" s="1"/>
  <c r="L19" i="219"/>
  <c r="K19" i="219"/>
  <c r="L18" i="219"/>
  <c r="K18" i="219"/>
  <c r="L17" i="219"/>
  <c r="K17" i="219"/>
  <c r="L16" i="219"/>
  <c r="K16" i="219"/>
  <c r="L15" i="219"/>
  <c r="K15" i="219"/>
  <c r="K14" i="219"/>
  <c r="L14" i="219" s="1"/>
  <c r="L13" i="219"/>
  <c r="K13" i="219"/>
  <c r="L12" i="219"/>
  <c r="K12" i="219"/>
  <c r="N59" i="218"/>
  <c r="M59" i="218"/>
  <c r="L59" i="218"/>
  <c r="K59" i="218"/>
  <c r="J59" i="218"/>
  <c r="I59" i="218"/>
  <c r="H59" i="218"/>
  <c r="G59" i="218"/>
  <c r="N58" i="218"/>
  <c r="N57" i="218"/>
  <c r="N56" i="218"/>
  <c r="N55" i="218"/>
  <c r="N54" i="218"/>
  <c r="G53" i="218"/>
  <c r="M52" i="218"/>
  <c r="N52" i="218" s="1"/>
  <c r="L52" i="218"/>
  <c r="K52" i="218"/>
  <c r="J52" i="218"/>
  <c r="I52" i="218"/>
  <c r="H52" i="218"/>
  <c r="G52" i="218"/>
  <c r="N51" i="218"/>
  <c r="N50" i="218"/>
  <c r="M49" i="218"/>
  <c r="M53" i="218" s="1"/>
  <c r="J49" i="218"/>
  <c r="J53" i="218" s="1"/>
  <c r="N48" i="218"/>
  <c r="N47" i="218"/>
  <c r="M46" i="218"/>
  <c r="L46" i="218"/>
  <c r="L49" i="218" s="1"/>
  <c r="L53" i="218" s="1"/>
  <c r="H46" i="218"/>
  <c r="H49" i="218" s="1"/>
  <c r="H53" i="218" s="1"/>
  <c r="N45" i="218"/>
  <c r="N44" i="218"/>
  <c r="N43" i="218"/>
  <c r="M43" i="218"/>
  <c r="L43" i="218"/>
  <c r="K43" i="218"/>
  <c r="J43" i="218"/>
  <c r="I43" i="218"/>
  <c r="H43" i="218"/>
  <c r="G43" i="218"/>
  <c r="G46" i="218" s="1"/>
  <c r="G49" i="218" s="1"/>
  <c r="N42" i="218"/>
  <c r="N41" i="218"/>
  <c r="N40" i="218"/>
  <c r="N39" i="218"/>
  <c r="N38" i="218"/>
  <c r="M37" i="218"/>
  <c r="L37" i="218"/>
  <c r="K37" i="218"/>
  <c r="N37" i="218" s="1"/>
  <c r="J37" i="218"/>
  <c r="J46" i="218" s="1"/>
  <c r="I37" i="218"/>
  <c r="I46" i="218" s="1"/>
  <c r="I49" i="218" s="1"/>
  <c r="I53" i="218" s="1"/>
  <c r="H37" i="218"/>
  <c r="G37" i="218"/>
  <c r="N36" i="218"/>
  <c r="N35" i="218"/>
  <c r="N34" i="218"/>
  <c r="N33" i="218"/>
  <c r="J29" i="218"/>
  <c r="G29" i="218"/>
  <c r="N28" i="218"/>
  <c r="J27" i="218"/>
  <c r="H27" i="218"/>
  <c r="H29" i="218" s="1"/>
  <c r="G27" i="218"/>
  <c r="N26" i="218"/>
  <c r="M25" i="218"/>
  <c r="M27" i="218" s="1"/>
  <c r="M29" i="218" s="1"/>
  <c r="J25" i="218"/>
  <c r="I25" i="218"/>
  <c r="I27" i="218" s="1"/>
  <c r="I29" i="218" s="1"/>
  <c r="H25" i="218"/>
  <c r="G25" i="218"/>
  <c r="N24" i="218"/>
  <c r="M23" i="218"/>
  <c r="N23" i="218" s="1"/>
  <c r="L23" i="218"/>
  <c r="L25" i="218" s="1"/>
  <c r="L27" i="218" s="1"/>
  <c r="L29" i="218" s="1"/>
  <c r="K23" i="218"/>
  <c r="K25" i="218" s="1"/>
  <c r="J23" i="218"/>
  <c r="I23" i="218"/>
  <c r="H23" i="218"/>
  <c r="G23" i="218"/>
  <c r="N22" i="218"/>
  <c r="N21" i="218"/>
  <c r="N20" i="218"/>
  <c r="N19" i="218"/>
  <c r="N18" i="218"/>
  <c r="N17" i="218"/>
  <c r="N16" i="218"/>
  <c r="N15" i="218"/>
  <c r="N14" i="218"/>
  <c r="N13" i="218"/>
  <c r="N12" i="218"/>
  <c r="N53" i="217"/>
  <c r="M53" i="217"/>
  <c r="L53" i="217"/>
  <c r="K53" i="217"/>
  <c r="J53" i="217"/>
  <c r="I53" i="217"/>
  <c r="H53" i="217"/>
  <c r="G53" i="217"/>
  <c r="N52" i="217"/>
  <c r="N51" i="217"/>
  <c r="L47" i="217"/>
  <c r="N46" i="217"/>
  <c r="L45" i="217"/>
  <c r="I45" i="217"/>
  <c r="I47" i="217" s="1"/>
  <c r="H45" i="217"/>
  <c r="H47" i="217" s="1"/>
  <c r="N44" i="217"/>
  <c r="N43" i="217"/>
  <c r="M42" i="217"/>
  <c r="M45" i="217" s="1"/>
  <c r="M47" i="217" s="1"/>
  <c r="J42" i="217"/>
  <c r="J45" i="217" s="1"/>
  <c r="J47" i="217" s="1"/>
  <c r="I42" i="217"/>
  <c r="H42" i="217"/>
  <c r="G42" i="217"/>
  <c r="G45" i="217" s="1"/>
  <c r="G47" i="217" s="1"/>
  <c r="N41" i="217"/>
  <c r="N40" i="217"/>
  <c r="N39" i="217"/>
  <c r="N38" i="217"/>
  <c r="M37" i="217"/>
  <c r="N37" i="217" s="1"/>
  <c r="L37" i="217"/>
  <c r="L42" i="217" s="1"/>
  <c r="K37" i="217"/>
  <c r="K42" i="217" s="1"/>
  <c r="K45" i="217" s="1"/>
  <c r="J37" i="217"/>
  <c r="I37" i="217"/>
  <c r="H37" i="217"/>
  <c r="G37" i="217"/>
  <c r="N36" i="217"/>
  <c r="N35" i="217"/>
  <c r="N34" i="217"/>
  <c r="N33" i="217"/>
  <c r="M29" i="217"/>
  <c r="J29" i="217"/>
  <c r="N28" i="217"/>
  <c r="M27" i="217"/>
  <c r="K27" i="217"/>
  <c r="J27" i="217"/>
  <c r="I27" i="217"/>
  <c r="I29" i="217" s="1"/>
  <c r="G27" i="217"/>
  <c r="G29" i="217" s="1"/>
  <c r="N26" i="217"/>
  <c r="M25" i="217"/>
  <c r="L25" i="217"/>
  <c r="L27" i="217" s="1"/>
  <c r="L29" i="217" s="1"/>
  <c r="K25" i="217"/>
  <c r="N25" i="217" s="1"/>
  <c r="J25" i="217"/>
  <c r="I25" i="217"/>
  <c r="H25" i="217"/>
  <c r="H27" i="217" s="1"/>
  <c r="H29" i="217" s="1"/>
  <c r="G25" i="217"/>
  <c r="N24" i="217"/>
  <c r="N23" i="217"/>
  <c r="M23" i="217"/>
  <c r="L23" i="217"/>
  <c r="K23" i="217"/>
  <c r="J23" i="217"/>
  <c r="I23" i="217"/>
  <c r="H23" i="217"/>
  <c r="G23" i="217"/>
  <c r="N22" i="217"/>
  <c r="N21" i="217"/>
  <c r="N20" i="217"/>
  <c r="N19" i="217"/>
  <c r="N18" i="217"/>
  <c r="N17" i="217"/>
  <c r="N16" i="217"/>
  <c r="N15" i="217"/>
  <c r="N14" i="217"/>
  <c r="N13" i="217"/>
  <c r="N12" i="217"/>
  <c r="K54" i="238" l="1"/>
  <c r="L54" i="238" s="1"/>
  <c r="K27" i="218"/>
  <c r="N25" i="218"/>
  <c r="E25" i="228"/>
  <c r="H13" i="228"/>
  <c r="H25" i="228" s="1"/>
  <c r="G25" i="228"/>
  <c r="N45" i="217"/>
  <c r="K46" i="218"/>
  <c r="J75" i="238"/>
  <c r="K75" i="238" s="1"/>
  <c r="L75" i="238" s="1"/>
  <c r="N42" i="217"/>
  <c r="K58" i="238"/>
  <c r="L58" i="238" s="1"/>
  <c r="K64" i="238"/>
  <c r="L64" i="238" s="1"/>
  <c r="K70" i="238"/>
  <c r="L70" i="238" s="1"/>
  <c r="L22" i="228"/>
  <c r="L25" i="228" s="1"/>
  <c r="I25" i="227"/>
  <c r="F85" i="221"/>
  <c r="J25" i="227"/>
  <c r="L22" i="227"/>
  <c r="M22" i="227" s="1"/>
  <c r="M25" i="227" s="1"/>
  <c r="G55" i="237"/>
  <c r="L55" i="237" s="1"/>
  <c r="E75" i="237"/>
  <c r="G75" i="237" s="1"/>
  <c r="L75" i="237" s="1"/>
  <c r="K56" i="238"/>
  <c r="L56" i="238" s="1"/>
  <c r="K62" i="238"/>
  <c r="L62" i="238" s="1"/>
  <c r="K68" i="238"/>
  <c r="L68" i="238" s="1"/>
  <c r="N27" i="217"/>
  <c r="K29" i="217"/>
  <c r="N29" i="217" s="1"/>
  <c r="K47" i="217"/>
  <c r="N47" i="217" s="1"/>
  <c r="K55" i="238"/>
  <c r="L55" i="238" s="1"/>
  <c r="K61" i="238"/>
  <c r="L61" i="238" s="1"/>
  <c r="K67" i="238"/>
  <c r="L67" i="238" s="1"/>
  <c r="K73" i="238"/>
  <c r="L73" i="238" s="1"/>
  <c r="E25" i="227"/>
  <c r="I25" i="228"/>
  <c r="K49" i="218" l="1"/>
  <c r="N46" i="218"/>
  <c r="L25" i="227"/>
  <c r="M22" i="228"/>
  <c r="M25" i="228" s="1"/>
  <c r="N27" i="218"/>
  <c r="K29" i="218"/>
  <c r="N29" i="218" s="1"/>
  <c r="K53" i="218" l="1"/>
  <c r="N49" i="218"/>
  <c r="N53" i="218" s="1"/>
  <c r="I20" i="215" l="1"/>
  <c r="H20" i="215"/>
  <c r="G20" i="215"/>
  <c r="F20" i="215"/>
  <c r="E20" i="215"/>
  <c r="D20" i="215"/>
  <c r="I17" i="215"/>
  <c r="H17" i="215"/>
  <c r="G17" i="215"/>
  <c r="F17" i="215"/>
  <c r="E17" i="215"/>
  <c r="D17" i="215"/>
  <c r="I14" i="215"/>
  <c r="I21" i="215" s="1"/>
  <c r="H14" i="215"/>
  <c r="H21" i="215" s="1"/>
  <c r="G14" i="215"/>
  <c r="G21" i="215" s="1"/>
  <c r="F14" i="215"/>
  <c r="F21" i="215" s="1"/>
  <c r="E14" i="215"/>
  <c r="E21" i="215" s="1"/>
  <c r="D14" i="215"/>
  <c r="D21" i="215" s="1"/>
  <c r="G37" i="213"/>
  <c r="F37" i="213"/>
  <c r="J36" i="213"/>
  <c r="I36" i="213"/>
  <c r="J35" i="213"/>
  <c r="I35" i="213"/>
  <c r="J34" i="213"/>
  <c r="I34" i="213"/>
  <c r="J33" i="213"/>
  <c r="I33" i="213"/>
  <c r="J32" i="213"/>
  <c r="I32" i="213"/>
  <c r="J31" i="213"/>
  <c r="I31" i="213"/>
  <c r="H31" i="213"/>
  <c r="G31" i="213"/>
  <c r="F31" i="213"/>
  <c r="E31" i="213"/>
  <c r="J30" i="213"/>
  <c r="I30" i="213"/>
  <c r="J29" i="213"/>
  <c r="I29" i="213"/>
  <c r="J28" i="213"/>
  <c r="I28" i="213"/>
  <c r="J27" i="213"/>
  <c r="I27" i="213"/>
  <c r="H26" i="213"/>
  <c r="H37" i="213" s="1"/>
  <c r="J37" i="213" s="1"/>
  <c r="G26" i="213"/>
  <c r="F26" i="213"/>
  <c r="E26" i="213"/>
  <c r="E37" i="213" s="1"/>
  <c r="I37" i="213" s="1"/>
  <c r="J25" i="213"/>
  <c r="I25" i="213"/>
  <c r="J24" i="213"/>
  <c r="I24" i="213"/>
  <c r="J23" i="213"/>
  <c r="I23" i="213"/>
  <c r="J22" i="213"/>
  <c r="I22" i="213"/>
  <c r="J21" i="213"/>
  <c r="I21" i="213"/>
  <c r="H21" i="213"/>
  <c r="G21" i="213"/>
  <c r="F21" i="213"/>
  <c r="E21" i="213"/>
  <c r="J20" i="213"/>
  <c r="I20" i="213"/>
  <c r="J19" i="213"/>
  <c r="I19" i="213"/>
  <c r="J18" i="213"/>
  <c r="I18" i="213"/>
  <c r="J17" i="213"/>
  <c r="I17" i="213"/>
  <c r="J16" i="213"/>
  <c r="I16" i="213"/>
  <c r="J15" i="213"/>
  <c r="I15" i="213"/>
  <c r="J14" i="213"/>
  <c r="I14" i="213"/>
  <c r="J13" i="213"/>
  <c r="H13" i="213"/>
  <c r="F13" i="213"/>
  <c r="J12" i="213"/>
  <c r="J11" i="213"/>
  <c r="K89" i="212"/>
  <c r="I74" i="212"/>
  <c r="H74" i="212"/>
  <c r="G74" i="212"/>
  <c r="I73" i="212"/>
  <c r="I89" i="212" s="1"/>
  <c r="H73" i="212"/>
  <c r="G73" i="212"/>
  <c r="I46" i="212"/>
  <c r="H46" i="212"/>
  <c r="G46" i="212"/>
  <c r="I45" i="212"/>
  <c r="H45" i="212"/>
  <c r="J45" i="212" s="1"/>
  <c r="G45" i="212"/>
  <c r="L45" i="212" s="1"/>
  <c r="J25" i="212"/>
  <c r="L25" i="212" s="1"/>
  <c r="J22" i="212"/>
  <c r="L22" i="212" s="1"/>
  <c r="J21" i="212"/>
  <c r="L21" i="212" s="1"/>
  <c r="J20" i="212"/>
  <c r="L20" i="212" s="1"/>
  <c r="J19" i="212"/>
  <c r="L19" i="212" s="1"/>
  <c r="K18" i="212"/>
  <c r="I18" i="212"/>
  <c r="H18" i="212"/>
  <c r="G18" i="212"/>
  <c r="I17" i="212"/>
  <c r="H17" i="212"/>
  <c r="G17" i="212"/>
  <c r="J16" i="212"/>
  <c r="L16" i="212" s="1"/>
  <c r="J15" i="212"/>
  <c r="L15" i="212" s="1"/>
  <c r="J14" i="212"/>
  <c r="L14" i="212" s="1"/>
  <c r="J13" i="212"/>
  <c r="L13" i="212" s="1"/>
  <c r="J12" i="212"/>
  <c r="L12" i="212" s="1"/>
  <c r="J11" i="212"/>
  <c r="L11" i="212" s="1"/>
  <c r="J74" i="212" l="1"/>
  <c r="L74" i="212" s="1"/>
  <c r="J73" i="212"/>
  <c r="L73" i="212" s="1"/>
  <c r="J46" i="212"/>
  <c r="L46" i="212" s="1"/>
  <c r="L37" i="212"/>
  <c r="J18" i="212"/>
  <c r="L18" i="212" s="1"/>
  <c r="J17" i="212"/>
  <c r="L17" i="212" s="1"/>
  <c r="K92" i="212"/>
  <c r="K93" i="212" s="1"/>
  <c r="I92" i="212"/>
  <c r="H89" i="212"/>
  <c r="G91" i="212"/>
  <c r="I26" i="213"/>
  <c r="J26" i="213"/>
  <c r="J89" i="212" l="1"/>
  <c r="L89" i="212" s="1"/>
  <c r="G92" i="212"/>
  <c r="L65" i="212"/>
  <c r="I93" i="212"/>
  <c r="H92" i="212"/>
  <c r="G65" i="212"/>
  <c r="H93" i="212" l="1"/>
  <c r="J93" i="212" s="1"/>
  <c r="J92" i="212"/>
  <c r="L92" i="212" s="1"/>
  <c r="G93" i="212"/>
  <c r="E21" i="210"/>
  <c r="D21" i="210"/>
  <c r="E14" i="210"/>
  <c r="D14" i="210"/>
  <c r="E21" i="209"/>
  <c r="D21" i="209"/>
  <c r="E14" i="209"/>
  <c r="E22" i="209" s="1"/>
  <c r="D14" i="209"/>
  <c r="D22" i="209" s="1"/>
  <c r="L93" i="212" l="1"/>
  <c r="D22" i="210"/>
  <c r="E22" i="210"/>
</calcChain>
</file>

<file path=xl/sharedStrings.xml><?xml version="1.0" encoding="utf-8"?>
<sst xmlns="http://schemas.openxmlformats.org/spreadsheetml/2006/main" count="6519" uniqueCount="1789">
  <si>
    <t>AC207</t>
  </si>
  <si>
    <t>2. 자산건전성</t>
  </si>
  <si>
    <t>담보별 대출금 현황</t>
  </si>
  <si>
    <t>분기</t>
  </si>
  <si>
    <t>업종별 기업대출(연체)현황</t>
  </si>
  <si>
    <t>금액별 대출 현황</t>
  </si>
  <si>
    <t>월</t>
  </si>
  <si>
    <t>자산건전성분류(유동화자산) 현황</t>
  </si>
  <si>
    <t>자산건전성분류(관리자산) 현황</t>
  </si>
  <si>
    <t>AC225</t>
  </si>
  <si>
    <t>AC226</t>
  </si>
  <si>
    <t>AC227</t>
  </si>
  <si>
    <t>AC229</t>
  </si>
  <si>
    <t>AC232</t>
  </si>
  <si>
    <t>AC233</t>
  </si>
  <si>
    <t>AC234</t>
  </si>
  <si>
    <t>AC235</t>
  </si>
  <si>
    <t>AC392</t>
  </si>
  <si>
    <t>AC238</t>
  </si>
  <si>
    <t>AC239</t>
  </si>
  <si>
    <t>AC243</t>
  </si>
  <si>
    <t>5. 일반현황</t>
  </si>
  <si>
    <t>AC247</t>
  </si>
  <si>
    <t>AC250</t>
  </si>
  <si>
    <t>AC251</t>
  </si>
  <si>
    <t>연령별 신용카드이용 현황</t>
  </si>
  <si>
    <t>AC252</t>
  </si>
  <si>
    <t>AC254</t>
  </si>
  <si>
    <t>AC257</t>
  </si>
  <si>
    <t>AC258</t>
  </si>
  <si>
    <t>AC259</t>
  </si>
  <si>
    <t>AC261</t>
  </si>
  <si>
    <t>AC262</t>
  </si>
  <si>
    <t>AC264</t>
  </si>
  <si>
    <t>AC266</t>
  </si>
  <si>
    <t>AC267</t>
  </si>
  <si>
    <t>AC271</t>
  </si>
  <si>
    <t>AC275</t>
  </si>
  <si>
    <t>6. 신용카드업무</t>
  </si>
  <si>
    <t>AC364</t>
  </si>
  <si>
    <t>포인트 선지급서비스 운영내역</t>
  </si>
  <si>
    <t>AC395</t>
  </si>
  <si>
    <t>AC279</t>
  </si>
  <si>
    <t>AC280</t>
  </si>
  <si>
    <t>AC281</t>
  </si>
  <si>
    <t>AC282</t>
  </si>
  <si>
    <t>AC283</t>
  </si>
  <si>
    <t>AC284</t>
  </si>
  <si>
    <t>AC285</t>
  </si>
  <si>
    <t>AC286</t>
  </si>
  <si>
    <t>AC287</t>
  </si>
  <si>
    <t>AC240</t>
  </si>
  <si>
    <t>AC241</t>
  </si>
  <si>
    <t>AC370</t>
  </si>
  <si>
    <t>코드행열명</t>
  </si>
  <si>
    <t>A</t>
  </si>
  <si>
    <t>B</t>
  </si>
  <si>
    <t>현금서비스</t>
  </si>
  <si>
    <t>카드론</t>
  </si>
  <si>
    <t>[작성요령]</t>
    <phoneticPr fontId="6" type="noConversion"/>
  </si>
  <si>
    <t>C</t>
  </si>
  <si>
    <t>D</t>
  </si>
  <si>
    <t>E</t>
  </si>
  <si>
    <t>F</t>
  </si>
  <si>
    <t>G</t>
  </si>
  <si>
    <t>A111</t>
    <phoneticPr fontId="6" type="noConversion"/>
  </si>
  <si>
    <t>기타</t>
  </si>
  <si>
    <t>소계</t>
  </si>
  <si>
    <t>기타</t>
    <phoneticPr fontId="6" type="noConversion"/>
  </si>
  <si>
    <t>A112</t>
    <phoneticPr fontId="6" type="noConversion"/>
  </si>
  <si>
    <t>합계</t>
  </si>
  <si>
    <t>A53</t>
  </si>
  <si>
    <t>C1</t>
  </si>
  <si>
    <t>C2</t>
  </si>
  <si>
    <t>C3</t>
  </si>
  <si>
    <t>정 상</t>
  </si>
  <si>
    <t>요주의</t>
  </si>
  <si>
    <t>고정이하여신</t>
  </si>
  <si>
    <t>합 계</t>
  </si>
  <si>
    <t>고 정</t>
  </si>
  <si>
    <t>회수의문</t>
  </si>
  <si>
    <t>추정손실</t>
  </si>
  <si>
    <t>소 계</t>
  </si>
  <si>
    <t>A1</t>
  </si>
  <si>
    <t>일시불카드대급금</t>
  </si>
  <si>
    <t>A2</t>
  </si>
  <si>
    <t>할부카드대급금</t>
  </si>
  <si>
    <t>A3</t>
  </si>
  <si>
    <t>A4</t>
  </si>
  <si>
    <t>A51</t>
  </si>
  <si>
    <t>결제성리볼빙</t>
  </si>
  <si>
    <t>A52</t>
  </si>
  <si>
    <t>대출성리볼빙</t>
  </si>
  <si>
    <t>A5</t>
  </si>
  <si>
    <t>B1</t>
  </si>
  <si>
    <t>내구재할부금융</t>
  </si>
  <si>
    <t>B2</t>
  </si>
  <si>
    <t>주택할부금융</t>
  </si>
  <si>
    <t>B3</t>
  </si>
  <si>
    <t>기계할부금융</t>
  </si>
  <si>
    <t>B4</t>
  </si>
  <si>
    <t>기타할부금융</t>
  </si>
  <si>
    <t>운용리스</t>
  </si>
  <si>
    <t>금융리스</t>
  </si>
  <si>
    <t>해지리스</t>
  </si>
  <si>
    <t>C4</t>
  </si>
  <si>
    <t>선급리스</t>
  </si>
  <si>
    <t>C5</t>
  </si>
  <si>
    <t>렌탈자산</t>
  </si>
  <si>
    <t>C6</t>
  </si>
  <si>
    <t>관련 미수금</t>
  </si>
  <si>
    <t>신기술금융대출금</t>
  </si>
  <si>
    <t>E1</t>
  </si>
  <si>
    <t>대출채권</t>
  </si>
  <si>
    <t>콜론</t>
  </si>
  <si>
    <t>E2</t>
  </si>
  <si>
    <t>할인어음</t>
  </si>
  <si>
    <t>E3</t>
  </si>
  <si>
    <t>팩토링</t>
  </si>
  <si>
    <t>E4</t>
  </si>
  <si>
    <t>장단기대출금</t>
  </si>
  <si>
    <t>E5</t>
  </si>
  <si>
    <t>가계대출금</t>
  </si>
  <si>
    <t>E6</t>
  </si>
  <si>
    <t>관계회사대출금</t>
  </si>
  <si>
    <t>E7</t>
  </si>
  <si>
    <t>지급보증대지급금</t>
  </si>
  <si>
    <t>E8</t>
  </si>
  <si>
    <t>기타 대출채권</t>
  </si>
  <si>
    <t>M1</t>
  </si>
  <si>
    <t>종업원대여금</t>
  </si>
  <si>
    <t>M2</t>
  </si>
  <si>
    <t>M3</t>
  </si>
  <si>
    <t>여신성가지급금</t>
  </si>
  <si>
    <t>M4</t>
  </si>
  <si>
    <t>여신성미수금</t>
  </si>
  <si>
    <t>M</t>
  </si>
  <si>
    <t>여신성채권의 합계</t>
  </si>
  <si>
    <t>유가증권</t>
  </si>
  <si>
    <t>GA4</t>
  </si>
  <si>
    <t>H1</t>
  </si>
  <si>
    <t>투자주식</t>
  </si>
  <si>
    <t>H2</t>
  </si>
  <si>
    <t>출자금</t>
  </si>
  <si>
    <t>H3</t>
  </si>
  <si>
    <t>투자사채</t>
  </si>
  <si>
    <t>H4</t>
  </si>
  <si>
    <t>조건부융자</t>
  </si>
  <si>
    <t>H</t>
  </si>
  <si>
    <t>I1</t>
  </si>
  <si>
    <t>기타 가지급금</t>
  </si>
  <si>
    <t>I2</t>
  </si>
  <si>
    <t>기타 미수금</t>
  </si>
  <si>
    <t>I</t>
  </si>
  <si>
    <t>J1</t>
  </si>
  <si>
    <t>신용카드약정(난외계정)</t>
  </si>
  <si>
    <t>현금서비스 이용약정</t>
  </si>
  <si>
    <t>J2</t>
  </si>
  <si>
    <t>신용판매 이용약정</t>
  </si>
  <si>
    <t>J3</t>
  </si>
  <si>
    <t>카드론 이용약정</t>
  </si>
  <si>
    <t>J4</t>
  </si>
  <si>
    <t>기타 신용카드 이용약정</t>
  </si>
  <si>
    <t>J</t>
  </si>
  <si>
    <t>K</t>
  </si>
  <si>
    <t>금융기관 매각자산(난외계정)</t>
  </si>
  <si>
    <t>L</t>
  </si>
  <si>
    <t>미수이자</t>
  </si>
  <si>
    <t>N</t>
  </si>
  <si>
    <t>총채권 등[F+I+K]</t>
  </si>
  <si>
    <t>G</t>
    <phoneticPr fontId="6" type="noConversion"/>
  </si>
  <si>
    <t>(단위: 백만원)</t>
    <phoneticPr fontId="6" type="noConversion"/>
  </si>
  <si>
    <t>구분</t>
    <phoneticPr fontId="6" type="noConversion"/>
  </si>
  <si>
    <t>[변경이력]</t>
    <phoneticPr fontId="6" type="noConversion"/>
  </si>
  <si>
    <t>주기</t>
    <phoneticPr fontId="6" type="noConversion"/>
  </si>
  <si>
    <t>분기</t>
    <phoneticPr fontId="6" type="noConversion"/>
  </si>
  <si>
    <t>업 무 보 고 서   목 차</t>
    <phoneticPr fontId="6" type="noConversion"/>
  </si>
  <si>
    <t>[변경이력]</t>
    <phoneticPr fontId="79" type="noConversion"/>
  </si>
  <si>
    <t>1. '18.1월 한국채택국제회계기준서 제1109호 시행으로</t>
    <phoneticPr fontId="79" type="noConversion"/>
  </si>
  <si>
    <t>Z</t>
    <phoneticPr fontId="6" type="noConversion"/>
  </si>
  <si>
    <t>월</t>
    <phoneticPr fontId="6" type="noConversion"/>
  </si>
  <si>
    <t>보고서명</t>
    <phoneticPr fontId="6" type="noConversion"/>
  </si>
  <si>
    <t>회계기준</t>
    <phoneticPr fontId="6" type="noConversion"/>
  </si>
  <si>
    <t>2. '19.1월 부터 기타신기술금융자산 항목 신설</t>
    <phoneticPr fontId="79" type="noConversion"/>
  </si>
  <si>
    <t>적용회계기준(IFRS, 일반기업회계기준)</t>
    <phoneticPr fontId="6" type="noConversion"/>
  </si>
  <si>
    <t xml:space="preserve">IFRS/일반기업회계기준 </t>
    <phoneticPr fontId="6" type="noConversion"/>
  </si>
  <si>
    <t>카드자산</t>
    <phoneticPr fontId="6" type="noConversion"/>
  </si>
  <si>
    <t>기타카드자산</t>
    <phoneticPr fontId="6" type="noConversion"/>
  </si>
  <si>
    <t>A511</t>
    <phoneticPr fontId="6" type="noConversion"/>
  </si>
  <si>
    <t xml:space="preserve">  (이월잔액)</t>
    <phoneticPr fontId="6" type="noConversion"/>
  </si>
  <si>
    <t>A512</t>
    <phoneticPr fontId="6" type="noConversion"/>
  </si>
  <si>
    <t xml:space="preserve">  (미이월잔액)</t>
    <phoneticPr fontId="6" type="noConversion"/>
  </si>
  <si>
    <t>A521</t>
    <phoneticPr fontId="6" type="noConversion"/>
  </si>
  <si>
    <t>A522</t>
    <phoneticPr fontId="6" type="noConversion"/>
  </si>
  <si>
    <t>할부금융자산</t>
    <phoneticPr fontId="6" type="noConversion"/>
  </si>
  <si>
    <t>리스자산</t>
    <phoneticPr fontId="6" type="noConversion"/>
  </si>
  <si>
    <t>당기손익-공정가치측정유가증권</t>
    <phoneticPr fontId="6" type="noConversion"/>
  </si>
  <si>
    <t>당기손익-공정가치측정지정유가증권</t>
    <phoneticPr fontId="6" type="noConversion"/>
  </si>
  <si>
    <t>기타포괄손익-공정가치측정유가증권</t>
    <phoneticPr fontId="6" type="noConversion"/>
  </si>
  <si>
    <t>상각후원가측정 유가증권</t>
    <phoneticPr fontId="6" type="noConversion"/>
  </si>
  <si>
    <t>비여신성 신기술자산</t>
    <phoneticPr fontId="6" type="noConversion"/>
  </si>
  <si>
    <t>H5</t>
    <phoneticPr fontId="6" type="noConversion"/>
  </si>
  <si>
    <t>기타신기술금융자산</t>
    <phoneticPr fontId="6" type="noConversion"/>
  </si>
  <si>
    <t>기타자산</t>
    <phoneticPr fontId="6" type="noConversion"/>
  </si>
  <si>
    <t>한국채택국제회계기준을 적용하는 여전사는 위 기준에 따라 분류하고</t>
    <phoneticPr fontId="6" type="noConversion"/>
  </si>
  <si>
    <t>일반기업회계기준 적용사는 당기손익-공정가치측정유가증권에는 단기매매증권, 당기손익-공정가치측정지정유가증권에는 당기손익인식금융자산,</t>
    <phoneticPr fontId="6" type="noConversion"/>
  </si>
  <si>
    <t>기타포괄손익-공정가치측정유가증권에는 매도가능금융자산, 상각후원가측정 유가증권에는 만기보유금융자산을 입력</t>
    <phoneticPr fontId="6" type="noConversion"/>
  </si>
  <si>
    <t xml:space="preserve">   단기매매금융자산을 당기손익-공정가치측정유가증권으로, 당기손익인식지정금융자산을 당기손익-공정가치측정지정유가증권으로,</t>
    <phoneticPr fontId="79" type="noConversion"/>
  </si>
  <si>
    <t xml:space="preserve">   매도가능금융자산을 기타포괄손익-공정가치측정유가증권으로, 만기보유금융자산을 상각후원가측정유가증권으로 개정</t>
    <phoneticPr fontId="79" type="noConversion"/>
  </si>
  <si>
    <t>AC420</t>
  </si>
  <si>
    <t>DTI 구간별 주택담보대출 월중 신규취급 현황</t>
  </si>
  <si>
    <t>AC421</t>
  </si>
  <si>
    <t>주) 제출주기별 보고기한 :</t>
    <phoneticPr fontId="6" type="noConversion"/>
  </si>
  <si>
    <t xml:space="preserve">    월 : 익월 말일까지 (단, "가계대출 현황"은 익월 10일까지)</t>
    <phoneticPr fontId="6" type="noConversion"/>
  </si>
  <si>
    <t xml:space="preserve">    분기 및 반기 : 익월 말일까지</t>
    <phoneticPr fontId="6" type="noConversion"/>
  </si>
  <si>
    <t>M5</t>
    <phoneticPr fontId="6" type="noConversion"/>
  </si>
  <si>
    <t>부동산PF 관련 채무보증(난외계정)</t>
    <phoneticPr fontId="76" type="noConversion"/>
  </si>
  <si>
    <t>확정지급보증(난외계정)</t>
    <phoneticPr fontId="6" type="noConversion"/>
  </si>
  <si>
    <t>3. '20.12월 부터 부동산 PF 관련 채무보증 항목 신설</t>
    <phoneticPr fontId="76" type="noConversion"/>
  </si>
  <si>
    <t>여신심사위원회 승인 주택담보대출 현황</t>
  </si>
  <si>
    <t>신용등급별 카드대출 취급액 및 평균수수료율 현황</t>
  </si>
  <si>
    <t>A6</t>
  </si>
  <si>
    <t>A7</t>
    <phoneticPr fontId="6" type="noConversion"/>
  </si>
  <si>
    <t>A8</t>
    <phoneticPr fontId="6" type="noConversion"/>
  </si>
  <si>
    <t>B113</t>
  </si>
  <si>
    <t>B114</t>
  </si>
  <si>
    <t>B11</t>
    <phoneticPr fontId="6" type="noConversion"/>
  </si>
  <si>
    <t>B12</t>
    <phoneticPr fontId="6" type="noConversion"/>
  </si>
  <si>
    <t>B13</t>
    <phoneticPr fontId="6" type="noConversion"/>
  </si>
  <si>
    <t>BB</t>
    <phoneticPr fontId="6" type="noConversion"/>
  </si>
  <si>
    <t>BB1</t>
    <phoneticPr fontId="6" type="noConversion"/>
  </si>
  <si>
    <t>BB2</t>
    <phoneticPr fontId="6" type="noConversion"/>
  </si>
  <si>
    <t>C7</t>
  </si>
  <si>
    <t>C8</t>
  </si>
  <si>
    <t>D1</t>
  </si>
  <si>
    <t>D2</t>
  </si>
  <si>
    <t>D11</t>
    <phoneticPr fontId="6" type="noConversion"/>
  </si>
  <si>
    <t>DD1</t>
    <phoneticPr fontId="6" type="noConversion"/>
  </si>
  <si>
    <t>DD2</t>
    <phoneticPr fontId="6" type="noConversion"/>
  </si>
  <si>
    <t>D12</t>
    <phoneticPr fontId="6" type="noConversion"/>
  </si>
  <si>
    <t>D13</t>
    <phoneticPr fontId="6" type="noConversion"/>
  </si>
  <si>
    <t>건전성분류대상자산[F+G+H+I+J+K+L+O]</t>
    <phoneticPr fontId="6" type="noConversion"/>
  </si>
  <si>
    <t>지급보증(난외계정)</t>
    <phoneticPr fontId="6" type="noConversion"/>
  </si>
  <si>
    <t>기타 미사용약정(난외계정)</t>
    <phoneticPr fontId="6" type="noConversion"/>
  </si>
  <si>
    <t xml:space="preserve"> </t>
    <phoneticPr fontId="6" type="noConversion"/>
  </si>
  <si>
    <t>10. 공통업무</t>
  </si>
  <si>
    <t>AC426</t>
  </si>
  <si>
    <t>금리인하요구권 운영 현황</t>
  </si>
  <si>
    <t>O</t>
    <phoneticPr fontId="6" type="noConversion"/>
  </si>
  <si>
    <t>L</t>
    <phoneticPr fontId="6" type="noConversion"/>
  </si>
  <si>
    <t>B15</t>
    <phoneticPr fontId="6" type="noConversion"/>
  </si>
  <si>
    <t>3-6. 즉시가용유동성비율(AC425) ('23.7.1. 개정)</t>
    <phoneticPr fontId="6" type="noConversion"/>
  </si>
  <si>
    <t>(단위:백만원, %)</t>
    <phoneticPr fontId="6" type="noConversion"/>
  </si>
  <si>
    <t>전월말</t>
    <phoneticPr fontId="6" type="noConversion"/>
  </si>
  <si>
    <t>당월말</t>
    <phoneticPr fontId="6" type="noConversion"/>
  </si>
  <si>
    <t>증 감</t>
  </si>
  <si>
    <t>AA1</t>
    <phoneticPr fontId="6" type="noConversion"/>
  </si>
  <si>
    <t>즉시가용
유동성자산</t>
    <phoneticPr fontId="6" type="noConversion"/>
  </si>
  <si>
    <t>현금</t>
    <phoneticPr fontId="6" type="noConversion"/>
  </si>
  <si>
    <t>AA2</t>
    <phoneticPr fontId="6" type="noConversion"/>
  </si>
  <si>
    <t>예치금</t>
    <phoneticPr fontId="6" type="noConversion"/>
  </si>
  <si>
    <t>AA3</t>
    <phoneticPr fontId="6" type="noConversion"/>
  </si>
  <si>
    <t>즉시매도가능유가증권</t>
    <phoneticPr fontId="6" type="noConversion"/>
  </si>
  <si>
    <t>AA4</t>
    <phoneticPr fontId="6" type="noConversion"/>
  </si>
  <si>
    <t>미인출약정한도</t>
    <phoneticPr fontId="6" type="noConversion"/>
  </si>
  <si>
    <t>AA</t>
    <phoneticPr fontId="6" type="noConversion"/>
  </si>
  <si>
    <t>소계(AA)</t>
    <phoneticPr fontId="6" type="noConversion"/>
  </si>
  <si>
    <t>AB1</t>
    <phoneticPr fontId="6" type="noConversion"/>
  </si>
  <si>
    <t>1개월 이내
만기도래 부채</t>
    <phoneticPr fontId="6" type="noConversion"/>
  </si>
  <si>
    <t>일반회사채</t>
    <phoneticPr fontId="6" type="noConversion"/>
  </si>
  <si>
    <t>AB2</t>
  </si>
  <si>
    <t>전자단기사채</t>
    <phoneticPr fontId="6" type="noConversion"/>
  </si>
  <si>
    <t>AB3</t>
  </si>
  <si>
    <t>기업어음</t>
    <phoneticPr fontId="6" type="noConversion"/>
  </si>
  <si>
    <t>AB4</t>
  </si>
  <si>
    <t>금융기관차입금</t>
    <phoneticPr fontId="6" type="noConversion"/>
  </si>
  <si>
    <t>AB5</t>
  </si>
  <si>
    <t>관계회사차입금</t>
    <phoneticPr fontId="6" type="noConversion"/>
  </si>
  <si>
    <t>AB6</t>
  </si>
  <si>
    <t>AB</t>
    <phoneticPr fontId="6" type="noConversion"/>
  </si>
  <si>
    <t>소계(AB)</t>
    <phoneticPr fontId="6" type="noConversion"/>
  </si>
  <si>
    <t>AC</t>
    <phoneticPr fontId="6" type="noConversion"/>
  </si>
  <si>
    <t xml:space="preserve">즉시가용유동성비율(AA/AB) </t>
    <phoneticPr fontId="6" type="noConversion"/>
  </si>
  <si>
    <t>&lt;작성주기 : 월&gt;</t>
    <phoneticPr fontId="6" type="noConversion"/>
  </si>
  <si>
    <t>1. 즉시가용유동성자산 : 현금, 예치금, 즉시매도가능유가증권 및 미인출약정한도의 합계이며,  작성시 AC355(유동성 보유현황) 작성요령 참고</t>
    <phoneticPr fontId="6" type="noConversion"/>
  </si>
  <si>
    <t xml:space="preserve">  - 예치금, 즉시매도가능유가증권 : 증거금, 담보 등으로 제공되어 있어 1개월 이내 현금화가 어려운 경우는 제외</t>
    <phoneticPr fontId="6" type="noConversion"/>
  </si>
  <si>
    <r>
      <t xml:space="preserve">  - 미인출약정한도 : 계약상 취소불가능한 구속력 있는 약정 또는 조건부로 취소가능한 약정</t>
    </r>
    <r>
      <rPr>
        <vertAlign val="superscript"/>
        <sz val="10"/>
        <rFont val="새굴림"/>
        <family val="1"/>
        <charset val="129"/>
      </rPr>
      <t>*</t>
    </r>
    <r>
      <rPr>
        <sz val="10"/>
        <rFont val="새굴림"/>
        <family val="1"/>
        <charset val="129"/>
      </rPr>
      <t xml:space="preserve"> 한도 중 분기말 현재 기인출분을 </t>
    </r>
    <phoneticPr fontId="6" type="noConversion"/>
  </si>
  <si>
    <t xml:space="preserve">    제외한 금액</t>
    <phoneticPr fontId="6" type="noConversion"/>
  </si>
  <si>
    <t xml:space="preserve">  * 여전사가 약정을 제공하는 금융회사 등에 미사용수수료를 납부하는 등 미사용시에도 한도유지를 위한 대가를 지급하는 약정</t>
  </si>
  <si>
    <t xml:space="preserve">      (약정을 제공하는 금융회사 등이 '차주 신용상태의 중대한 변화'라는 전제조건 없이 무조건적으로 취소할 수 있는 약정은 제외)</t>
    <phoneticPr fontId="6" type="noConversion"/>
  </si>
  <si>
    <t>2. 1개월 이내 만기도래 부채 : 향후 30일 이내 만기가 도래하는 원화유동성부채. (단, 「자산유동화에 관한 법률」에 따른 자산유동화에 의한 차입금도 포함)</t>
    <phoneticPr fontId="6" type="noConversion"/>
  </si>
  <si>
    <t>1. 업무용 유형자산 비율보고서를 폐지하고 즉시가용유동성비율 보고서 신설(2022.1월말 업무보고서 부터 적용)</t>
    <phoneticPr fontId="6" type="noConversion"/>
  </si>
  <si>
    <t>2. '23.7월 여신전문금융업감독업무시행세칙 개정내용 반영(작성요령 2번 단서조항 추가하여 작성기준 명확화)</t>
    <phoneticPr fontId="6" type="noConversion"/>
  </si>
  <si>
    <t xml:space="preserve">    (예시1 : 상장증권이라도 법규 또는 계약 등에 따라 1개월 이내에 처분이 제한되어 있는 경우에는 즉시매도가능유가증권에서 제외)</t>
    <phoneticPr fontId="6" type="noConversion"/>
  </si>
  <si>
    <t xml:space="preserve">    (예시2 : 잔여만기가 1개월 이상인 폐쇄형 펀드로서 자금 회수를 위해 수익자 전원의 동의가 필요한 경우에는 즉시매도가능유가증권에서 제외)</t>
    <phoneticPr fontId="6" type="noConversion"/>
  </si>
  <si>
    <t xml:space="preserve">       현금으로 인출이 가능하여 회사의 유동성 자금으로 제한 없이 사용이 가능한 미인출약정을 의미하며, 자금의 용도가 제한되어 있거나 지급보증 약정 한도 등은 모두 제외)</t>
    <phoneticPr fontId="6" type="noConversion"/>
  </si>
  <si>
    <t xml:space="preserve">      (약정을 제공하는 금융회사 등이 '차주 신용상태의 중대한 변화'라는 전제조건 없이 무조건적으로 취소할 수 있는 약정은 제외</t>
    <phoneticPr fontId="6" type="noConversion"/>
  </si>
  <si>
    <t xml:space="preserve">   (예시 : 금융기관 차입금 만기연장 협의가 진행중 경우 등 만기연장 여부가 계약에 의해 확정되지 않은 경우 1개월 이내 만기도래 부채에 반드시 포함)</t>
    <phoneticPr fontId="6" type="noConversion"/>
  </si>
  <si>
    <t xml:space="preserve">     (예시 : 차입 자금의 용도가 제한(예:농가대출)되어 있어 현금화하여 사용하기 어려운 한도약정, 회사채 발행시 한도 내 지급보증을 제공해 주기로 한 약정, </t>
    <phoneticPr fontId="6" type="noConversion"/>
  </si>
  <si>
    <t xml:space="preserve">      보로 즉시가용유동성자산이 설정된 약정 등 유동성이 즉시 제공되지 않는 약정은 제외)</t>
    <phoneticPr fontId="6" type="noConversion"/>
  </si>
  <si>
    <t>자산현황</t>
    <phoneticPr fontId="76" type="noConversion"/>
  </si>
  <si>
    <t>할부카드대급금</t>
    <phoneticPr fontId="76" type="noConversion"/>
  </si>
  <si>
    <t>결제성리볼빙(이월기준)</t>
    <phoneticPr fontId="76" type="noConversion"/>
  </si>
  <si>
    <t>카드론</t>
    <phoneticPr fontId="76" type="noConversion"/>
  </si>
  <si>
    <t>현금서비스(대출성리볼빙 포함)</t>
    <phoneticPr fontId="76" type="noConversion"/>
  </si>
  <si>
    <t>주택담보대출</t>
    <phoneticPr fontId="76" type="noConversion"/>
  </si>
  <si>
    <t>신용대출</t>
    <phoneticPr fontId="76" type="noConversion"/>
  </si>
  <si>
    <t>기타</t>
    <phoneticPr fontId="76" type="noConversion"/>
  </si>
  <si>
    <t>가계대출 소계</t>
    <phoneticPr fontId="76" type="noConversion"/>
  </si>
  <si>
    <t>대기업</t>
    <phoneticPr fontId="76" type="noConversion"/>
  </si>
  <si>
    <t>개인사업자</t>
    <phoneticPr fontId="76" type="noConversion"/>
  </si>
  <si>
    <t>기타(개인사업자外)</t>
    <phoneticPr fontId="76" type="noConversion"/>
  </si>
  <si>
    <t>기업대출 소계</t>
    <phoneticPr fontId="76" type="noConversion"/>
  </si>
  <si>
    <t>여신성자산합계(G=A+B+C+D+E+F)</t>
    <phoneticPr fontId="76" type="noConversion"/>
  </si>
  <si>
    <t>부채현황</t>
    <phoneticPr fontId="76" type="noConversion"/>
  </si>
  <si>
    <t>부채(원화) 소계(L=H+I+J+K)</t>
    <phoneticPr fontId="76" type="noConversion"/>
  </si>
  <si>
    <t>1. 재무현황</t>
  </si>
  <si>
    <t>AC206</t>
  </si>
  <si>
    <t>자금조달 현황</t>
  </si>
  <si>
    <t>2015.3.</t>
  </si>
  <si>
    <t>AC354</t>
  </si>
  <si>
    <t>자금동향 (1) - 차입금 변동현황</t>
  </si>
  <si>
    <t>AC355</t>
  </si>
  <si>
    <t>자금동향 (2) - 유동성 보유현황</t>
  </si>
  <si>
    <t>AC356</t>
  </si>
  <si>
    <t>자금동향 (3) - 월중 신규차입 현황</t>
  </si>
  <si>
    <t>자산,부채 만기구조 현황</t>
  </si>
  <si>
    <t>AC304</t>
  </si>
  <si>
    <t>자산,부채 만기구조 현황(관리자산)</t>
  </si>
  <si>
    <t>AC365</t>
  </si>
  <si>
    <t>대출채권 현황(1)-잔액현황</t>
  </si>
  <si>
    <t>AC377</t>
  </si>
  <si>
    <t>재무상태표(한국채택국제회계기준)</t>
  </si>
  <si>
    <t>AC378</t>
  </si>
  <si>
    <t>재무상태표(한국채택국제회계기준,관리)</t>
  </si>
  <si>
    <t>AC379</t>
  </si>
  <si>
    <t>재무상태표(일반기업회계기준)</t>
  </si>
  <si>
    <t>AC380</t>
  </si>
  <si>
    <t>재무상태표(일반기업회계기준,관리)</t>
  </si>
  <si>
    <t>AC381</t>
  </si>
  <si>
    <t>손익계산서(한국채택국제회계기준)</t>
  </si>
  <si>
    <t>AC382</t>
  </si>
  <si>
    <t>손익계산서(한국채택국제회계기준,관리)</t>
  </si>
  <si>
    <t>AC383</t>
  </si>
  <si>
    <t>손익계산서(일반기업회계기준)</t>
  </si>
  <si>
    <t>AC384</t>
  </si>
  <si>
    <t>손익계산서(일반기업회계기준,관리)</t>
  </si>
  <si>
    <t>AC385</t>
  </si>
  <si>
    <t>금융자산범주별 분류정보</t>
  </si>
  <si>
    <t>AC387</t>
  </si>
  <si>
    <t>금융부채범주별 분류정보</t>
  </si>
  <si>
    <t>2018.1.</t>
  </si>
  <si>
    <t>AC209</t>
  </si>
  <si>
    <t>자산건전성분류(대차대조표자산) 현황</t>
  </si>
  <si>
    <t>AC210</t>
  </si>
  <si>
    <t>AC211</t>
  </si>
  <si>
    <t>AC213</t>
  </si>
  <si>
    <t>고정이하채권의 사유별 증감내역</t>
  </si>
  <si>
    <t>AC214</t>
  </si>
  <si>
    <t>거액 고정이하채권(대차대조표자산) 발생업체 내역(행삽입보고서)</t>
  </si>
  <si>
    <t>AC216</t>
  </si>
  <si>
    <t>대손충당금 설정내역</t>
  </si>
  <si>
    <t>AC299</t>
  </si>
  <si>
    <t>연체채권 비율</t>
  </si>
  <si>
    <t>AC217</t>
  </si>
  <si>
    <t>연체(대차대조표자산) 현황</t>
  </si>
  <si>
    <t>AC218</t>
  </si>
  <si>
    <t>연체(유동화자산) 현황</t>
  </si>
  <si>
    <t>AC219</t>
  </si>
  <si>
    <t>연체(관리자산) 현황</t>
  </si>
  <si>
    <t>AC289</t>
  </si>
  <si>
    <t>대환대출 현황</t>
  </si>
  <si>
    <t>AC301</t>
  </si>
  <si>
    <t>연체전이율 현황</t>
  </si>
  <si>
    <t>AC357</t>
  </si>
  <si>
    <t>정상입금률 현황</t>
  </si>
  <si>
    <t>AC358</t>
  </si>
  <si>
    <t>현금회수율 현황</t>
  </si>
  <si>
    <t>AC220</t>
  </si>
  <si>
    <t>부실채권 대손상각 실적</t>
  </si>
  <si>
    <t>AC221</t>
  </si>
  <si>
    <t>상각채권 회수실적 현황</t>
  </si>
  <si>
    <t>AC222</t>
  </si>
  <si>
    <t>대손상각비 현황</t>
  </si>
  <si>
    <t>AC366</t>
  </si>
  <si>
    <t>대출채권 현황(2)-연체현황</t>
  </si>
  <si>
    <t>AC367</t>
  </si>
  <si>
    <t>대출채권 현황(3)-자산건전성분류현황</t>
  </si>
  <si>
    <t>AC368</t>
  </si>
  <si>
    <t>대출채권 현황(4)-대손충당금적립현황</t>
  </si>
  <si>
    <t>AC374</t>
  </si>
  <si>
    <t>미사용약정충당금 적립현황</t>
  </si>
  <si>
    <t>AC393</t>
  </si>
  <si>
    <t>주택담보대출의 건전성 현황</t>
  </si>
  <si>
    <t>AC394</t>
  </si>
  <si>
    <t>신용등급별 카드자산 연체현황</t>
  </si>
  <si>
    <t>AC398</t>
  </si>
  <si>
    <t>AC399</t>
  </si>
  <si>
    <t>AC400</t>
  </si>
  <si>
    <t>AC403</t>
  </si>
  <si>
    <t>판매신용 현황</t>
  </si>
  <si>
    <t>AC404</t>
  </si>
  <si>
    <t>가계대출 현황</t>
  </si>
  <si>
    <t>AC418</t>
  </si>
  <si>
    <t>고위험 대출 등 현황</t>
  </si>
  <si>
    <t>AC419</t>
  </si>
  <si>
    <t>주택담보대출의 지역별 LTV 현황</t>
  </si>
  <si>
    <t>AC427</t>
  </si>
  <si>
    <t>50</t>
  </si>
  <si>
    <t>대체투자 자산운용 현황</t>
  </si>
  <si>
    <t>반기</t>
  </si>
  <si>
    <t>3. 경영지표</t>
  </si>
  <si>
    <t>AC223</t>
  </si>
  <si>
    <t>경영지표 현황</t>
  </si>
  <si>
    <t>AC224</t>
  </si>
  <si>
    <t>조정자기자본비율</t>
  </si>
  <si>
    <t>무보증후순위채무</t>
  </si>
  <si>
    <t>총자산순이익률</t>
  </si>
  <si>
    <t>총자산경비율</t>
  </si>
  <si>
    <t>AC425</t>
  </si>
  <si>
    <t>즉시가용유동성비율</t>
  </si>
  <si>
    <t>AC397</t>
  </si>
  <si>
    <t>마케팅비용 지출비율</t>
  </si>
  <si>
    <t>4. 규제한도</t>
  </si>
  <si>
    <t>업무규제한도관리 현황</t>
  </si>
  <si>
    <t>업무용부동산 투자, 처분 현황</t>
  </si>
  <si>
    <t>대주주에 대한 신용공여 종류별 현황(행삽입보고서)</t>
  </si>
  <si>
    <t>신기술사업자에 대한 융자현황</t>
  </si>
  <si>
    <t>부대업무비중 현황</t>
  </si>
  <si>
    <t>AC300</t>
  </si>
  <si>
    <t>대출업무비중 현황</t>
  </si>
  <si>
    <t>2018.11.</t>
  </si>
  <si>
    <t>AC305</t>
  </si>
  <si>
    <t>렌탈업무비중 현황</t>
  </si>
  <si>
    <t>자기자본 대비 총자산 배율 현황</t>
  </si>
  <si>
    <t>AC424</t>
  </si>
  <si>
    <t>부동산PF 익스포저 비중 현황</t>
  </si>
  <si>
    <t>AC236</t>
  </si>
  <si>
    <t>회사현황</t>
  </si>
  <si>
    <t>AC237</t>
  </si>
  <si>
    <t>인원현황</t>
  </si>
  <si>
    <t>점포 현황</t>
  </si>
  <si>
    <t>대주주 현황(행삽입보고서)</t>
  </si>
  <si>
    <t>AC293</t>
  </si>
  <si>
    <t>타법인 주식보유현황(행삽입보고서)</t>
  </si>
  <si>
    <t>이사회 의결, 기타 주요발생 사항(행삽입보고서)</t>
  </si>
  <si>
    <t>AC375</t>
  </si>
  <si>
    <t>대주주에 대한 신용공여 현황(행삽입보고서)</t>
  </si>
  <si>
    <t>AC376</t>
  </si>
  <si>
    <t>대주주 발행주식 취득 현황(행삽입보고서)</t>
  </si>
  <si>
    <t>AC401</t>
  </si>
  <si>
    <t>준법감시인의 직무활동현황</t>
  </si>
  <si>
    <t>AC422</t>
  </si>
  <si>
    <t>업무위수탁 현황보고</t>
  </si>
  <si>
    <t>AC423</t>
  </si>
  <si>
    <t>정보처리 업무 위탁 현황보고</t>
  </si>
  <si>
    <t>카드회원수 현황</t>
  </si>
  <si>
    <t>카드발급수 현황</t>
  </si>
  <si>
    <t>무실적(회원,카드) 현황</t>
  </si>
  <si>
    <t>AC360</t>
  </si>
  <si>
    <t>모집경로별 회원모집 현황</t>
  </si>
  <si>
    <t>가맹점 변동현황</t>
  </si>
  <si>
    <t>AC256</t>
  </si>
  <si>
    <t>국내회원의 신용카드 이용실적</t>
  </si>
  <si>
    <t>해외회원의 국내 이용실적</t>
  </si>
  <si>
    <t>기업구매카드 이용실적</t>
  </si>
  <si>
    <t>부수업무와 겸영업무의 수익·비용 현황</t>
  </si>
  <si>
    <t>AC260</t>
  </si>
  <si>
    <t>선불카드 이용 현황(유효기간 경과전)</t>
  </si>
  <si>
    <t>직불카드 이용현황</t>
  </si>
  <si>
    <t>신용카드 이용한도 및 소진율 현황</t>
  </si>
  <si>
    <t>신용카드 부정사용 (건수, 금액, 책임분담)</t>
  </si>
  <si>
    <t>회전결제(리볼빙) 현황</t>
  </si>
  <si>
    <t>신규도입(분기중) 신용카드상품 현황</t>
  </si>
  <si>
    <t>국제카드(VISA, MASTER등) 관련 수수료</t>
  </si>
  <si>
    <t>AC273</t>
  </si>
  <si>
    <t>카드업무 관련 수익구조</t>
  </si>
  <si>
    <t>AC274</t>
  </si>
  <si>
    <t>카드업무 관련 비용구조</t>
  </si>
  <si>
    <t>모집인 운영현황</t>
  </si>
  <si>
    <t>AC363</t>
  </si>
  <si>
    <t>포인트 운영내역</t>
  </si>
  <si>
    <t>AC389</t>
  </si>
  <si>
    <t>신용카드 불법거래 현황</t>
  </si>
  <si>
    <t>AC390</t>
  </si>
  <si>
    <t>카드종류별 현황</t>
  </si>
  <si>
    <t>AC391</t>
  </si>
  <si>
    <t>가맹점수수료 현황</t>
  </si>
  <si>
    <t>신용등급별 신용카드 이용실적</t>
  </si>
  <si>
    <t>AC402</t>
  </si>
  <si>
    <t>AC405</t>
  </si>
  <si>
    <t>국세·지방세 등 납부실적 및 환급액</t>
  </si>
  <si>
    <t>AC406</t>
  </si>
  <si>
    <t>국내회원의 체크(직불)카드 이용실적</t>
  </si>
  <si>
    <t>AC407</t>
  </si>
  <si>
    <t>소멸시효 경과 선불카드 미사용잔액 현황</t>
  </si>
  <si>
    <t>AC408</t>
  </si>
  <si>
    <t>선불카드 발급수 현황</t>
  </si>
  <si>
    <t>AC409</t>
  </si>
  <si>
    <t>선불카드 미사용잔액 및 포인트 기부현황</t>
  </si>
  <si>
    <t>7. 리스업무</t>
  </si>
  <si>
    <t>리스실적</t>
  </si>
  <si>
    <t>업종별 리스실행 현황</t>
  </si>
  <si>
    <t>물건별 리스실행 현황</t>
  </si>
  <si>
    <t>8. 할부업무</t>
  </si>
  <si>
    <t>할부금융 취급잔액</t>
  </si>
  <si>
    <t>할부금융 취급실적</t>
  </si>
  <si>
    <t>할부금융업자 상품별 수익률 등 현황</t>
  </si>
  <si>
    <t>9. 신기술업무</t>
  </si>
  <si>
    <t>투자 및 융자현황</t>
  </si>
  <si>
    <t>업종별 투자현황</t>
  </si>
  <si>
    <t>신기술사업투자조합의 투자재원 현황</t>
  </si>
  <si>
    <t>AC361</t>
  </si>
  <si>
    <t>업력별 투자 현황</t>
  </si>
  <si>
    <t>AC362</t>
  </si>
  <si>
    <t>신기술사업투자조합 등 결성현황</t>
  </si>
  <si>
    <t>AC410</t>
  </si>
  <si>
    <t>유형별 투자·회수 현황</t>
  </si>
  <si>
    <t>AC411</t>
  </si>
  <si>
    <t>업종별 융자현황</t>
  </si>
  <si>
    <t>AC412</t>
  </si>
  <si>
    <t>업력별 융자현황</t>
  </si>
  <si>
    <t>평균 조달금리 현황</t>
  </si>
  <si>
    <t>평균 운용금리 현황</t>
  </si>
  <si>
    <t>AC369</t>
  </si>
  <si>
    <t>자동차금융 취급실적 및 판매수수료 현황</t>
  </si>
  <si>
    <t>가계대출모집인 운영 현황</t>
  </si>
  <si>
    <t>11. 투자자문업 현황</t>
    <phoneticPr fontId="6" type="noConversion"/>
  </si>
  <si>
    <t>AC429</t>
  </si>
  <si>
    <t>투자권유자문인력 현황</t>
    <phoneticPr fontId="76" type="noConversion"/>
  </si>
  <si>
    <t>분기</t>
    <phoneticPr fontId="76" type="noConversion"/>
  </si>
  <si>
    <t>AC430</t>
    <phoneticPr fontId="6" type="noConversion"/>
  </si>
  <si>
    <t>투자자문 계약현황</t>
    <phoneticPr fontId="76" type="noConversion"/>
  </si>
  <si>
    <t>월</t>
    <phoneticPr fontId="76" type="noConversion"/>
  </si>
  <si>
    <t>AC431</t>
    <phoneticPr fontId="6" type="noConversion"/>
  </si>
  <si>
    <t>자문수수료 수입 현황</t>
    <phoneticPr fontId="76" type="noConversion"/>
  </si>
  <si>
    <t>AC432</t>
    <phoneticPr fontId="6" type="noConversion"/>
  </si>
  <si>
    <t>투자자문재산 현황</t>
    <phoneticPr fontId="76" type="noConversion"/>
  </si>
  <si>
    <t>AC433</t>
    <phoneticPr fontId="6" type="noConversion"/>
  </si>
  <si>
    <t>계약상대방별 투자자문재산 현황</t>
    <phoneticPr fontId="76" type="noConversion"/>
  </si>
  <si>
    <t>AC434</t>
    <phoneticPr fontId="6" type="noConversion"/>
  </si>
  <si>
    <t>투자자문 대상 자산 현황</t>
    <phoneticPr fontId="76" type="noConversion"/>
  </si>
  <si>
    <t>AC435</t>
    <phoneticPr fontId="6" type="noConversion"/>
  </si>
  <si>
    <t>투자자문재산에 관한 투자판단의 위탁</t>
    <phoneticPr fontId="76" type="noConversion"/>
  </si>
  <si>
    <t>12. 전자적 투자조언장치 현황</t>
    <phoneticPr fontId="6" type="noConversion"/>
  </si>
  <si>
    <t>AC436</t>
    <phoneticPr fontId="6" type="noConversion"/>
  </si>
  <si>
    <t>전자적 투자조언장치 현황</t>
    <phoneticPr fontId="76" type="noConversion"/>
  </si>
  <si>
    <t>&lt;작성주기 : 분기&gt;</t>
    <phoneticPr fontId="6" type="noConversion"/>
  </si>
  <si>
    <t>[ 작성요령 ]</t>
    <phoneticPr fontId="6" type="noConversion"/>
  </si>
  <si>
    <t>1. 금리 유형을 변동금리와 고정/혼합형 금리로 구분하여 작성</t>
    <phoneticPr fontId="6" type="noConversion"/>
  </si>
  <si>
    <t>2. 1년이내 만기도래 및 1년초과 만기도래 기준은 보고서 작성 기준시점일로부터 잔여 만기가 1년이내인 경우는 "1년이내 만기도래"로, 잔여만기가 1년초과인 경우는 "1년초과 만기도래"로 작성</t>
    <phoneticPr fontId="6" type="noConversion"/>
  </si>
  <si>
    <t>4. 가계대출(E) : 각각의 항목은 업무보고서 AC366상의 가계대출 항목인 주택담보대출, 신용대출, 기타(오토론을 기타 항목에 포함), 가계대출 계와 반드시 일치해야 함</t>
    <phoneticPr fontId="6" type="noConversion"/>
  </si>
  <si>
    <t>5. 기업대출(F) : 각각의 항목은 업무보고서 AC366상의 기업대출 항목인 대기업대출 소계, 개인사업자 소계, 기타(개인사업자外), 기업대출 계와 반드시 일치해야 함</t>
    <phoneticPr fontId="6" type="noConversion"/>
  </si>
  <si>
    <t>9-1. 투자 및 융자 현황(AC285) ('18.11. . 개정)</t>
    <phoneticPr fontId="6" type="noConversion"/>
  </si>
  <si>
    <t>(단위 : 개, 건, 백만원 )</t>
    <phoneticPr fontId="6" type="noConversion"/>
  </si>
  <si>
    <t>코드행열명</t>
    <phoneticPr fontId="6" type="noConversion"/>
  </si>
  <si>
    <t>A</t>
    <phoneticPr fontId="6" type="noConversion"/>
  </si>
  <si>
    <t>B</t>
    <phoneticPr fontId="6" type="noConversion"/>
  </si>
  <si>
    <t>C</t>
    <phoneticPr fontId="6" type="noConversion"/>
  </si>
  <si>
    <t>D</t>
    <phoneticPr fontId="6" type="noConversion"/>
  </si>
  <si>
    <t>F</t>
    <phoneticPr fontId="6" type="noConversion"/>
  </si>
  <si>
    <t>E</t>
    <phoneticPr fontId="6" type="noConversion"/>
  </si>
  <si>
    <t>전분기말
잔액</t>
    <phoneticPr fontId="6" type="noConversion"/>
  </si>
  <si>
    <t>당분기중</t>
    <phoneticPr fontId="6" type="noConversion"/>
  </si>
  <si>
    <t>당분기말
잔액</t>
    <phoneticPr fontId="6" type="noConversion"/>
  </si>
  <si>
    <t>당분기중
실행</t>
    <phoneticPr fontId="6" type="noConversion"/>
  </si>
  <si>
    <t>당분기중
회수</t>
    <phoneticPr fontId="6" type="noConversion"/>
  </si>
  <si>
    <t>당분기중
순실행</t>
    <phoneticPr fontId="6" type="noConversion"/>
  </si>
  <si>
    <t>AAA</t>
    <phoneticPr fontId="6" type="noConversion"/>
  </si>
  <si>
    <t>회사분</t>
    <phoneticPr fontId="6" type="noConversion"/>
  </si>
  <si>
    <t>투자</t>
    <phoneticPr fontId="6" type="noConversion"/>
  </si>
  <si>
    <t>투자업체수</t>
    <phoneticPr fontId="6" type="noConversion"/>
  </si>
  <si>
    <t>투자건수</t>
    <phoneticPr fontId="6" type="noConversion"/>
  </si>
  <si>
    <t>투자
주식</t>
    <phoneticPr fontId="6" type="noConversion"/>
  </si>
  <si>
    <t>보통주</t>
    <phoneticPr fontId="6" type="noConversion"/>
  </si>
  <si>
    <t>취득원가</t>
    <phoneticPr fontId="6" type="noConversion"/>
  </si>
  <si>
    <t>장부가액</t>
    <phoneticPr fontId="6" type="noConversion"/>
  </si>
  <si>
    <t>A1111</t>
    <phoneticPr fontId="6" type="noConversion"/>
  </si>
  <si>
    <t>우선주</t>
    <phoneticPr fontId="6" type="noConversion"/>
  </si>
  <si>
    <t>A1112</t>
    <phoneticPr fontId="6" type="noConversion"/>
  </si>
  <si>
    <t>A113</t>
    <phoneticPr fontId="239" type="noConversion"/>
  </si>
  <si>
    <t>합계</t>
    <phoneticPr fontId="6" type="noConversion"/>
  </si>
  <si>
    <t>A114</t>
    <phoneticPr fontId="239" type="noConversion"/>
  </si>
  <si>
    <t>A121</t>
    <phoneticPr fontId="239" type="noConversion"/>
  </si>
  <si>
    <t>투자사채</t>
    <phoneticPr fontId="6" type="noConversion"/>
  </si>
  <si>
    <t>BW</t>
  </si>
  <si>
    <t>A1211</t>
    <phoneticPr fontId="239" type="noConversion"/>
  </si>
  <si>
    <t>A122</t>
    <phoneticPr fontId="239" type="noConversion"/>
  </si>
  <si>
    <t>CB</t>
  </si>
  <si>
    <t>A1221</t>
    <phoneticPr fontId="239" type="noConversion"/>
  </si>
  <si>
    <t>A123</t>
    <phoneticPr fontId="239" type="noConversion"/>
  </si>
  <si>
    <t>A1231</t>
    <phoneticPr fontId="239" type="noConversion"/>
  </si>
  <si>
    <t>A12</t>
    <phoneticPr fontId="239" type="noConversion"/>
  </si>
  <si>
    <t>A13</t>
    <phoneticPr fontId="239" type="noConversion"/>
  </si>
  <si>
    <t>조건부융자</t>
    <phoneticPr fontId="6" type="noConversion"/>
  </si>
  <si>
    <t>A131</t>
    <phoneticPr fontId="239" type="noConversion"/>
  </si>
  <si>
    <t>A14</t>
    <phoneticPr fontId="239" type="noConversion"/>
  </si>
  <si>
    <t>A141</t>
    <phoneticPr fontId="239" type="noConversion"/>
  </si>
  <si>
    <t>A1</t>
    <phoneticPr fontId="239" type="noConversion"/>
  </si>
  <si>
    <t>소계</t>
    <phoneticPr fontId="6" type="noConversion"/>
  </si>
  <si>
    <t>취득원가(A)</t>
    <phoneticPr fontId="6" type="noConversion"/>
  </si>
  <si>
    <t>A11</t>
    <phoneticPr fontId="239" type="noConversion"/>
  </si>
  <si>
    <t>A21</t>
    <phoneticPr fontId="239" type="noConversion"/>
  </si>
  <si>
    <t>신기술금융대출금</t>
    <phoneticPr fontId="6" type="noConversion"/>
  </si>
  <si>
    <t>대출건수</t>
    <phoneticPr fontId="6" type="noConversion"/>
  </si>
  <si>
    <t>A2</t>
    <phoneticPr fontId="239" type="noConversion"/>
  </si>
  <si>
    <t>대출금액</t>
    <phoneticPr fontId="6" type="noConversion"/>
  </si>
  <si>
    <t>A</t>
    <phoneticPr fontId="239" type="noConversion"/>
  </si>
  <si>
    <t>회사분 합계(D)</t>
    <phoneticPr fontId="6" type="noConversion"/>
  </si>
  <si>
    <t>BA</t>
    <phoneticPr fontId="6" type="noConversion"/>
  </si>
  <si>
    <t>신기술
사업투자
조합분</t>
    <phoneticPr fontId="6" type="noConversion"/>
  </si>
  <si>
    <t>업무집행조합수</t>
    <phoneticPr fontId="6" type="noConversion"/>
  </si>
  <si>
    <t>BAA</t>
    <phoneticPr fontId="6" type="noConversion"/>
  </si>
  <si>
    <t>B111</t>
    <phoneticPr fontId="6" type="noConversion"/>
  </si>
  <si>
    <t>B112</t>
    <phoneticPr fontId="6" type="noConversion"/>
  </si>
  <si>
    <t>B1111</t>
    <phoneticPr fontId="6" type="noConversion"/>
  </si>
  <si>
    <t>B1112</t>
    <phoneticPr fontId="6" type="noConversion"/>
  </si>
  <si>
    <t>B121</t>
  </si>
  <si>
    <t>B1211</t>
  </si>
  <si>
    <t>B122</t>
  </si>
  <si>
    <t>B1221</t>
  </si>
  <si>
    <t>B123</t>
  </si>
  <si>
    <t>B1231</t>
  </si>
  <si>
    <t>B12</t>
  </si>
  <si>
    <t>B13</t>
  </si>
  <si>
    <t>B131</t>
  </si>
  <si>
    <t>B14</t>
  </si>
  <si>
    <t>B141</t>
  </si>
  <si>
    <t>취득원가(B)</t>
    <phoneticPr fontId="6" type="noConversion"/>
  </si>
  <si>
    <t>B11</t>
  </si>
  <si>
    <t>B21</t>
  </si>
  <si>
    <t>B2</t>
    <phoneticPr fontId="239" type="noConversion"/>
  </si>
  <si>
    <t>신기술사업투자조합분 합계(E)</t>
    <phoneticPr fontId="6" type="noConversion"/>
  </si>
  <si>
    <t>JA</t>
  </si>
  <si>
    <t>기타조합분</t>
  </si>
  <si>
    <t>JAA</t>
  </si>
  <si>
    <t>JJ</t>
  </si>
  <si>
    <t>J111</t>
  </si>
  <si>
    <t>J112</t>
  </si>
  <si>
    <t>J1111</t>
  </si>
  <si>
    <t>J1112</t>
  </si>
  <si>
    <t>J113</t>
  </si>
  <si>
    <t>J114</t>
  </si>
  <si>
    <t>J121</t>
  </si>
  <si>
    <t>J1211</t>
  </si>
  <si>
    <t>J122</t>
  </si>
  <si>
    <t>J1221</t>
  </si>
  <si>
    <t>J123</t>
  </si>
  <si>
    <t>J1231</t>
  </si>
  <si>
    <t>J12</t>
  </si>
  <si>
    <t>J13</t>
  </si>
  <si>
    <t>J131</t>
  </si>
  <si>
    <t>J14</t>
  </si>
  <si>
    <t>J141</t>
  </si>
  <si>
    <t>취득원가(C)</t>
    <phoneticPr fontId="6" type="noConversion"/>
  </si>
  <si>
    <t>J11</t>
  </si>
  <si>
    <t>기타조합분 합계(F)</t>
    <phoneticPr fontId="6" type="noConversion"/>
  </si>
  <si>
    <t>C1</t>
    <phoneticPr fontId="6" type="noConversion"/>
  </si>
  <si>
    <t>신기술금융 투자합계(A+B+C)</t>
    <phoneticPr fontId="6" type="noConversion"/>
  </si>
  <si>
    <t>(취득원가)</t>
    <phoneticPr fontId="6" type="noConversion"/>
  </si>
  <si>
    <t>신기술금융 투융자 합계(D+E+F)</t>
    <phoneticPr fontId="6" type="noConversion"/>
  </si>
  <si>
    <t>조합출자</t>
    <phoneticPr fontId="6" type="noConversion"/>
  </si>
  <si>
    <t>신기술
사업투자조합</t>
    <phoneticPr fontId="6" type="noConversion"/>
  </si>
  <si>
    <t>업무집행
조합원분</t>
    <phoneticPr fontId="6" type="noConversion"/>
  </si>
  <si>
    <t>조합수</t>
    <phoneticPr fontId="6" type="noConversion"/>
  </si>
  <si>
    <t>약정액</t>
    <phoneticPr fontId="6" type="noConversion"/>
  </si>
  <si>
    <t>출자액</t>
    <phoneticPr fontId="6" type="noConversion"/>
  </si>
  <si>
    <t>G</t>
    <phoneticPr fontId="239" type="noConversion"/>
  </si>
  <si>
    <t>유한책임
조합원</t>
    <phoneticPr fontId="6" type="noConversion"/>
  </si>
  <si>
    <t>H</t>
    <phoneticPr fontId="239" type="noConversion"/>
  </si>
  <si>
    <t>I</t>
    <phoneticPr fontId="239" type="noConversion"/>
  </si>
  <si>
    <t>D1</t>
    <phoneticPr fontId="6" type="noConversion"/>
  </si>
  <si>
    <t>기타조합</t>
    <phoneticPr fontId="6" type="noConversion"/>
  </si>
  <si>
    <t>E1</t>
    <phoneticPr fontId="6" type="noConversion"/>
  </si>
  <si>
    <t>F1</t>
    <phoneticPr fontId="6" type="noConversion"/>
  </si>
  <si>
    <t>G1</t>
    <phoneticPr fontId="239" type="noConversion"/>
  </si>
  <si>
    <t>H1</t>
    <phoneticPr fontId="239" type="noConversion"/>
  </si>
  <si>
    <t>I1</t>
    <phoneticPr fontId="239" type="noConversion"/>
  </si>
  <si>
    <t>1. 투융자 합계액 산정시 투자소계의 취득원가에 신기술금융대출금을 합산하여 산정</t>
    <phoneticPr fontId="6" type="noConversion"/>
  </si>
  <si>
    <t>2. 투자주식 및 투자사채, 조건부융자 등의 전분기말 잔액(A열), 당분기말 잔액(E열)의 장부가액은 재무상태표(대차대조표)상 해당 계정의 전분기말, 당분기말 잔액과 일치하며</t>
    <phoneticPr fontId="6" type="noConversion"/>
  </si>
  <si>
    <t xml:space="preserve">   당분기중 기타에는 별도의 실행과 회수없이 평가손익 등이 발생하여 장부가액이 변동되는 경우 평가손익 등을 기재</t>
    <phoneticPr fontId="6" type="noConversion"/>
  </si>
  <si>
    <t>3. 회사분은 여전사가 신기술사업자에 투자한 금액이며, 조합분은 여전사가 운용하는 조합이 신기술금융사에 투자한 금액을 말함</t>
    <phoneticPr fontId="6" type="noConversion"/>
  </si>
  <si>
    <t xml:space="preserve">4. 기타조합분은 규제개혁신문고 민원에 대한 처리결과(중소금융과-997, 2017.7.19.)에 따라 </t>
    <phoneticPr fontId="6" type="noConversion"/>
  </si>
  <si>
    <t xml:space="preserve">   ① '농림수산식품투자조합 결성 및 운용에 관한 법률' 등 개별법에 근거한 투자조합과 관련한 업무이지만, 투자조합의 투자대상이 신기술사업자이며, 기타 여전법에 따른 요건을</t>
    <phoneticPr fontId="6" type="noConversion"/>
  </si>
  <si>
    <t xml:space="preserve">   준수한 경우에 동 조합이 신기술사업자에 투자한 금액과</t>
    <phoneticPr fontId="6" type="noConversion"/>
  </si>
  <si>
    <t xml:space="preserve">   ② '농림수산식품투자조합 결성 및 운용에 관한 법률' 제14조 제3항 및 동법 시행령 제14조 제1항 등 개별법에서 신기술사업금융업자가 투자 또는 운용할 수 있는 투자조합에 </t>
    <phoneticPr fontId="6" type="noConversion"/>
  </si>
  <si>
    <t xml:space="preserve">   대한 투자대상의 특례조항(출자금의 60%이상을 신기술사업자이자 농식품경영체인 업체에 투자할 필요)을 두고 있는 경우 해당 투자조합은 투자액 중 일부를 </t>
    <phoneticPr fontId="6" type="noConversion"/>
  </si>
  <si>
    <t xml:space="preserve">   신기술사업자가 아닌 업체에 투자할 수 있는 바(이 경우에도 신기술사업자에 대한 투자비중은 50% 초과), 이 경우 동 조합이 신기술사업자에 투자한 금액을 기재</t>
    <phoneticPr fontId="6" type="noConversion"/>
  </si>
  <si>
    <t xml:space="preserve">   (이하 AC286, AC287, AC361, AC362, AC410도 동일)</t>
    <phoneticPr fontId="6" type="noConversion"/>
  </si>
  <si>
    <t>5. 신기술사업금융업을 등록한 겸영여신업자(금융투자업자 등)도 여전법 제54조(업무보고서 등의 제출) 제1항에 따라 작성</t>
    <phoneticPr fontId="6" type="noConversion"/>
  </si>
  <si>
    <r>
      <t xml:space="preserve">1. 2019년 1월 부터 작성요령 3. 및 4. 자구 수정(신기술금융사 </t>
    </r>
    <r>
      <rPr>
        <sz val="11"/>
        <rFont val="맑은 고딕"/>
        <family val="3"/>
        <charset val="129"/>
      </rPr>
      <t>→</t>
    </r>
    <r>
      <rPr>
        <sz val="9.35"/>
        <rFont val="새굴림"/>
        <family val="1"/>
        <charset val="129"/>
      </rPr>
      <t xml:space="preserve"> </t>
    </r>
    <r>
      <rPr>
        <sz val="11"/>
        <rFont val="새굴림"/>
        <family val="1"/>
        <charset val="129"/>
      </rPr>
      <t>신기술사업자 등)</t>
    </r>
    <phoneticPr fontId="6" type="noConversion"/>
  </si>
  <si>
    <t>9-3. 신기술사업투자조합의 투자재원 현황(AC287) ('17.9. . 개정)</t>
    <phoneticPr fontId="6" type="noConversion"/>
  </si>
  <si>
    <t>(단위: 개, 명, 백만원)</t>
    <phoneticPr fontId="6" type="noConversion"/>
  </si>
  <si>
    <t>A1</t>
    <phoneticPr fontId="6" type="noConversion"/>
  </si>
  <si>
    <t>A2</t>
    <phoneticPr fontId="6" type="noConversion"/>
  </si>
  <si>
    <t>B1</t>
    <phoneticPr fontId="6" type="noConversion"/>
  </si>
  <si>
    <t>B2</t>
    <phoneticPr fontId="6" type="noConversion"/>
  </si>
  <si>
    <t>C2</t>
    <phoneticPr fontId="6" type="noConversion"/>
  </si>
  <si>
    <t>전분기말</t>
    <phoneticPr fontId="6" type="noConversion"/>
  </si>
  <si>
    <t>당분기말</t>
    <phoneticPr fontId="6" type="noConversion"/>
  </si>
  <si>
    <t>증감</t>
    <phoneticPr fontId="6" type="noConversion"/>
  </si>
  <si>
    <t>참여기관
(인원)수</t>
    <phoneticPr fontId="6" type="noConversion"/>
  </si>
  <si>
    <t>금액</t>
    <phoneticPr fontId="6" type="noConversion"/>
  </si>
  <si>
    <t>여신전문
금융회사</t>
    <phoneticPr fontId="6" type="noConversion"/>
  </si>
  <si>
    <t>업무집행조합원분
(자체출자액)</t>
    <phoneticPr fontId="6" type="noConversion"/>
  </si>
  <si>
    <t>C5</t>
    <phoneticPr fontId="239" type="noConversion"/>
  </si>
  <si>
    <t>정책기관</t>
    <phoneticPr fontId="6" type="noConversion"/>
  </si>
  <si>
    <t>연금(기금)/공제회</t>
    <phoneticPr fontId="6" type="noConversion"/>
  </si>
  <si>
    <t>CC1</t>
    <phoneticPr fontId="239" type="noConversion"/>
  </si>
  <si>
    <t>정부기관</t>
    <phoneticPr fontId="6" type="noConversion"/>
  </si>
  <si>
    <t>중소벤처기업부</t>
    <phoneticPr fontId="6" type="noConversion"/>
  </si>
  <si>
    <t>CC2</t>
    <phoneticPr fontId="239" type="noConversion"/>
  </si>
  <si>
    <t>방송통신위원회</t>
    <phoneticPr fontId="6" type="noConversion"/>
  </si>
  <si>
    <t>CC3</t>
    <phoneticPr fontId="239" type="noConversion"/>
  </si>
  <si>
    <t>과학기술정보통신부</t>
    <phoneticPr fontId="6" type="noConversion"/>
  </si>
  <si>
    <t>CC4</t>
    <phoneticPr fontId="239" type="noConversion"/>
  </si>
  <si>
    <t>산업통상자원부</t>
    <phoneticPr fontId="6" type="noConversion"/>
  </si>
  <si>
    <t>CC6</t>
    <phoneticPr fontId="239" type="noConversion"/>
  </si>
  <si>
    <t>지자체</t>
    <phoneticPr fontId="6" type="noConversion"/>
  </si>
  <si>
    <t>CC5</t>
    <phoneticPr fontId="239" type="noConversion"/>
  </si>
  <si>
    <t>기타 정부기관</t>
    <phoneticPr fontId="6" type="noConversion"/>
  </si>
  <si>
    <t>CC</t>
    <phoneticPr fontId="239" type="noConversion"/>
  </si>
  <si>
    <t>C6</t>
    <phoneticPr fontId="239" type="noConversion"/>
  </si>
  <si>
    <t>성장사다리펀드</t>
    <phoneticPr fontId="6" type="noConversion"/>
  </si>
  <si>
    <t>C7</t>
    <phoneticPr fontId="239" type="noConversion"/>
  </si>
  <si>
    <t>특수은행(산업은행 등)</t>
    <phoneticPr fontId="6" type="noConversion"/>
  </si>
  <si>
    <t>C4</t>
    <phoneticPr fontId="239" type="noConversion"/>
  </si>
  <si>
    <t>모태펀드</t>
    <phoneticPr fontId="6" type="noConversion"/>
  </si>
  <si>
    <t>C8</t>
    <phoneticPr fontId="239" type="noConversion"/>
  </si>
  <si>
    <t>기타단체</t>
    <phoneticPr fontId="6" type="noConversion"/>
  </si>
  <si>
    <t>금융회사</t>
    <phoneticPr fontId="6" type="noConversion"/>
  </si>
  <si>
    <t>은행(은행법에 따른 은행)</t>
    <phoneticPr fontId="6" type="noConversion"/>
  </si>
  <si>
    <t>I2</t>
    <phoneticPr fontId="239" type="noConversion"/>
  </si>
  <si>
    <t>금융투자회사</t>
    <phoneticPr fontId="6" type="noConversion"/>
  </si>
  <si>
    <t>I3</t>
    <phoneticPr fontId="239" type="noConversion"/>
  </si>
  <si>
    <t>보험회사</t>
    <phoneticPr fontId="6" type="noConversion"/>
  </si>
  <si>
    <t>I4</t>
    <phoneticPr fontId="239" type="noConversion"/>
  </si>
  <si>
    <t>기타 금융회사</t>
    <phoneticPr fontId="6" type="noConversion"/>
  </si>
  <si>
    <t>일반법인</t>
    <phoneticPr fontId="6" type="noConversion"/>
  </si>
  <si>
    <t>개인</t>
    <phoneticPr fontId="6" type="noConversion"/>
  </si>
  <si>
    <t>외국(법)인</t>
    <phoneticPr fontId="6" type="noConversion"/>
  </si>
  <si>
    <t>J</t>
    <phoneticPr fontId="239" type="noConversion"/>
  </si>
  <si>
    <t>벤처캐피탈(창업투자회사 등)</t>
    <phoneticPr fontId="6" type="noConversion"/>
  </si>
  <si>
    <t>H</t>
    <phoneticPr fontId="6" type="noConversion"/>
  </si>
  <si>
    <t>1. 업무집행조합원으로 집행, 관리하는 투자조합에 대하여만 작성</t>
    <phoneticPr fontId="6" type="noConversion"/>
  </si>
  <si>
    <t>2. 신기술투자조합에 대해서만 작성</t>
    <phoneticPr fontId="76" type="noConversion"/>
  </si>
  <si>
    <t>3. 공동 업무집행조합원인 경우 투자집행, 해산업무 등의 사후관리나 조합의 회계감사업무 등을 주로 수행하는 신기술금융사가 작성</t>
    <phoneticPr fontId="6" type="noConversion"/>
  </si>
  <si>
    <t>4. 공동 업무분담으로 2.의 구분이 어려운 경우 출자금액이 큰 신기술금융사가 작성</t>
    <phoneticPr fontId="6" type="noConversion"/>
  </si>
  <si>
    <t>5. 신기술사업투자조합 결성시 약정금액 중 실제조달액 기준으로 작성</t>
    <phoneticPr fontId="6" type="noConversion"/>
  </si>
  <si>
    <t>6. 신기술사업금융업을 등록한 겸영여신업자(금융투자업자 등)도 여전법 제54조(업무보고서 등의 제출) 제1항에 따라 작성</t>
    <phoneticPr fontId="6" type="noConversion"/>
  </si>
  <si>
    <t>9-4. 업력별 투자현황(AC361) ('18.11. . 개정)</t>
    <phoneticPr fontId="6" type="noConversion"/>
  </si>
  <si>
    <t>(단위 : 개, 백만원)</t>
    <phoneticPr fontId="6" type="noConversion"/>
  </si>
  <si>
    <t>A3</t>
    <phoneticPr fontId="6" type="noConversion"/>
  </si>
  <si>
    <t>A4</t>
    <phoneticPr fontId="6" type="noConversion"/>
  </si>
  <si>
    <t>A5</t>
    <phoneticPr fontId="6" type="noConversion"/>
  </si>
  <si>
    <t>A6</t>
    <phoneticPr fontId="6" type="noConversion"/>
  </si>
  <si>
    <t>B3</t>
    <phoneticPr fontId="6" type="noConversion"/>
  </si>
  <si>
    <t>B4</t>
    <phoneticPr fontId="6" type="noConversion"/>
  </si>
  <si>
    <t>B5</t>
    <phoneticPr fontId="6" type="noConversion"/>
  </si>
  <si>
    <t>B6</t>
    <phoneticPr fontId="6" type="noConversion"/>
  </si>
  <si>
    <t>당반기중 실행액 기준</t>
    <phoneticPr fontId="6" type="noConversion"/>
  </si>
  <si>
    <t>신기술사업 투자조합분</t>
    <phoneticPr fontId="6" type="noConversion"/>
  </si>
  <si>
    <t>전반기말</t>
    <phoneticPr fontId="6" type="noConversion"/>
  </si>
  <si>
    <t>당반기중 실행</t>
    <phoneticPr fontId="6" type="noConversion"/>
  </si>
  <si>
    <t>당반기말</t>
    <phoneticPr fontId="6" type="noConversion"/>
  </si>
  <si>
    <t>업체수</t>
    <phoneticPr fontId="6" type="noConversion"/>
  </si>
  <si>
    <t>초기
단계</t>
    <phoneticPr fontId="6" type="noConversion"/>
  </si>
  <si>
    <t>1년 이하</t>
    <phoneticPr fontId="6" type="noConversion"/>
  </si>
  <si>
    <t>1년～3년 이하</t>
    <phoneticPr fontId="6" type="noConversion"/>
  </si>
  <si>
    <t>중기
단계</t>
    <phoneticPr fontId="6" type="noConversion"/>
  </si>
  <si>
    <t>3년～5년 이하</t>
    <phoneticPr fontId="6" type="noConversion"/>
  </si>
  <si>
    <t>5년～7년 이하</t>
    <phoneticPr fontId="6" type="noConversion"/>
  </si>
  <si>
    <t>후기
단계</t>
    <phoneticPr fontId="6" type="noConversion"/>
  </si>
  <si>
    <t>7년～14년이하</t>
    <phoneticPr fontId="6" type="noConversion"/>
  </si>
  <si>
    <t>14년초과</t>
  </si>
  <si>
    <t>I</t>
    <phoneticPr fontId="6" type="noConversion"/>
  </si>
  <si>
    <t>J</t>
    <phoneticPr fontId="6" type="noConversion"/>
  </si>
  <si>
    <t>&lt;작성주기 : 반기&gt;</t>
    <phoneticPr fontId="6" type="noConversion"/>
  </si>
  <si>
    <t>1. 당반기중 실행액 및 당반기말 잔액은 피투자업체의 설립일로부터 투자일까지의 기간을 기준으로 작성</t>
    <phoneticPr fontId="6" type="noConversion"/>
  </si>
  <si>
    <t>(투자일 기준, 재투자를 하는 경우 동일 기업이라도 '투자시점'을 기준으로 작성)</t>
    <phoneticPr fontId="6" type="noConversion"/>
  </si>
  <si>
    <t>2. 합계는 '9-1. 투자 및 융자현황 (AC285)'의 회사분 투자소계 및 조합분 투자소계(취득원가)와 일치</t>
    <phoneticPr fontId="6" type="noConversion"/>
  </si>
  <si>
    <t>3. 신기술사업금융업을 등록한 겸영여신업자(금융투자업자 등)도 여전법 제54조(업무보고서 등의 제출) 제1항에 따라 작성</t>
    <phoneticPr fontId="6" type="noConversion"/>
  </si>
  <si>
    <t>1. 2017.9.30일부터 업력별 투자현황만 작성하고 업력별 융자현황은 AC412에 작성</t>
    <phoneticPr fontId="6" type="noConversion"/>
  </si>
  <si>
    <t>2. 2019년 1월 부터 보고주기 변경 (분기 → 반기)</t>
    <phoneticPr fontId="6" type="noConversion"/>
  </si>
  <si>
    <t>*</t>
    <phoneticPr fontId="6" type="noConversion"/>
  </si>
  <si>
    <t>9-8. 업력별 융자현황(AC412) ('17.9. .개정)</t>
    <phoneticPr fontId="6" type="noConversion"/>
  </si>
  <si>
    <t>당분기중 실행</t>
    <phoneticPr fontId="6" type="noConversion"/>
  </si>
  <si>
    <t>1. 당분기중 실행액 및 당분기말 잔액은 피투자업체의 설립일로부터 투자일까지의 기간을 기준으로 작성(투자일 기준, 재투자를 하는 경우 동일 기업이라도 '투자시점'을 기준으로 작성)</t>
    <phoneticPr fontId="6" type="noConversion"/>
  </si>
  <si>
    <t>2. 합계는 '9-1. 투자 및 융자현황 (AC285)'의 회사분 신기술금융대출금(대출금액)과 일치</t>
    <phoneticPr fontId="6" type="noConversion"/>
  </si>
  <si>
    <t>1-6. 자산, 부채 만기구조 현황_ 관리자산 기준 (AC304) ('22. 1. . 개정)</t>
    <phoneticPr fontId="6" type="noConversion"/>
  </si>
  <si>
    <t>1일~
7일이내</t>
    <phoneticPr fontId="6" type="noConversion"/>
  </si>
  <si>
    <t>1일~
30일이내</t>
    <phoneticPr fontId="6" type="noConversion"/>
  </si>
  <si>
    <t>1일~
90일이내</t>
    <phoneticPr fontId="6" type="noConversion"/>
  </si>
  <si>
    <t>1일~
180일이내</t>
    <phoneticPr fontId="6" type="noConversion"/>
  </si>
  <si>
    <t>1일~
1년이내</t>
    <phoneticPr fontId="6" type="noConversion"/>
  </si>
  <si>
    <t>1일~
2년이내</t>
    <phoneticPr fontId="6" type="noConversion"/>
  </si>
  <si>
    <t>2년 초과</t>
    <phoneticPr fontId="6" type="noConversion"/>
  </si>
  <si>
    <t>자산</t>
    <phoneticPr fontId="6" type="noConversion"/>
  </si>
  <si>
    <t>원화
자산</t>
    <phoneticPr fontId="6" type="noConversion"/>
  </si>
  <si>
    <t>현금과 예치금</t>
    <phoneticPr fontId="6" type="noConversion"/>
  </si>
  <si>
    <t>유가증권</t>
    <phoneticPr fontId="6" type="noConversion"/>
  </si>
  <si>
    <t>신기술금융자산</t>
    <phoneticPr fontId="6" type="noConversion"/>
  </si>
  <si>
    <t>A71</t>
    <phoneticPr fontId="6" type="noConversion"/>
  </si>
  <si>
    <t>대출채권</t>
    <phoneticPr fontId="6" type="noConversion"/>
  </si>
  <si>
    <t>콜론</t>
    <phoneticPr fontId="6" type="noConversion"/>
  </si>
  <si>
    <t>A72</t>
    <phoneticPr fontId="6" type="noConversion"/>
  </si>
  <si>
    <t>할인어음</t>
    <phoneticPr fontId="6" type="noConversion"/>
  </si>
  <si>
    <t>A73</t>
    <phoneticPr fontId="6" type="noConversion"/>
  </si>
  <si>
    <t>팩토링</t>
    <phoneticPr fontId="6" type="noConversion"/>
  </si>
  <si>
    <t>A741</t>
    <phoneticPr fontId="6" type="noConversion"/>
  </si>
  <si>
    <t>대여금</t>
    <phoneticPr fontId="6" type="noConversion"/>
  </si>
  <si>
    <t>가계대출금</t>
    <phoneticPr fontId="6" type="noConversion"/>
  </si>
  <si>
    <t>A742</t>
    <phoneticPr fontId="6" type="noConversion"/>
  </si>
  <si>
    <t>기타대출금</t>
    <phoneticPr fontId="6" type="noConversion"/>
  </si>
  <si>
    <t>A74</t>
    <phoneticPr fontId="6" type="noConversion"/>
  </si>
  <si>
    <t>A75</t>
    <phoneticPr fontId="6" type="noConversion"/>
  </si>
  <si>
    <t>기타 원화자산</t>
    <phoneticPr fontId="6" type="noConversion"/>
  </si>
  <si>
    <t>원화자산총계</t>
    <phoneticPr fontId="6" type="noConversion"/>
  </si>
  <si>
    <t>외화자산총계</t>
    <phoneticPr fontId="6" type="noConversion"/>
  </si>
  <si>
    <t>자산총계(대차대조표상 자산)</t>
    <phoneticPr fontId="6" type="noConversion"/>
  </si>
  <si>
    <t>난외 파생상품 자산</t>
    <phoneticPr fontId="6" type="noConversion"/>
  </si>
  <si>
    <t>원화자산</t>
    <phoneticPr fontId="6" type="noConversion"/>
  </si>
  <si>
    <t>외화자산</t>
    <phoneticPr fontId="6" type="noConversion"/>
  </si>
  <si>
    <t>부채
및
자본</t>
    <phoneticPr fontId="6" type="noConversion"/>
  </si>
  <si>
    <t>원화
부채
및
자본</t>
    <phoneticPr fontId="6" type="noConversion"/>
  </si>
  <si>
    <t>단기차입금</t>
    <phoneticPr fontId="6" type="noConversion"/>
  </si>
  <si>
    <t>일반차입금</t>
    <phoneticPr fontId="6" type="noConversion"/>
  </si>
  <si>
    <t>어음차입금</t>
    <phoneticPr fontId="6" type="noConversion"/>
  </si>
  <si>
    <t>D14</t>
    <phoneticPr fontId="6" type="noConversion"/>
  </si>
  <si>
    <t>D2</t>
    <phoneticPr fontId="6" type="noConversion"/>
  </si>
  <si>
    <t>콜머니</t>
    <phoneticPr fontId="6" type="noConversion"/>
  </si>
  <si>
    <t>D3</t>
    <phoneticPr fontId="6" type="noConversion"/>
  </si>
  <si>
    <t>장기차입금</t>
    <phoneticPr fontId="6" type="noConversion"/>
  </si>
  <si>
    <t>D4</t>
    <phoneticPr fontId="6" type="noConversion"/>
  </si>
  <si>
    <t>사채</t>
    <phoneticPr fontId="6" type="noConversion"/>
  </si>
  <si>
    <t>D5</t>
    <phoneticPr fontId="6" type="noConversion"/>
  </si>
  <si>
    <t>기타 원화부채</t>
    <phoneticPr fontId="6" type="noConversion"/>
  </si>
  <si>
    <t>부채 소계(원화)</t>
    <phoneticPr fontId="6" type="noConversion"/>
  </si>
  <si>
    <t>자기자본</t>
    <phoneticPr fontId="6" type="noConversion"/>
  </si>
  <si>
    <t>제충당금</t>
    <phoneticPr fontId="6" type="noConversion"/>
  </si>
  <si>
    <t>원화 부채 및 자본(제충당금포함)</t>
    <phoneticPr fontId="6" type="noConversion"/>
  </si>
  <si>
    <t>외화 부채 및 자본</t>
    <phoneticPr fontId="6" type="noConversion"/>
  </si>
  <si>
    <t>부채 및 자본 총계(대차대조표상 부채 및 자본)</t>
    <phoneticPr fontId="6" type="noConversion"/>
  </si>
  <si>
    <t>자산
유동화</t>
    <phoneticPr fontId="6" type="noConversion"/>
  </si>
  <si>
    <t>국내 ABS</t>
    <phoneticPr fontId="6" type="noConversion"/>
  </si>
  <si>
    <t>K</t>
    <phoneticPr fontId="6" type="noConversion"/>
  </si>
  <si>
    <t>해외 ABS</t>
    <phoneticPr fontId="6" type="noConversion"/>
  </si>
  <si>
    <t>소  계</t>
    <phoneticPr fontId="6" type="noConversion"/>
  </si>
  <si>
    <t>1. 항목별 계정과목</t>
    <phoneticPr fontId="6" type="noConversion"/>
  </si>
  <si>
    <t xml:space="preserve">  1) 자산 부분: 관리자산 기준으로 작성 (자산유동화가 이루어지지 않은 경우를 가정하여 작성)</t>
    <phoneticPr fontId="6" type="noConversion"/>
  </si>
  <si>
    <t xml:space="preserve">      (예 : 유가증권 중 ABS 발행 관련 신용보강을 위해 자사가 인수한 후순위증권은 제외)</t>
    <phoneticPr fontId="6" type="noConversion"/>
  </si>
  <si>
    <t xml:space="preserve">      대손충당금(대손준비금을 포함한다) 등 제충당금을 포함한 수치로 기재</t>
    <phoneticPr fontId="6" type="noConversion"/>
  </si>
  <si>
    <t xml:space="preserve">      유동자산: 현금과 현금등가물, 단기금융상품 등</t>
    <phoneticPr fontId="6" type="noConversion"/>
  </si>
  <si>
    <t xml:space="preserve">      유가증권:</t>
    <phoneticPr fontId="6" type="noConversion"/>
  </si>
  <si>
    <t xml:space="preserve">         (한국채택국제회계기준 적용사) 당기손익-공정가치측정유가증권, 기타포괄손익-공정가치측정유가증권, 상각후원가측정유가증권, 지분법적용투자주식,  관계회사투자지분외 유가증권, 관계회사투자지분</t>
    <phoneticPr fontId="6" type="noConversion"/>
  </si>
  <si>
    <t xml:space="preserve">         (일반기업회계기준 적용사) 단기매매증권, 매도가능증권, 만기보유증권, 지분법적용투자주식,  관계회사투자지분외 유가증권, 관계회사투자지분</t>
    <phoneticPr fontId="6" type="noConversion"/>
  </si>
  <si>
    <t xml:space="preserve">       카드자산: 카드자산</t>
    <phoneticPr fontId="6" type="noConversion"/>
  </si>
  <si>
    <t xml:space="preserve">      할부금융자산: 할부금융자산</t>
    <phoneticPr fontId="6" type="noConversion"/>
  </si>
  <si>
    <t xml:space="preserve">      리스자산: 리스자산</t>
    <phoneticPr fontId="6" type="noConversion"/>
  </si>
  <si>
    <t xml:space="preserve">      신기술금융자산: 신기술금융자산</t>
    <phoneticPr fontId="6" type="noConversion"/>
  </si>
  <si>
    <t xml:space="preserve">      대출채권: 대출채권</t>
    <phoneticPr fontId="6" type="noConversion"/>
  </si>
  <si>
    <t xml:space="preserve">      기타 원화자산: BS 자산항목 및 난외파생상품자산중 위의 항목을 제외한 원화자산 및 금융기관매각자산으로서  한국채택국제회계기준 등에 의한 제거요건을 충족하지 못하는 자산</t>
    <phoneticPr fontId="6" type="noConversion"/>
  </si>
  <si>
    <t xml:space="preserve">   2) 부채 및 자본 부분</t>
    <phoneticPr fontId="6" type="noConversion"/>
  </si>
  <si>
    <t xml:space="preserve">      단기차입금: 일반차입금(당좌차월 포함), 어음차입금, 관계회사차입금, 기타</t>
    <phoneticPr fontId="6" type="noConversion"/>
  </si>
  <si>
    <t xml:space="preserve">      장기차입금: 유동성장기차입금, 장기차입금</t>
    <phoneticPr fontId="6" type="noConversion"/>
  </si>
  <si>
    <t xml:space="preserve">      사채: 단기사채, 유동성사채, 사채, 전환사채, 신주인수권부사채, 교환사채 합계액에서 관련 발행차금,전환권조정, 신주인수권조정,상환할증금 가감</t>
    <phoneticPr fontId="6" type="noConversion"/>
  </si>
  <si>
    <t xml:space="preserve">      기타 원화부채: "BS 부채항목 및 난외파생상품부채"중 위의 항목을 제외한 원화부채(일반기업회계기준을 적용하는 여신전문금융회사는 상환우선주를 기타원화부채에 포함)</t>
    <phoneticPr fontId="6" type="noConversion"/>
  </si>
  <si>
    <t xml:space="preserve">      제충당금: 대손충당금, 리스자산처분손실충당금, 퇴직급여충당금[국민연금전환금, 퇴직보험예치금 차감], 단체퇴직급여충당금, 지급보증충당금</t>
    <phoneticPr fontId="6" type="noConversion"/>
  </si>
  <si>
    <t xml:space="preserve">      자기자본: 자본총계(일반기업회계기준을 적용하는 여신전문금융회사는 상환우선주를 제외)</t>
    <phoneticPr fontId="6" type="noConversion"/>
  </si>
  <si>
    <t xml:space="preserve">   3) 자산유동화 부분</t>
    <phoneticPr fontId="6" type="noConversion"/>
  </si>
  <si>
    <t xml:space="preserve">      ABS 발행 관련 신용보강을 위해 자사가 인수한 후순위증권을 제외하고 실제 투자자가 보유한 채권 기준</t>
    <phoneticPr fontId="6" type="noConversion"/>
  </si>
  <si>
    <t xml:space="preserve">      향후 ABCP를 주기적으로 발행하기로 약정되어 있는 구조의 경우 SPC의 실제 현금상환분 기재 (ABCP 차환 발행분은 제외)</t>
    <phoneticPr fontId="6" type="noConversion"/>
  </si>
  <si>
    <t>4) 난외 파생상품 자산(부채) : 외화스왑의 미결제 통화선도계약분, 통화선도의 계약분, 통화스왑의 미결제 통화선도 계약분 등 외국환업무 현황보고서(만기별 외화자금 조달 운용 현황, FX6660)상 선물의 조달과 운용에 한정하여 작성</t>
    <phoneticPr fontId="6" type="noConversion"/>
  </si>
  <si>
    <t>2. 만기일 기준</t>
    <phoneticPr fontId="6" type="noConversion"/>
  </si>
  <si>
    <t xml:space="preserve">   1) 1개월이상 연체 자산(신용카드업자에 한함), 고정이하분류자산, 이자유예 또는 면제여신, 고정자산 등 단시일내 현금화가 불가능한 자산: 2년 초과로 분류</t>
    <phoneticPr fontId="6" type="noConversion"/>
  </si>
  <si>
    <t xml:space="preserve">   2) 유가증권</t>
    <phoneticPr fontId="6" type="noConversion"/>
  </si>
  <si>
    <t xml:space="preserve">      (한국채택국제회계기준 적용사) </t>
    <phoneticPr fontId="6" type="noConversion"/>
  </si>
  <si>
    <t xml:space="preserve">       당기손익-공정가치측정유가증권, 기타포괄손익-공정가치측정유가증권 : 공정가액 평가가 원칙으로 해당 유가증권의 만기일 기준으로 분류, 다만, 시가가 있는 경우, 시가를 공정가액으로 간주하고 7일 이내로 분류</t>
    <phoneticPr fontId="6" type="noConversion"/>
  </si>
  <si>
    <t xml:space="preserve">       신종 MMF 및 3개월이내에 중도환매수수료 징구없이 환매가 가능한 수익증권은 예치금과 동일한 기준으로 분류</t>
    <phoneticPr fontId="6" type="noConversion"/>
  </si>
  <si>
    <t xml:space="preserve">       상각후원가측정유가증권, 지분법적용투자주식 : 해당 유가증권의 회수(매각)시기를 기준으로 분류하되, 회수(매각) 계획이 없는 경우 2년 초과로 분류</t>
    <phoneticPr fontId="6" type="noConversion"/>
  </si>
  <si>
    <t xml:space="preserve">      (일반기업회계기준 적용사) </t>
    <phoneticPr fontId="6" type="noConversion"/>
  </si>
  <si>
    <t xml:space="preserve">       단기매매,매도가능증권 : 공정가액 평가가 원칙으로 해당 유가증권의 만기일 기준으로 분류, 다만, 시가가 있는 경우, 시가를 공정가액으로 간주하고 7일 이내로 분류</t>
    <phoneticPr fontId="6" type="noConversion"/>
  </si>
  <si>
    <t xml:space="preserve">       만기보유증권, 지분법적용투자주식 : 해당 유가증권의 회수(매각)시기를 기준으로 분류하되, 회수(매각) 계획이 없는 경우 2년 초과로 분류</t>
    <phoneticPr fontId="6" type="noConversion"/>
  </si>
  <si>
    <t xml:space="preserve">   3) 신기술금융자산</t>
    <phoneticPr fontId="6" type="noConversion"/>
  </si>
  <si>
    <t xml:space="preserve">       투자주식, 출자금, 전환사채, 조건부융자는 투자유가증권과 동일한 방법에 의해 만기일 분류하고, 신기술금융대출금은 대출채권 등과 동일한 방법에 의해 만기일 분류</t>
    <phoneticPr fontId="6" type="noConversion"/>
  </si>
  <si>
    <t xml:space="preserve">   4) 대출채권 등</t>
    <phoneticPr fontId="6" type="noConversion"/>
  </si>
  <si>
    <t xml:space="preserve">       분할상환채권 및 리스채권: 분할상환기준일 기준</t>
    <phoneticPr fontId="6" type="noConversion"/>
  </si>
  <si>
    <t xml:space="preserve">       한도거래 채권(여신): 한도약정 만기일 기준, 단, 할인어음은 어음만기일 기준</t>
    <phoneticPr fontId="6" type="noConversion"/>
  </si>
  <si>
    <t xml:space="preserve">       Rollover조건인 채권: Rollover 약정 만기일 기준</t>
    <phoneticPr fontId="6" type="noConversion"/>
  </si>
  <si>
    <t xml:space="preserve">       지급보증대지급금: 90일 이내로 분류하되, 대지급발생일로부터 90일 이상 연체된 금액은 2년 초과로 분류</t>
    <phoneticPr fontId="6" type="noConversion"/>
  </si>
  <si>
    <t xml:space="preserve">       제충당금 및 자기자본: 2년 초과로 분류</t>
  </si>
  <si>
    <t>5) 증거금, 담보 등으로 제공되어 있어 90일 이내 현금화가 어려운 경우에는 증거금 및 담보제공과 관련된 원계약의 만기를 따르되, 원계약 만기의 합리적 추산 불가시 2년 초과로 분류</t>
    <phoneticPr fontId="6" type="noConversion"/>
  </si>
  <si>
    <t xml:space="preserve"> 1. '18.1월 한국채택국제회계기준서 제1109호 시행으로 한국채택국제회계기준 적용사의 단기매매증권을 당기손익-공정가치측정유가증권, 매도가능증권을 기타포괄손익-공정가치측정유가증권 및 </t>
    <phoneticPr fontId="79" type="noConversion"/>
  </si>
  <si>
    <t xml:space="preserve">     만기보유증권을 상각후원가측정유가증권으로 개정</t>
    <phoneticPr fontId="6" type="noConversion"/>
  </si>
  <si>
    <t xml:space="preserve"> 2. '21.1월 여신전문금융업감독업무 시행세칙 개정내용 반영(유동성 자산, 기타 원화자산, 원화부채 등 작성요령 변경, 만기구조 변경)</t>
    <phoneticPr fontId="6" type="noConversion"/>
  </si>
  <si>
    <t>D31</t>
    <phoneticPr fontId="6" type="noConversion"/>
  </si>
  <si>
    <t>일반차입금</t>
  </si>
  <si>
    <t>D32</t>
  </si>
  <si>
    <t>어음차입금</t>
  </si>
  <si>
    <t>D33</t>
  </si>
  <si>
    <t>관계회사차입금</t>
  </si>
  <si>
    <t>D34</t>
  </si>
  <si>
    <t>H1</t>
    <phoneticPr fontId="6" type="noConversion"/>
  </si>
  <si>
    <t>외화 
부채
및 자본</t>
    <phoneticPr fontId="6" type="noConversion"/>
  </si>
  <si>
    <t>외화부채</t>
    <phoneticPr fontId="6" type="noConversion"/>
  </si>
  <si>
    <t>H2</t>
    <phoneticPr fontId="6" type="noConversion"/>
  </si>
  <si>
    <t>외화자본</t>
    <phoneticPr fontId="6" type="noConversion"/>
  </si>
  <si>
    <t>난외
파생상품
부채</t>
    <phoneticPr fontId="6" type="noConversion"/>
  </si>
  <si>
    <t>원화부채</t>
    <phoneticPr fontId="6" type="noConversion"/>
  </si>
  <si>
    <t>M</t>
    <phoneticPr fontId="6" type="noConversion"/>
  </si>
  <si>
    <t>난외 파생상품 부채 총계</t>
    <phoneticPr fontId="6" type="noConversion"/>
  </si>
  <si>
    <t>2-3. 자산건전성분류(관리자산) 현황(AC211)('22. 7. 개정)</t>
    <phoneticPr fontId="6" type="noConversion"/>
  </si>
  <si>
    <t>1. 자산건전성분류(대차대조표 자산) 현황 (AC209) 작성요령 참조</t>
    <phoneticPr fontId="6" type="noConversion"/>
  </si>
  <si>
    <t xml:space="preserve">2. 유가증권 : </t>
    <phoneticPr fontId="6" type="noConversion"/>
  </si>
  <si>
    <t>4. '22.7월부터 확정지급보증 → 지급보증, 한도성여신 미사용약정 항목 신설</t>
    <phoneticPr fontId="6" type="noConversion"/>
  </si>
  <si>
    <t>3-1. 주요 경영지표 현황(AC223) ('22.1. . 개정)</t>
    <phoneticPr fontId="6" type="noConversion"/>
  </si>
  <si>
    <t>(단위: 백만원, %)</t>
    <phoneticPr fontId="6" type="noConversion"/>
  </si>
  <si>
    <t>전분기</t>
  </si>
  <si>
    <t>당분기</t>
  </si>
  <si>
    <t>증감</t>
  </si>
  <si>
    <t>자본의 적정성</t>
    <phoneticPr fontId="6" type="noConversion"/>
  </si>
  <si>
    <t>조정자기 자본비율</t>
    <phoneticPr fontId="6" type="noConversion"/>
  </si>
  <si>
    <t>조정자기자본계(A1)</t>
    <phoneticPr fontId="6" type="noConversion"/>
  </si>
  <si>
    <t>조정총자산계(A2)</t>
    <phoneticPr fontId="6" type="noConversion"/>
  </si>
  <si>
    <t>조정자기자본비율(A=A1/A2)</t>
    <phoneticPr fontId="6" type="noConversion"/>
  </si>
  <si>
    <t>단순자기 자본비율</t>
    <phoneticPr fontId="6" type="noConversion"/>
  </si>
  <si>
    <t>납입자본금(B11)</t>
    <phoneticPr fontId="6" type="noConversion"/>
  </si>
  <si>
    <t>자본잉여금(B12)</t>
    <phoneticPr fontId="6" type="noConversion"/>
  </si>
  <si>
    <t>B135</t>
    <phoneticPr fontId="6" type="noConversion"/>
  </si>
  <si>
    <t>이익잉여금</t>
    <phoneticPr fontId="6" type="noConversion"/>
  </si>
  <si>
    <t>가감후 이익잉여금(B13)</t>
    <phoneticPr fontId="6" type="noConversion"/>
  </si>
  <si>
    <t>대손준비금 적립액(-)</t>
    <phoneticPr fontId="6" type="noConversion"/>
  </si>
  <si>
    <t>B132</t>
  </si>
  <si>
    <t>대출채권 등 및 금융부채의 누적미실현평가손익(-)</t>
  </si>
  <si>
    <t>B133</t>
  </si>
  <si>
    <t>한국채택국제회계기준 전환일의 세후재평가이익으로서 배당이 제한되지 아니한 금액(-)</t>
  </si>
  <si>
    <t>B134</t>
  </si>
  <si>
    <t>임대목적 보유 유형자산의 재평가로 증가한 감가상각비 누적액(+)</t>
  </si>
  <si>
    <t>자본조정(B14)</t>
    <phoneticPr fontId="6" type="noConversion"/>
  </si>
  <si>
    <t>B153</t>
    <phoneticPr fontId="6" type="noConversion"/>
  </si>
  <si>
    <t>기타포괄손익누계액</t>
    <phoneticPr fontId="6" type="noConversion"/>
  </si>
  <si>
    <t>가감후 기타포괄손익누계액(B15)</t>
    <phoneticPr fontId="6" type="noConversion"/>
  </si>
  <si>
    <t>B151</t>
  </si>
  <si>
    <t>대출채권등 및 금융부채의 누적미실현평가손익(-)</t>
    <phoneticPr fontId="6" type="noConversion"/>
  </si>
  <si>
    <t>B152</t>
  </si>
  <si>
    <t>임대목적보유 유형자산의 누적재평가잉여금(-)</t>
  </si>
  <si>
    <t>자기자본계(B1=B11+B12+B13+B14+B15)</t>
    <phoneticPr fontId="6" type="noConversion"/>
  </si>
  <si>
    <t>B24</t>
    <phoneticPr fontId="6" type="noConversion"/>
  </si>
  <si>
    <t>총자산</t>
    <phoneticPr fontId="6" type="noConversion"/>
  </si>
  <si>
    <t>가감후 총자산(B2)</t>
    <phoneticPr fontId="6" type="noConversion"/>
  </si>
  <si>
    <t>B22</t>
  </si>
  <si>
    <t>대출채권등의누적미실현평가손익(-)</t>
  </si>
  <si>
    <t>B23</t>
  </si>
  <si>
    <t>임대목적보유 유형자산의 재평가잉여금(감가상각누계액 차감)(-)</t>
  </si>
  <si>
    <t>단순자기자본비율(B=B1/B2)</t>
    <phoneticPr fontId="6" type="noConversion"/>
  </si>
  <si>
    <t>자산의 건전성</t>
    <phoneticPr fontId="6" type="noConversion"/>
  </si>
  <si>
    <t>손실위험도 가중 부실채권 비율</t>
    <phoneticPr fontId="6" type="noConversion"/>
  </si>
  <si>
    <t>가중부실채권등(C1)</t>
    <phoneticPr fontId="6" type="noConversion"/>
  </si>
  <si>
    <t>총채권등(C2)</t>
    <phoneticPr fontId="6" type="noConversion"/>
  </si>
  <si>
    <t>손실위험도가중부실채권 비율(C=C1/C2)</t>
    <phoneticPr fontId="6" type="noConversion"/>
  </si>
  <si>
    <t>D11</t>
  </si>
  <si>
    <t>고정이하 채권비율</t>
    <phoneticPr fontId="6" type="noConversion"/>
  </si>
  <si>
    <t>D12</t>
  </si>
  <si>
    <t>회 수 의 문</t>
  </si>
  <si>
    <t>D13</t>
  </si>
  <si>
    <t>추 정 손 실</t>
  </si>
  <si>
    <t>고정이하채권계(D1)</t>
    <phoneticPr fontId="6" type="noConversion"/>
  </si>
  <si>
    <t>총채권등(D2)</t>
    <phoneticPr fontId="6" type="noConversion"/>
  </si>
  <si>
    <t>고정이하채권비율(D=D1/D2)</t>
    <phoneticPr fontId="6" type="noConversion"/>
  </si>
  <si>
    <t>연체채권비율</t>
  </si>
  <si>
    <t>연체채권액(E1)</t>
    <phoneticPr fontId="6" type="noConversion"/>
  </si>
  <si>
    <t>총채권액(E2)</t>
    <phoneticPr fontId="6" type="noConversion"/>
  </si>
  <si>
    <t>연체채권비율(E=E1/E2)</t>
    <phoneticPr fontId="6" type="noConversion"/>
  </si>
  <si>
    <t>F1</t>
  </si>
  <si>
    <t>대주주에 대한 신용공여비율</t>
  </si>
  <si>
    <t>대주주 신용공여액(F1)</t>
    <phoneticPr fontId="6" type="noConversion"/>
  </si>
  <si>
    <r>
      <t>F2</t>
    </r>
    <r>
      <rPr>
        <sz val="11"/>
        <color theme="1"/>
        <rFont val="새굴림"/>
        <family val="1"/>
        <charset val="129"/>
      </rPr>
      <t>　</t>
    </r>
  </si>
  <si>
    <t>자기자본계(F2)</t>
    <phoneticPr fontId="6" type="noConversion"/>
  </si>
  <si>
    <t>대주주에 대한 신용공여비율(F=F1/F2)</t>
    <phoneticPr fontId="6" type="noConversion"/>
  </si>
  <si>
    <t>L1</t>
  </si>
  <si>
    <t>대손충당금 적립비율</t>
    <phoneticPr fontId="6" type="noConversion"/>
  </si>
  <si>
    <t>대손충당금 잔액(대손준비금 포함)(L1)</t>
    <phoneticPr fontId="6" type="noConversion"/>
  </si>
  <si>
    <t>L2</t>
  </si>
  <si>
    <t>대손충당금 최소의무적립액(L2)</t>
    <phoneticPr fontId="6" type="noConversion"/>
  </si>
  <si>
    <t>대손충당금적립비율(L=L1/L2)</t>
    <phoneticPr fontId="6" type="noConversion"/>
  </si>
  <si>
    <t>G14</t>
    <phoneticPr fontId="6" type="noConversion"/>
  </si>
  <si>
    <t>수익성</t>
  </si>
  <si>
    <t>총자산이익률</t>
    <phoneticPr fontId="6" type="noConversion"/>
  </si>
  <si>
    <t>당기순이익</t>
    <phoneticPr fontId="6" type="noConversion"/>
  </si>
  <si>
    <t>G1</t>
    <phoneticPr fontId="6" type="noConversion"/>
  </si>
  <si>
    <t>가감후 당기순이익(G1)</t>
    <phoneticPr fontId="6" type="noConversion"/>
  </si>
  <si>
    <t>G11</t>
  </si>
  <si>
    <t>대손준비금 전입액(-)(Flow)</t>
    <phoneticPr fontId="6" type="noConversion"/>
  </si>
  <si>
    <t>G12</t>
  </si>
  <si>
    <t>대출채권 등 및 금융부채의 평가손익(-)</t>
  </si>
  <si>
    <t>G13</t>
  </si>
  <si>
    <t>임대목적 보유 유형자산의 재평가로 증가된 감가상각비(+)</t>
  </si>
  <si>
    <t>G24</t>
    <phoneticPr fontId="6" type="noConversion"/>
  </si>
  <si>
    <t>총자산평잔</t>
    <phoneticPr fontId="6" type="noConversion"/>
  </si>
  <si>
    <t>G2</t>
    <phoneticPr fontId="6" type="noConversion"/>
  </si>
  <si>
    <t>가감후 총자산평잔(G2)</t>
    <phoneticPr fontId="6" type="noConversion"/>
  </si>
  <si>
    <t>G21</t>
  </si>
  <si>
    <t>대손준비금잔액(-)</t>
  </si>
  <si>
    <t>G22</t>
  </si>
  <si>
    <t>대출채권 등의 누적미실현평가손익잔액(-)</t>
  </si>
  <si>
    <t>G23</t>
  </si>
  <si>
    <t>임대목적보유 유형자산의 재평가잉여금잔액(감가상각누계액 차감)(-)</t>
  </si>
  <si>
    <t>총자산이익률(G=G1/G2)</t>
    <phoneticPr fontId="6" type="noConversion"/>
  </si>
  <si>
    <t>HA14</t>
    <phoneticPr fontId="6" type="noConversion"/>
  </si>
  <si>
    <t>자기자본이익률</t>
    <phoneticPr fontId="6" type="noConversion"/>
  </si>
  <si>
    <t>HA1</t>
    <phoneticPr fontId="6" type="noConversion"/>
  </si>
  <si>
    <t>가감후 당기순이익(HA1)</t>
    <phoneticPr fontId="6" type="noConversion"/>
  </si>
  <si>
    <t>HA11</t>
  </si>
  <si>
    <t>HA12</t>
  </si>
  <si>
    <t>HA13</t>
  </si>
  <si>
    <t>HA2</t>
  </si>
  <si>
    <t>자기자본계(HA2)</t>
    <phoneticPr fontId="6" type="noConversion"/>
  </si>
  <si>
    <t>HA</t>
  </si>
  <si>
    <t>자기자본이익률(HA=HA1/HA2)</t>
    <phoneticPr fontId="6" type="noConversion"/>
  </si>
  <si>
    <t>총자산경비율</t>
    <phoneticPr fontId="6" type="noConversion"/>
  </si>
  <si>
    <t>총경비(H1)</t>
    <phoneticPr fontId="6" type="noConversion"/>
  </si>
  <si>
    <t>H24</t>
    <phoneticPr fontId="6" type="noConversion"/>
  </si>
  <si>
    <t>가감후 총자산평잔(H2)</t>
    <phoneticPr fontId="6" type="noConversion"/>
  </si>
  <si>
    <t>H21</t>
  </si>
  <si>
    <t>H22</t>
  </si>
  <si>
    <t>H23</t>
  </si>
  <si>
    <t>총자산경비율(H=H1/H2)</t>
    <phoneticPr fontId="6" type="noConversion"/>
  </si>
  <si>
    <t>I15</t>
    <phoneticPr fontId="6" type="noConversion"/>
  </si>
  <si>
    <t>수지비율</t>
  </si>
  <si>
    <t>연간 세전비용</t>
    <phoneticPr fontId="6" type="noConversion"/>
  </si>
  <si>
    <t>I1</t>
    <phoneticPr fontId="6" type="noConversion"/>
  </si>
  <si>
    <t>가감후 연간 세전비용(I1)</t>
    <phoneticPr fontId="6" type="noConversion"/>
  </si>
  <si>
    <t>I12</t>
  </si>
  <si>
    <t>대손준비금 전입액(+)(Flow)</t>
    <phoneticPr fontId="6" type="noConversion"/>
  </si>
  <si>
    <t>I13</t>
  </si>
  <si>
    <t>대출채권 등 및 금융부채의 미실현평가손실(-)</t>
  </si>
  <si>
    <t>I14</t>
  </si>
  <si>
    <t>임대목적보유 유형자산의 감가상각비(-)</t>
  </si>
  <si>
    <t>I23</t>
    <phoneticPr fontId="6" type="noConversion"/>
  </si>
  <si>
    <t>연간 세전수익</t>
    <phoneticPr fontId="6" type="noConversion"/>
  </si>
  <si>
    <t>I2</t>
    <phoneticPr fontId="6" type="noConversion"/>
  </si>
  <si>
    <t>가감후 연간 세전수익(I2)</t>
    <phoneticPr fontId="6" type="noConversion"/>
  </si>
  <si>
    <t>I21</t>
  </si>
  <si>
    <t>대손준비금 환입액(+)(Flow)</t>
    <phoneticPr fontId="6" type="noConversion"/>
  </si>
  <si>
    <t>I22</t>
  </si>
  <si>
    <t>대출채권 등 및 금융부채의 미실현평가이익(-)</t>
  </si>
  <si>
    <t>수지비율(I=I1/I2)</t>
    <phoneticPr fontId="6" type="noConversion"/>
  </si>
  <si>
    <t>N1</t>
    <phoneticPr fontId="6" type="noConversion"/>
  </si>
  <si>
    <t>마케팅비용 지출비율</t>
    <phoneticPr fontId="6" type="noConversion"/>
  </si>
  <si>
    <t>N2</t>
    <phoneticPr fontId="6" type="noConversion"/>
  </si>
  <si>
    <t>N</t>
    <phoneticPr fontId="6" type="noConversion"/>
  </si>
  <si>
    <t>유동성</t>
  </si>
  <si>
    <t>유동성자산비율</t>
    <phoneticPr fontId="6" type="noConversion"/>
  </si>
  <si>
    <t>원화 유동성자산(J1)</t>
    <phoneticPr fontId="6" type="noConversion"/>
  </si>
  <si>
    <t>원화 유동성부채(J2)</t>
    <phoneticPr fontId="6" type="noConversion"/>
  </si>
  <si>
    <t>원화 유동성비율(J=J1/J2)</t>
    <phoneticPr fontId="6" type="noConversion"/>
  </si>
  <si>
    <t>즉시가용유동성비율</t>
    <phoneticPr fontId="6" type="noConversion"/>
  </si>
  <si>
    <t>즉시가용유동성자산(N1)</t>
    <phoneticPr fontId="6" type="noConversion"/>
  </si>
  <si>
    <t>1개월 이내 만기도래 부채(N2)</t>
    <phoneticPr fontId="6" type="noConversion"/>
  </si>
  <si>
    <t>즉시가용유동성비율(N=N1/N2)</t>
    <phoneticPr fontId="6" type="noConversion"/>
  </si>
  <si>
    <t>O1</t>
    <phoneticPr fontId="6" type="noConversion"/>
  </si>
  <si>
    <t>단기조달비중</t>
    <phoneticPr fontId="6" type="noConversion"/>
  </si>
  <si>
    <t>단기조달잔액(O1)</t>
    <phoneticPr fontId="6" type="noConversion"/>
  </si>
  <si>
    <t>O2</t>
    <phoneticPr fontId="6" type="noConversion"/>
  </si>
  <si>
    <t>총조달잔액(O2)</t>
    <phoneticPr fontId="6" type="noConversion"/>
  </si>
  <si>
    <t>단기조달비중(O=O1/O2)</t>
    <phoneticPr fontId="6" type="noConversion"/>
  </si>
  <si>
    <t>발행채권의 신용스프레드</t>
    <phoneticPr fontId="6" type="noConversion"/>
  </si>
  <si>
    <t>신용카드채권 수익률</t>
  </si>
  <si>
    <t>국고채수익률</t>
  </si>
  <si>
    <t>신용스프레드</t>
  </si>
  <si>
    <t>1. 조정자기자본비율: "24.조정자기자본비율" 의 해당 항목과 일치</t>
    <phoneticPr fontId="6" type="noConversion"/>
  </si>
  <si>
    <t>2. 단순자기자본비율: 대차대조표상 해당 항목과 일치하여야 하며 다음 조정사항을 포함</t>
    <phoneticPr fontId="6" type="noConversion"/>
  </si>
  <si>
    <t xml:space="preserve"> 1) 한국채택국제회계기준을 적용하는 여신전문금융회사는 기타포괄손익누계액항목에서 대출채권 등 및 금융부채의 누적 미실현평가손익을 제외하고, 이익잉여금항목에서 대손준비금,</t>
    <phoneticPr fontId="6" type="noConversion"/>
  </si>
  <si>
    <t xml:space="preserve">     대출채권 등 및 금융부채의 누적미실현평가손익, 한국채택국제회계기준 전환일에 이익잉여금으로 계상한 유형자산 및 투자부동산 재평가이익에서 각각의 항목에 대한 </t>
    <phoneticPr fontId="6" type="noConversion"/>
  </si>
  <si>
    <t xml:space="preserve">     세액효과를 차감한 금액으로서 이사회, 주주총회의 결의, 정관의 변경 등에 의해 배당이 제한되지 아니한 금액을 각각 제외한다.</t>
    <phoneticPr fontId="6" type="noConversion"/>
  </si>
  <si>
    <t xml:space="preserve"> 2)  일반기업회계기준을 적용하는 여신전문금융회사는 자기자본에서 상환우선주 발행자금 및 기타포괄손익누계액항목에서 임대목적 보유 유형자산의 누적재평가잉여금을 </t>
    <phoneticPr fontId="6" type="noConversion"/>
  </si>
  <si>
    <t>각각 제외하고 이익잉여금항목에서 임대목적 보유 유형자산의 재평가로 증가한 감가상각비 누적액을 가산한다.</t>
    <phoneticPr fontId="6" type="noConversion"/>
  </si>
  <si>
    <t xml:space="preserve"> 3) 총자산은 대차대조표상 총자산. 단, 한국채택국제회계기준을 적용하는 여신전문금융회사는 총자산에서 대손준비금과 대출채권 등의 누적미실현평가손익을 </t>
    <phoneticPr fontId="6" type="noConversion"/>
  </si>
  <si>
    <t xml:space="preserve">     각각 공제하고, 일반기업회계기준을 적용하는 여신전문금융회사는 총자산에서 임대목적 보유 유형자산의 재평가잉여금(감가상각누계액 차감 기준)만큼을 공제한다.</t>
    <phoneticPr fontId="6" type="noConversion"/>
  </si>
  <si>
    <t>3. 손실위험도가중부실채권비율</t>
    <phoneticPr fontId="6" type="noConversion"/>
  </si>
  <si>
    <t xml:space="preserve">  가중부실채권등: 총채권 등의 자산건전성분류에 따른 고정분류채권의 20%, 회수의문 분류채권의 75%(카드자산의 경우 60%), 추정손실 분류채권의 100%상당액을</t>
    <phoneticPr fontId="6" type="noConversion"/>
  </si>
  <si>
    <t xml:space="preserve">  합계한 금액</t>
    <phoneticPr fontId="6" type="noConversion"/>
  </si>
  <si>
    <t xml:space="preserve">  총채권등 : 자산건전성분류대상자산에서 유가증권, 투자 및 현금서비스한도 및 미수이자를 제외한 금액</t>
    <phoneticPr fontId="6" type="noConversion"/>
  </si>
  <si>
    <t>4. 고정이하채권비율</t>
    <phoneticPr fontId="6" type="noConversion"/>
  </si>
  <si>
    <t xml:space="preserve">  고정이하채권계: 총채권 등의 건전성 분류에 따라 분류한 고정, 회수의문, 추정손실의 합계액</t>
    <phoneticPr fontId="6" type="noConversion"/>
  </si>
  <si>
    <r>
      <t xml:space="preserve">  총채권등: 자산건전성분류대상자산에서 유가증권, 투자 및 </t>
    </r>
    <r>
      <rPr>
        <b/>
        <u/>
        <sz val="10"/>
        <color theme="1"/>
        <rFont val="새굴림"/>
        <family val="1"/>
        <charset val="129"/>
      </rPr>
      <t>현금서비스한도</t>
    </r>
    <r>
      <rPr>
        <sz val="10"/>
        <color theme="1"/>
        <rFont val="새굴림"/>
        <family val="1"/>
        <charset val="129"/>
      </rPr>
      <t>, 미수이자를 제외한 금액</t>
    </r>
    <phoneticPr fontId="6" type="noConversion"/>
  </si>
  <si>
    <t>5. 연체채권비율 (관리자산 기준)</t>
    <phoneticPr fontId="6" type="noConversion"/>
  </si>
  <si>
    <t xml:space="preserve">  연체채권: 총채권등에서 약정기일에 상환되지 아니한 채권등을 말하며, 약정기일이내라도 이자가 납입되지 아니하는 등의 사유로 기한의 이익 상실사유가 발생한 채권 </t>
    <phoneticPr fontId="6" type="noConversion"/>
  </si>
  <si>
    <t xml:space="preserve">  및 분할상환기일에 상환되지 아니한 분할상환금을 포함 다만, 신용카드업자의 경우 1개월 미만 연체채권은 제외</t>
    <phoneticPr fontId="6" type="noConversion"/>
  </si>
  <si>
    <r>
      <t xml:space="preserve">  총채권등: 자산건전성분류대상자산에서 유가증권, 투자, </t>
    </r>
    <r>
      <rPr>
        <b/>
        <u/>
        <sz val="10"/>
        <color theme="1"/>
        <rFont val="새굴림"/>
        <family val="1"/>
        <charset val="129"/>
      </rPr>
      <t>신용카드약정, 확정지급보증,</t>
    </r>
    <r>
      <rPr>
        <sz val="10"/>
        <color theme="1"/>
        <rFont val="새굴림"/>
        <family val="1"/>
        <charset val="129"/>
      </rPr>
      <t xml:space="preserve"> 부동산 PF 관련 채무보증 및 미수이자를 제외한 금액</t>
    </r>
    <phoneticPr fontId="6" type="noConversion"/>
  </si>
  <si>
    <t>6. 대주주에 대한 신용공여비율</t>
    <phoneticPr fontId="6" type="noConversion"/>
  </si>
  <si>
    <t xml:space="preserve">  대주주에 대한 여신액: 대주주에 대한 신용공여 종류별 현황 보고서(AC233)의 해당 항목과 일치</t>
    <phoneticPr fontId="6" type="noConversion"/>
  </si>
  <si>
    <t xml:space="preserve">  자기자본 :  단순자기자본비율 산정시의 자기자본에서 금분기중 유무상증자 등에 따른 자기자본의 증감을 반영</t>
    <phoneticPr fontId="6" type="noConversion"/>
  </si>
  <si>
    <t xml:space="preserve">7. 총자산이익률, 총자산경비율, 즉시가용유동성비율, 마케팅비용 지출비율 : 총자산순이익률 보고서, 총자산경비율 보고서, 즉시가용유동성비율 보고서, </t>
    <phoneticPr fontId="6" type="noConversion"/>
  </si>
  <si>
    <t xml:space="preserve">     마케팅비용 지출비율 보고서의 해당항목과 일치</t>
    <phoneticPr fontId="6" type="noConversion"/>
  </si>
  <si>
    <t>8. 자기자본이익률 : 기준일로부터 과거 1년간 당기순이익/ 기준일로부터 과거 1년간 자기자본 평잔</t>
    <phoneticPr fontId="6" type="noConversion"/>
  </si>
  <si>
    <t xml:space="preserve">  한국채택국제회계기준을 적용하는 여신전문금융회사는 당기순이익에서 대손준비금전입액을 차감하고, 대출채권 등 및 금융부채의 평가손익은 제외하며,</t>
    <phoneticPr fontId="6" type="noConversion"/>
  </si>
  <si>
    <t xml:space="preserve">  일반기업회계기준을 적용하는 여신전문금융회사는 당기순이익에서 임대목적 보유 유형자산의 재평가로 증가한 감가상각비를 가산한다.</t>
    <phoneticPr fontId="6" type="noConversion"/>
  </si>
  <si>
    <t xml:space="preserve">9. 대손충당금적립비율 </t>
    <phoneticPr fontId="6" type="noConversion"/>
  </si>
  <si>
    <t xml:space="preserve">  대손충당금 적립잔액(대손준비금을 포함한다) 및 최소의무적립액은 "대손충당금 설정내역(AC216)" 보고서의 대차대조표자산 기준 대손충당금 실적립액 </t>
    <phoneticPr fontId="6" type="noConversion"/>
  </si>
  <si>
    <t xml:space="preserve">  및 요적립액과 일치</t>
    <phoneticPr fontId="6" type="noConversion"/>
  </si>
  <si>
    <t>10. 유동성자산비율</t>
    <phoneticPr fontId="6" type="noConversion"/>
  </si>
  <si>
    <t xml:space="preserve">  원화유동성자산: 90일 이내에 만기가 도래하는 원화유동성자산으로 증거금·담보 등으로 제공되어 있어 90일 이내 현금화가 어려운 자산은 제외. 또한, 신용카드업자의 경우 </t>
    <phoneticPr fontId="6" type="noConversion"/>
  </si>
  <si>
    <t xml:space="preserve">  1개월 이상 연체채권 역시 제외</t>
    <phoneticPr fontId="6" type="noConversion"/>
  </si>
  <si>
    <t xml:space="preserve">  원화유동성부채: 90일 이내에 만기가 도래하는 원화유동성부채. </t>
    <phoneticPr fontId="6" type="noConversion"/>
  </si>
  <si>
    <t xml:space="preserve">  * 통화선도계약분, 통화스왑거래 등 90일 이내 원화의 유출입이 수반되는 모든 파생거래는 원화유동성자산 또는 원화유동성부채에 포함</t>
    <phoneticPr fontId="6" type="noConversion"/>
  </si>
  <si>
    <t>11. 단기조달비중</t>
    <phoneticPr fontId="6" type="noConversion"/>
  </si>
  <si>
    <t xml:space="preserve">  단기조달잔액 : 총조달잔액 중 자금조달 당시 만기가 1년 이내인 단기조달 잔액의 합계</t>
    <phoneticPr fontId="6" type="noConversion"/>
  </si>
  <si>
    <t xml:space="preserve">  총조달잔액 : 차입금, 회사채, 자산유동화 등을 통한 자금조달 잔액의 합계, 자금조달현황(AC206)의 순자금조달잔액(stock) 항목과 일치</t>
    <phoneticPr fontId="6" type="noConversion"/>
  </si>
  <si>
    <t>12. 수지비율</t>
    <phoneticPr fontId="6" type="noConversion"/>
  </si>
  <si>
    <t xml:space="preserve">  연간 세전비용: 해당기준월로부터 소급하여 과거 1년동안의 세전비용</t>
    <phoneticPr fontId="6" type="noConversion"/>
  </si>
  <si>
    <t xml:space="preserve">  연간 세전수익: 해당기준월로부터 소급하여 과거 1년동안의 세전수익</t>
    <phoneticPr fontId="6" type="noConversion"/>
  </si>
  <si>
    <t xml:space="preserve">    예) 해당기준월이 2002.6월이면 2001.7~2002.6월 동안의 세전비용, 세전수익을 각각 기입</t>
    <phoneticPr fontId="6" type="noConversion"/>
  </si>
  <si>
    <t xml:space="preserve">  다만, 한국채택국제회계기준을 적용하는 여신전문금융회사는 세전비용에서 대손준비금전입액을 가산하고 대출채권 등 및 금융부채의 미실현평가손실은 제외하며,</t>
    <phoneticPr fontId="6" type="noConversion"/>
  </si>
  <si>
    <t xml:space="preserve">  일반기업회계기준을 적용하는 여신전문금융회사는 세전비용에서 임대목적 보유 유형자산의 재평가로 증가한 감가상각비는 제외한다</t>
    <phoneticPr fontId="6" type="noConversion"/>
  </si>
  <si>
    <t xml:space="preserve">  또한, 한국채택국제회계기준을 적용하는 여신전문금융회사는 세전수익에서 대손준비금환입액을 가산하고 대출채권 등 및 금융부채의 미실현평가이익은 제외한다.</t>
    <phoneticPr fontId="6" type="noConversion"/>
  </si>
  <si>
    <t>13. 발행채권의 신용스프레드</t>
    <phoneticPr fontId="6" type="noConversion"/>
  </si>
  <si>
    <t xml:space="preserve">  신용카드채권수익률: 분기 최종일 기준 카드사의 만기 1년 카드채에 대한 3개 민간채권평가회사(한국채권평가, KIS채권평가, NICE채권평가)의 평균금리</t>
    <phoneticPr fontId="6" type="noConversion"/>
  </si>
  <si>
    <t xml:space="preserve">  동일만기 국고채 수익률: 3개 민간 채권평가회사의 국고채수익률 평균값</t>
    <phoneticPr fontId="6" type="noConversion"/>
  </si>
  <si>
    <t xml:space="preserve">  신용스프레드 = 신용카드사채권수익률 - 동일만기 국고채 수익률</t>
    <phoneticPr fontId="6" type="noConversion"/>
  </si>
  <si>
    <t>1. 즉시가용유동성비율 및 단기조달비중 신설, 기존 업무용 유형자산비율은 삭제(2022.1월말 업무보고서 부터 적용)</t>
    <phoneticPr fontId="6" type="noConversion"/>
  </si>
  <si>
    <t>4-3. 대주주에 대한 신용공여 종류별 현황(행삽입보고서)(AC233)  ('17.9. . 개정)</t>
    <phoneticPr fontId="6" type="noConversion"/>
  </si>
  <si>
    <t>대주주명</t>
    <phoneticPr fontId="6" type="noConversion"/>
  </si>
  <si>
    <t>기업구매
전용카드
결제액</t>
    <phoneticPr fontId="6" type="noConversion"/>
  </si>
  <si>
    <t>카드회원
융통액</t>
    <phoneticPr fontId="6" type="noConversion"/>
  </si>
  <si>
    <t>리스물건취득
및 제반비용</t>
    <phoneticPr fontId="6" type="noConversion"/>
  </si>
  <si>
    <t>연불
판매액</t>
    <phoneticPr fontId="6" type="noConversion"/>
  </si>
  <si>
    <t>할부
금융</t>
    <phoneticPr fontId="6" type="noConversion"/>
  </si>
  <si>
    <t>신기술
투융자</t>
    <phoneticPr fontId="6" type="noConversion"/>
  </si>
  <si>
    <t>대출금</t>
    <phoneticPr fontId="6" type="noConversion"/>
  </si>
  <si>
    <t>어음
할인</t>
    <phoneticPr fontId="6" type="noConversion"/>
  </si>
  <si>
    <t>매출채권의
양수.관리,회수</t>
    <phoneticPr fontId="6" type="noConversion"/>
  </si>
  <si>
    <t>ABS
인수</t>
    <phoneticPr fontId="6" type="noConversion"/>
  </si>
  <si>
    <t>지급
보증</t>
    <phoneticPr fontId="6" type="noConversion"/>
  </si>
  <si>
    <t>자금
지원적 
성격의
 유가증권 
매입</t>
    <phoneticPr fontId="6" type="noConversion"/>
  </si>
  <si>
    <t>대주주1</t>
    <phoneticPr fontId="6" type="noConversion"/>
  </si>
  <si>
    <t>대주주2</t>
    <phoneticPr fontId="6" type="noConversion"/>
  </si>
  <si>
    <t>…</t>
    <phoneticPr fontId="6" type="noConversion"/>
  </si>
  <si>
    <r>
      <t xml:space="preserve">1. 여신전문금융업법시행령 </t>
    </r>
    <r>
      <rPr>
        <b/>
        <u/>
        <sz val="11"/>
        <rFont val="새굴림"/>
        <family val="1"/>
        <charset val="129"/>
      </rPr>
      <t>제2조의3</t>
    </r>
    <r>
      <rPr>
        <sz val="11"/>
        <rFont val="새굴림"/>
        <family val="1"/>
        <charset val="129"/>
      </rPr>
      <t>(신용공여의 범위) 참조</t>
    </r>
    <phoneticPr fontId="6" type="noConversion"/>
  </si>
  <si>
    <t>2. 대주주 : 여전법 제2조 제17호의 규정에 의한 최대주주, 주요주주 및 최대주주의 특수관계인 중 지분율이 최대인 순으로 기재</t>
    <phoneticPr fontId="6" type="noConversion"/>
  </si>
  <si>
    <t>3. 대출금에는 콜론 포함</t>
    <phoneticPr fontId="6" type="noConversion"/>
  </si>
  <si>
    <t>4. 지급보증에는 해외현지법인에 대한 지급보증 및 지급보증대지급금 포함</t>
    <phoneticPr fontId="6" type="noConversion"/>
  </si>
  <si>
    <t>5. 신용공여 잔액은 실행금액 기준으로 작성</t>
    <phoneticPr fontId="6" type="noConversion"/>
  </si>
  <si>
    <t>6. 신용공여 합계금액은 '4-1. 업무규제한도 현황(AC229)'의 대주주에 대한 신용공여 실행금액과 일치</t>
    <phoneticPr fontId="14" type="noConversion"/>
  </si>
  <si>
    <t>4-6. 대출업무비중 현황(AC300) ('18.11. . 개정)</t>
    <phoneticPr fontId="6" type="noConversion"/>
  </si>
  <si>
    <t>(단위 : 백만원, %)</t>
    <phoneticPr fontId="6" type="noConversion"/>
  </si>
  <si>
    <t>E2</t>
    <phoneticPr fontId="6" type="noConversion"/>
  </si>
  <si>
    <t>전분기 분기평잔</t>
    <phoneticPr fontId="6" type="noConversion"/>
  </si>
  <si>
    <t>당분기 분기평잔</t>
    <phoneticPr fontId="6" type="noConversion"/>
  </si>
  <si>
    <t>대차대조표
자산</t>
    <phoneticPr fontId="6" type="noConversion"/>
  </si>
  <si>
    <t>유동화</t>
    <phoneticPr fontId="6" type="noConversion"/>
  </si>
  <si>
    <t>관리대상
자산</t>
    <phoneticPr fontId="6" type="noConversion"/>
  </si>
  <si>
    <t>ABS</t>
    <phoneticPr fontId="6" type="noConversion"/>
  </si>
  <si>
    <t>대출업무채권 [A=a-b+b'-c-d-e-f-f' x 20%]</t>
    <phoneticPr fontId="6" type="noConversion"/>
  </si>
  <si>
    <t>총 대출채권 [a]</t>
    <phoneticPr fontId="6" type="noConversion"/>
  </si>
  <si>
    <t>기업대출채권 [b]</t>
    <phoneticPr fontId="6" type="noConversion"/>
  </si>
  <si>
    <t>A21</t>
    <phoneticPr fontId="6" type="noConversion"/>
  </si>
  <si>
    <t>대부(중개)업자 대출채권[b']</t>
    <phoneticPr fontId="6" type="noConversion"/>
  </si>
  <si>
    <t>대환대출 [c]</t>
    <phoneticPr fontId="6" type="noConversion"/>
  </si>
  <si>
    <t>주택저당채권 [d]</t>
    <phoneticPr fontId="6" type="noConversion"/>
  </si>
  <si>
    <t>신용카드업자의 부대업무채권[e]</t>
    <phoneticPr fontId="6" type="noConversion"/>
  </si>
  <si>
    <t>자동차 구입자금 대출[f]</t>
    <phoneticPr fontId="6" type="noConversion"/>
  </si>
  <si>
    <t>개인 중금리 신용대출[f']</t>
    <phoneticPr fontId="6" type="noConversion"/>
  </si>
  <si>
    <t>총자산-신용카드업 채권 [B=g-h]</t>
    <phoneticPr fontId="6" type="noConversion"/>
  </si>
  <si>
    <t>총자산[g]</t>
    <phoneticPr fontId="6" type="noConversion"/>
  </si>
  <si>
    <t>신용카드업 채권[h]</t>
    <phoneticPr fontId="6" type="noConversion"/>
  </si>
  <si>
    <t>대출업무 영위비중 [A/B *100]</t>
    <phoneticPr fontId="6" type="noConversion"/>
  </si>
  <si>
    <t>1. 각 항목은 여신전문금융업법시행령 제17조 본문 및 각호에서 정하는 바에 따라 작성</t>
    <phoneticPr fontId="6" type="noConversion"/>
  </si>
  <si>
    <t xml:space="preserve">  가. 총대출채권[a] : 여신전문금융업법 제46조제1항제3호의 대출업무로 발생한 채권 (신용카드업자의 신용카드회원에 대한 대출채권 포함)</t>
    <phoneticPr fontId="6" type="noConversion"/>
  </si>
  <si>
    <t xml:space="preserve">  나. 대부(중개)업자 대출채권[b'] : 「대부업 등의 등록 및 금융이용자 보호에 관한 법률」에 따른 대부업자 및 대부중개업자에 대출하여 발생한 채권</t>
    <phoneticPr fontId="6" type="noConversion"/>
  </si>
  <si>
    <t xml:space="preserve">  다. 대환대출[c] : 채무자의 채권재조정을 위하여 채권의 만기, 금리 등 조건을 변경하여 그 채무자에게 다시 대출하여 발생한 채권</t>
    <phoneticPr fontId="6" type="noConversion"/>
  </si>
  <si>
    <t xml:space="preserve">  라. 주택저당채권[d] : 한국주택금융공사법 제2조제3호의 규정에 의한 주택저당채권</t>
    <phoneticPr fontId="6" type="noConversion"/>
  </si>
  <si>
    <t xml:space="preserve">  마. 신용카드업자의 부대업무채권[e] : 신용카드업의 부대업무로서 신용카드회원에 대한 자금의 융통업무(현금서비스, 카드론 등)로 인하여 발생한 채권</t>
    <phoneticPr fontId="6" type="noConversion"/>
  </si>
  <si>
    <t xml:space="preserve">  바. 자동차 구입자금 대출[f] : 자동차 구입자금 용도로 할부금융과 유사한 방식으로 대출하여 발생한 채권</t>
    <phoneticPr fontId="6" type="noConversion"/>
  </si>
  <si>
    <t xml:space="preserve">  사. 개인 중금리 신용대출[f'] : 여신전문금융업감독규정 제5조의6에 의한 개인에 대한 신용대출상품</t>
    <phoneticPr fontId="6" type="noConversion"/>
  </si>
  <si>
    <t>2. 대출업무채권의 차감항목[b~f']은 총대출채권[a]에 포함되어 있는 경우에 한하여 차감항목으로 기재하고, 대부(중개)업자 대출채권[b']은 기업대출채권[b]에</t>
    <phoneticPr fontId="6" type="noConversion"/>
  </si>
  <si>
    <t xml:space="preserve">   포함되어 있는 경우에 한해서 가산항목으로 기재</t>
    <phoneticPr fontId="6" type="noConversion"/>
  </si>
  <si>
    <t>3. 총자산[g]은 여신전문금융업법시행령 제2조의5에 따라 대차대조표 상 자산을 기재하되, 일반기업회계기준 적용사는 대차대조표 상 자산에 실질적인 신용위험을</t>
    <phoneticPr fontId="6" type="noConversion"/>
  </si>
  <si>
    <t xml:space="preserve">   부담하는 자산액을 포함</t>
    <phoneticPr fontId="6" type="noConversion"/>
  </si>
  <si>
    <t xml:space="preserve">4. 신용카드업 채권은 시행령 제17조제1항에 따라 신용카드업 및 신용카드회원에 대한 자금의 융통, 직불카드의 발행 및 대금의 결제, 선불카드의 발행·판매 및 </t>
    <phoneticPr fontId="6" type="noConversion"/>
  </si>
  <si>
    <t xml:space="preserve">    대금의 결제와 관련하여 발생한 채권액을 말함</t>
    <phoneticPr fontId="6" type="noConversion"/>
  </si>
  <si>
    <t>5. 관리대상자산기준으로 작성(분기평잔 기준)</t>
    <phoneticPr fontId="6" type="noConversion"/>
  </si>
  <si>
    <t>1. 2018년 12월말 기준 업무보고서부터 대부(중개)업자 대출채권, 개인 중금리 신용대출 항목 신설</t>
    <phoneticPr fontId="6" type="noConversion"/>
  </si>
  <si>
    <t>6-3. 연령별 신용카드이용 현황 및 이용한도 소진액(AC251)</t>
    <phoneticPr fontId="6" type="noConversion"/>
  </si>
  <si>
    <t>(단위: 천매, 천명, 백만원)</t>
    <phoneticPr fontId="6" type="noConversion"/>
  </si>
  <si>
    <t>카드
발급수</t>
    <phoneticPr fontId="6" type="noConversion"/>
  </si>
  <si>
    <t>회원수</t>
    <phoneticPr fontId="6" type="noConversion"/>
  </si>
  <si>
    <t>전체 이용한도</t>
    <phoneticPr fontId="6" type="noConversion"/>
  </si>
  <si>
    <t>현금서비스</t>
    <phoneticPr fontId="6" type="noConversion"/>
  </si>
  <si>
    <t>한도 총액</t>
    <phoneticPr fontId="6" type="noConversion"/>
  </si>
  <si>
    <t>이용잔액</t>
    <phoneticPr fontId="6" type="noConversion"/>
  </si>
  <si>
    <t>20대 미만</t>
    <phoneticPr fontId="6" type="noConversion"/>
  </si>
  <si>
    <t>20~30세 미만</t>
    <phoneticPr fontId="6" type="noConversion"/>
  </si>
  <si>
    <t>30~40세 미만</t>
    <phoneticPr fontId="6" type="noConversion"/>
  </si>
  <si>
    <t>40~50세 미만</t>
    <phoneticPr fontId="6" type="noConversion"/>
  </si>
  <si>
    <t>50~60세 미만</t>
    <phoneticPr fontId="6" type="noConversion"/>
  </si>
  <si>
    <t>60세 이상</t>
    <phoneticPr fontId="6" type="noConversion"/>
  </si>
  <si>
    <t>계[A1+A2+…+A6]</t>
  </si>
  <si>
    <t>1. 분기말 기준으로 작성</t>
    <phoneticPr fontId="6" type="noConversion"/>
  </si>
  <si>
    <t>2. 연령은 "만"을 기준으로 작성</t>
    <phoneticPr fontId="6" type="noConversion"/>
  </si>
  <si>
    <t>3. 카드발급수, 회원수 계는 각각 "6-1. 카드회원수현황" 및 " 6-4. 카드발급수 현황"의 사용가능 개인 회원수 및 카드수와 일치</t>
    <phoneticPr fontId="6" type="noConversion"/>
  </si>
  <si>
    <t xml:space="preserve">    # 주의: 가족회원의 경우</t>
    <phoneticPr fontId="6" type="noConversion"/>
  </si>
  <si>
    <t xml:space="preserve">      가족회원의 경우, 전체이용한도의 총액, 실적, 현금서비스의 총액, 실적(C,D,E,F열)은 해당사항이 없고,</t>
    <phoneticPr fontId="6" type="noConversion"/>
  </si>
  <si>
    <t xml:space="preserve">      본인회원에게 통일</t>
    <phoneticPr fontId="6" type="noConversion"/>
  </si>
  <si>
    <t xml:space="preserve">      즉, 본인회원 1명에 가족회원 2명이 있는 경우, 회원수는 총3명이며, 이들의 이용한도가 총 1000만원에, </t>
    <phoneticPr fontId="6" type="noConversion"/>
  </si>
  <si>
    <t xml:space="preserve">      이용실적이 500만원이라고 한다면, 가족회원의 이용한도 및 이용실적은 모두 0이며, 본인회원의 이용실적에</t>
    <phoneticPr fontId="6" type="noConversion"/>
  </si>
  <si>
    <t xml:space="preserve">     1000만원과 500만원을 각각 기입</t>
    <phoneticPr fontId="6" type="noConversion"/>
  </si>
  <si>
    <t>4. "6-15. 신용카드이용한도 및 소진율 현황"의 해당항목과 일치</t>
    <phoneticPr fontId="6" type="noConversion"/>
  </si>
  <si>
    <t xml:space="preserve">    - 분기말 현재 사용가능, 한도보유 개인회원의 이용한도 및 이용잔액</t>
    <phoneticPr fontId="6" type="noConversion"/>
  </si>
  <si>
    <t xml:space="preserve">     단, 비씨카드 등 카드업무 전반(ex. 발행 및 매입업무 등)에 대한 프로세싱업무를 수행하는 카드사의 경우 </t>
    <phoneticPr fontId="6" type="noConversion"/>
  </si>
  <si>
    <t xml:space="preserve">     업무보고서 AC250(카드발급수 현황)의 자체카드분과 일치</t>
    <phoneticPr fontId="6" type="noConversion"/>
  </si>
  <si>
    <t>업체1</t>
    <phoneticPr fontId="6" type="noConversion"/>
  </si>
  <si>
    <t>업체2</t>
    <phoneticPr fontId="6" type="noConversion"/>
  </si>
  <si>
    <t>업체3</t>
  </si>
  <si>
    <t>업체4</t>
  </si>
  <si>
    <t>업체5</t>
  </si>
  <si>
    <t>업체6</t>
  </si>
  <si>
    <t>A7</t>
  </si>
  <si>
    <t>업체7</t>
  </si>
  <si>
    <t>A8</t>
  </si>
  <si>
    <t>업체8</t>
  </si>
  <si>
    <t>A9</t>
  </si>
  <si>
    <t>업체9</t>
  </si>
  <si>
    <t>A10</t>
  </si>
  <si>
    <t>업체10</t>
  </si>
  <si>
    <t>A11</t>
  </si>
  <si>
    <t>업체11</t>
  </si>
  <si>
    <t>A12</t>
  </si>
  <si>
    <t>업체12</t>
  </si>
  <si>
    <t>A13</t>
  </si>
  <si>
    <t>업체13</t>
  </si>
  <si>
    <t>A14</t>
  </si>
  <si>
    <t>업체14</t>
  </si>
  <si>
    <t>A15</t>
  </si>
  <si>
    <t>업체15</t>
  </si>
  <si>
    <t>A16</t>
  </si>
  <si>
    <t>업체16</t>
  </si>
  <si>
    <t>A17</t>
  </si>
  <si>
    <t>업체17</t>
  </si>
  <si>
    <t>A18</t>
  </si>
  <si>
    <t>업체18</t>
  </si>
  <si>
    <t>A19</t>
  </si>
  <si>
    <t>업체19</t>
  </si>
  <si>
    <t>A20</t>
  </si>
  <si>
    <t>업체20</t>
  </si>
  <si>
    <t>[변경이력]</t>
  </si>
  <si>
    <t>1. '23.7월 여신전문금융업감독업무시행세칙 개정내용 반영(작성요령 1. 수정하여 작성기준 명확화)</t>
    <phoneticPr fontId="6" type="noConversion"/>
  </si>
  <si>
    <t>6-15. 회전결제(리볼빙) 현황(AC266) ('12.3. . 개정)</t>
    <phoneticPr fontId="6" type="noConversion"/>
  </si>
  <si>
    <t>(단위 : 명, %, 백만원)</t>
    <phoneticPr fontId="6" type="noConversion"/>
  </si>
  <si>
    <t>CC1</t>
    <phoneticPr fontId="6" type="noConversion"/>
  </si>
  <si>
    <t>CC2</t>
    <phoneticPr fontId="6" type="noConversion"/>
  </si>
  <si>
    <t>CC3</t>
    <phoneticPr fontId="6" type="noConversion"/>
  </si>
  <si>
    <t>DD3</t>
    <phoneticPr fontId="6" type="noConversion"/>
  </si>
  <si>
    <t>회원등급</t>
    <phoneticPr fontId="6" type="noConversion"/>
  </si>
  <si>
    <t>이용잔액 (분기말)</t>
    <phoneticPr fontId="6" type="noConversion"/>
  </si>
  <si>
    <t>리볼빙 이월잔액 (분기말)</t>
    <phoneticPr fontId="6" type="noConversion"/>
  </si>
  <si>
    <t>이용잔액
보유회원</t>
    <phoneticPr fontId="6" type="noConversion"/>
  </si>
  <si>
    <t>이월잔액
보유회원</t>
    <phoneticPr fontId="6" type="noConversion"/>
  </si>
  <si>
    <t>신용판매</t>
    <phoneticPr fontId="6" type="noConversion"/>
  </si>
  <si>
    <t>A등급</t>
    <phoneticPr fontId="6" type="noConversion"/>
  </si>
  <si>
    <t>B등급</t>
    <phoneticPr fontId="6" type="noConversion"/>
  </si>
  <si>
    <r>
      <t>A3</t>
    </r>
    <r>
      <rPr>
        <sz val="11"/>
        <rFont val="돋움"/>
        <family val="3"/>
        <charset val="129"/>
      </rPr>
      <t/>
    </r>
  </si>
  <si>
    <t>C등급</t>
    <phoneticPr fontId="6" type="noConversion"/>
  </si>
  <si>
    <t>EE1</t>
    <phoneticPr fontId="6" type="noConversion"/>
  </si>
  <si>
    <t>EE2</t>
    <phoneticPr fontId="6" type="noConversion"/>
  </si>
  <si>
    <t>EE3</t>
    <phoneticPr fontId="6" type="noConversion"/>
  </si>
  <si>
    <t>FF1</t>
    <phoneticPr fontId="6" type="noConversion"/>
  </si>
  <si>
    <t>FF2</t>
    <phoneticPr fontId="6" type="noConversion"/>
  </si>
  <si>
    <t>FF3</t>
    <phoneticPr fontId="6" type="noConversion"/>
  </si>
  <si>
    <t>이용실적 (연중누계)</t>
    <phoneticPr fontId="6" type="noConversion"/>
  </si>
  <si>
    <t>수수료수입 (연중누계)</t>
    <phoneticPr fontId="6" type="noConversion"/>
  </si>
  <si>
    <t>1. 리볼빙 결제 : 이용금액 중 일정비율(또는 금액) 이상을 결제하면 잔여금액은 익월로 이월되는 형태의 결제방식</t>
    <phoneticPr fontId="6" type="noConversion"/>
  </si>
  <si>
    <t xml:space="preserve">   - 명칭은 리볼빙이나 사실상 대환대출로 볼 수 있는 방식 제외</t>
    <phoneticPr fontId="6" type="noConversion"/>
  </si>
  <si>
    <t xml:space="preserve">   - 결제비율을 사전에 정하지 않은 경우 (100% 결제 등)도 리볼빙 이용약정이 체결된 경우에는 리볼빙 결제에 포함</t>
    <phoneticPr fontId="6" type="noConversion"/>
  </si>
  <si>
    <t>2. 회원등급 : 회원의 신용도 및 기여도에 따라 자사에서 적용하고 있는 종합등급을 다음 기준에 따라 분류</t>
    <phoneticPr fontId="6" type="noConversion"/>
  </si>
  <si>
    <t xml:space="preserve">    A등급 : 자체 등급기준상 상위 30%에 해당하는 등급 (10개 등급구간이 있는 경우 3등급까지)</t>
    <phoneticPr fontId="6" type="noConversion"/>
  </si>
  <si>
    <t xml:space="preserve">    B등급 : 자체 등급기준상 상위 30~60%에 해당하는 등급 (10개 등급구간이 있는 경우 4~6등급)</t>
    <phoneticPr fontId="6" type="noConversion"/>
  </si>
  <si>
    <t xml:space="preserve">    C등급 : 자체 등급기준상 하위 40%에 해당하는 등급 (10개 등급구간이 있는 경우 7등급 이하)</t>
    <phoneticPr fontId="6" type="noConversion"/>
  </si>
  <si>
    <t xml:space="preserve">3. 회원수 및 이용잔액 : 분기말 기준 리볼빙 결제서비스를 이용하고 있는 회원수 및 당해 회원의 미결제 잔액 </t>
  </si>
  <si>
    <t xml:space="preserve">     - 리볼빙 이용잔액(신용판매+현금서비스)은 AC219의 여신액(결제성 리볼빙+대출성 리볼빙)과 일치</t>
  </si>
  <si>
    <t>4. 리볼빙 이월잔액 : 리볼빙 결제제도를 이용함에 따라 첫 결제일에 전액 결제되지 아니하고 이월된 채권의 당분기말 잔액</t>
  </si>
  <si>
    <t xml:space="preserve">   - 리볼빙 수수료(이자)를 발생시키는 채권 잔액 (리볼빙 회원의 이용대금이라 하더라도 최초 신용공여기간-grace period-이 경과하지 아니한 채권은 제외)</t>
  </si>
  <si>
    <t xml:space="preserve">   - “리볼빙을 약정한 회원(희망결제비율을 100%로 약정한 회원 포함)의 리볼빙 이자가 발생하는 채권”+“리볼빙 약정 회원의 리볼빙 연체채권 전체(당월 신규 연체채권도 포함)”</t>
  </si>
  <si>
    <t xml:space="preserve">   - 리볼빙 이용잔액 및 이월잔액은 신용판매 및 현금서비스 항목으로만 분류하고 기타 항목은 기재하지 말 것</t>
  </si>
  <si>
    <t>5. 수수료수입 : 리볼빙 결제 제도 이용에 따른 수수료 수입액 (연초부터 당분기말까지 누계)</t>
  </si>
  <si>
    <t xml:space="preserve">   - 당해 고객이 리볼빙 결제방식을 이용함에 따라 발생한 추가적인 수수료수입액</t>
    <phoneticPr fontId="6" type="noConversion"/>
  </si>
  <si>
    <t>6. 이용실적 : 리볼빙 결제제도를 이용하기로 약정한 카드를 통한 신용카드 이용실적 (연초부터 당분기말까지 누계)</t>
    <phoneticPr fontId="6" type="noConversion"/>
  </si>
  <si>
    <t>7. 관리자산 기준</t>
    <phoneticPr fontId="6" type="noConversion"/>
  </si>
  <si>
    <t>900점 초과~1000점 이하</t>
    <phoneticPr fontId="254" type="noConversion"/>
  </si>
  <si>
    <t>800점 초과~900점 이하</t>
  </si>
  <si>
    <t>700점 초과~800점 이하</t>
  </si>
  <si>
    <t>600점 초과~700점 이하</t>
  </si>
  <si>
    <t>500점 초과~600점 이하</t>
  </si>
  <si>
    <t>400점 초과~500점 이하</t>
  </si>
  <si>
    <t>300점 초과~400점 이하</t>
  </si>
  <si>
    <t>200점 초과~300점 이하</t>
  </si>
  <si>
    <t>100점 초과~200점 이하</t>
  </si>
  <si>
    <t>A10</t>
    <phoneticPr fontId="6" type="noConversion"/>
  </si>
  <si>
    <t>0점 이상~100점 이하</t>
  </si>
  <si>
    <t>기타(무점수)</t>
  </si>
  <si>
    <t xml:space="preserve">2. 개인신용평점 : 대출 취급시 차주의 개인신용평점 기준(KCB기준으로 하되, 없을 경우 NICE기준) </t>
    <phoneticPr fontId="6" type="noConversion"/>
  </si>
  <si>
    <t>(단위 : 백만원, %)</t>
    <phoneticPr fontId="22" type="noConversion"/>
  </si>
  <si>
    <t>코드</t>
    <phoneticPr fontId="6" type="noConversion"/>
  </si>
  <si>
    <t>코드명</t>
    <phoneticPr fontId="6" type="noConversion"/>
  </si>
  <si>
    <t>신규 취급액(당분기 중)</t>
    <phoneticPr fontId="6" type="noConversion"/>
  </si>
  <si>
    <t>신규 취급액(당해연도 누계)</t>
    <phoneticPr fontId="6" type="noConversion"/>
  </si>
  <si>
    <t>카드론</t>
    <phoneticPr fontId="6" type="noConversion"/>
  </si>
  <si>
    <t>신규 취급액</t>
    <phoneticPr fontId="6" type="noConversion"/>
  </si>
  <si>
    <t>평균 수수료율</t>
    <phoneticPr fontId="6" type="noConversion"/>
  </si>
  <si>
    <t>신규취급액</t>
    <phoneticPr fontId="6" type="noConversion"/>
  </si>
  <si>
    <t>평균 이자율</t>
    <phoneticPr fontId="6" type="noConversion"/>
  </si>
  <si>
    <t>결제성 리볼빙</t>
    <phoneticPr fontId="6" type="noConversion"/>
  </si>
  <si>
    <t>대출성 리볼빙</t>
    <phoneticPr fontId="6" type="noConversion"/>
  </si>
  <si>
    <t>평균수수료율</t>
    <phoneticPr fontId="6" type="noConversion"/>
  </si>
  <si>
    <t>C3</t>
    <phoneticPr fontId="6" type="noConversion"/>
  </si>
  <si>
    <t>C4</t>
    <phoneticPr fontId="6" type="noConversion"/>
  </si>
  <si>
    <t>F2</t>
    <phoneticPr fontId="6" type="noConversion"/>
  </si>
  <si>
    <t>F3</t>
    <phoneticPr fontId="6" type="noConversion"/>
  </si>
  <si>
    <t>F4</t>
    <phoneticPr fontId="6" type="noConversion"/>
  </si>
  <si>
    <t>[작성주기 : 분기]</t>
    <phoneticPr fontId="14" type="noConversion"/>
  </si>
  <si>
    <t>신규 취급액(당해년도 누계)</t>
    <phoneticPr fontId="6" type="noConversion"/>
  </si>
  <si>
    <t>건수</t>
    <phoneticPr fontId="6" type="noConversion"/>
  </si>
  <si>
    <t>C5</t>
    <phoneticPr fontId="6" type="noConversion"/>
  </si>
  <si>
    <t>C6</t>
    <phoneticPr fontId="6" type="noConversion"/>
  </si>
  <si>
    <t>E3</t>
    <phoneticPr fontId="6" type="noConversion"/>
  </si>
  <si>
    <t>F2</t>
  </si>
  <si>
    <t>F3</t>
  </si>
  <si>
    <t>F4</t>
  </si>
  <si>
    <t>F5</t>
  </si>
  <si>
    <t>F6</t>
  </si>
  <si>
    <t>6-29. 국내회원의 체크(직불)카드 이용실적(AC406) ('23.7.1. 개정)</t>
    <phoneticPr fontId="6" type="noConversion"/>
  </si>
  <si>
    <t>B21</t>
    <phoneticPr fontId="6" type="noConversion"/>
  </si>
  <si>
    <t>B22</t>
    <phoneticPr fontId="6" type="noConversion"/>
  </si>
  <si>
    <t>B23</t>
    <phoneticPr fontId="6" type="noConversion"/>
  </si>
  <si>
    <t>G21</t>
    <phoneticPr fontId="6" type="noConversion"/>
  </si>
  <si>
    <t>자체 및 
회원(제휴)사명</t>
    <phoneticPr fontId="6" type="noConversion"/>
  </si>
  <si>
    <t>당해회계연도 이용실적(연간회계연도 누계)</t>
    <phoneticPr fontId="6" type="noConversion"/>
  </si>
  <si>
    <t>이용실적</t>
    <phoneticPr fontId="6" type="noConversion"/>
  </si>
  <si>
    <t>DCC이용 실적</t>
    <phoneticPr fontId="6" type="noConversion"/>
  </si>
  <si>
    <t>법인</t>
    <phoneticPr fontId="6" type="noConversion"/>
  </si>
  <si>
    <t>계</t>
    <phoneticPr fontId="6" type="noConversion"/>
  </si>
  <si>
    <t>일반</t>
    <phoneticPr fontId="6" type="noConversion"/>
  </si>
  <si>
    <t>국세지방세등</t>
    <phoneticPr fontId="6" type="noConversion"/>
  </si>
  <si>
    <t>구매전용</t>
    <phoneticPr fontId="6" type="noConversion"/>
  </si>
  <si>
    <t>국내회원의
국내사용분</t>
    <phoneticPr fontId="6" type="noConversion"/>
  </si>
  <si>
    <t>국내회원의
해외사용분</t>
    <phoneticPr fontId="6" type="noConversion"/>
  </si>
  <si>
    <t>C9</t>
  </si>
  <si>
    <t>C10</t>
  </si>
  <si>
    <t>C11</t>
  </si>
  <si>
    <t>C12</t>
  </si>
  <si>
    <t>C13</t>
  </si>
  <si>
    <t>C14</t>
  </si>
  <si>
    <t>C15</t>
  </si>
  <si>
    <t>C16</t>
  </si>
  <si>
    <t>C17</t>
  </si>
  <si>
    <t>C18</t>
  </si>
  <si>
    <t>C19</t>
  </si>
  <si>
    <t>C20</t>
  </si>
  <si>
    <t>국내회원의
이용실적계</t>
    <phoneticPr fontId="6" type="noConversion"/>
  </si>
  <si>
    <t>E9</t>
  </si>
  <si>
    <t>E10</t>
  </si>
  <si>
    <t>E11</t>
  </si>
  <si>
    <t>E12</t>
  </si>
  <si>
    <t>E13</t>
  </si>
  <si>
    <t>E14</t>
  </si>
  <si>
    <t>E15</t>
  </si>
  <si>
    <t>E16</t>
  </si>
  <si>
    <t>E17</t>
  </si>
  <si>
    <t>E18</t>
  </si>
  <si>
    <t>E19</t>
  </si>
  <si>
    <t>E20</t>
  </si>
  <si>
    <t>1. 비씨카드 등 카드업무 전반(ex. 발행 및 매입업무 등)에 대한 프로세싱 업무를 수행하는 카드사는 회원사 자료를 함께 작성하되 매항목 첫째행(업체1)에는 반드시 자체카드분을 기재</t>
    <phoneticPr fontId="6" type="noConversion"/>
  </si>
  <si>
    <t>2. 이용실적은 연간누계(회계연도 기초~당월말)로 작성</t>
    <phoneticPr fontId="6" type="noConversion"/>
  </si>
  <si>
    <t>3. 기말 잔액이 아닌 대상기간중 취급된 금액 기준</t>
    <phoneticPr fontId="6" type="noConversion"/>
  </si>
  <si>
    <t>4-1. 개인 체크(직불)카드 이용실적은 ①'일반'과 ②'국세지방세등'의 합계</t>
  </si>
  <si>
    <t xml:space="preserve">   - ①일반이용실적 : 국세지방세 외 실적 전체</t>
    <phoneticPr fontId="6" type="noConversion"/>
  </si>
  <si>
    <t xml:space="preserve">   - ②국세지방세등 : 국세 지방세 카드납부 실적 및 개인회원이 납부대행수수료를 부담하는 가맹점업종(예 : 4대보험 등)에서의 카드결제금액(납부대행수수료를 포함한 결제금액)</t>
    <phoneticPr fontId="6" type="noConversion"/>
  </si>
  <si>
    <t xml:space="preserve">       ※ 국세지방세등 실적은 '국세·지방세 등 납부실적(AC405)'의 개인회원의 체크(직불)카드납부금액(B7행,A2열)과 반드시 일치</t>
    <phoneticPr fontId="6" type="noConversion"/>
  </si>
  <si>
    <t>4-2. 법인 신용판매 이용실적은 ①'일반', ②'국세지방세등', ③'구매전용'의 합계</t>
    <phoneticPr fontId="6" type="noConversion"/>
  </si>
  <si>
    <t xml:space="preserve">   - ①일반이용실적 : '국세지방세등','구매전용' 외 실적 전체</t>
    <phoneticPr fontId="6" type="noConversion"/>
  </si>
  <si>
    <t xml:space="preserve">   - ②국세지방세등 : 국세 지방세 카드납부 실적 및 법인회원이 납부대행수수료를 부담하는 가맹점업종(예 : 4대보험 등)에서의 카드결제금액(납부대행수수료를 포함한 결제금액)</t>
    <phoneticPr fontId="6" type="noConversion"/>
  </si>
  <si>
    <t xml:space="preserve">       ※ 국세지방세등 실적은 '국세·지방세 등 납부실적(AC405)'의 법인회원의 체크(직불)카드납부금액(E7행,A2열)과 반드시 일치</t>
    <phoneticPr fontId="6" type="noConversion"/>
  </si>
  <si>
    <t xml:space="preserve">   - ③구매전용 : 구매전용카드 이용실적</t>
    <phoneticPr fontId="6" type="noConversion"/>
  </si>
  <si>
    <t>5. 신용카드, 선불카드 이용실적 제외</t>
    <phoneticPr fontId="6" type="noConversion"/>
  </si>
  <si>
    <t>5-1. 체크(직불)카드 이용실적만 작성</t>
    <phoneticPr fontId="6" type="noConversion"/>
  </si>
  <si>
    <t>5-2. 회원기준 이용실적으로 작성</t>
    <phoneticPr fontId="6" type="noConversion"/>
  </si>
  <si>
    <t>6. 가결산일(월말 포함) 기준 매입처리된 건에 대하여 승인일자 기준으로 작성</t>
    <phoneticPr fontId="6" type="noConversion"/>
  </si>
  <si>
    <t>7. 신용판매 중 DCC이용 금액 : 상기 '이용실적' 중 원화결제서비스(DCC : Dynamic Currency Conversion)를 이용한 금액을 기재</t>
    <phoneticPr fontId="14" type="noConversion"/>
  </si>
  <si>
    <t xml:space="preserve">  - 국내회원의 국내사용분은 해당없음</t>
    <phoneticPr fontId="6" type="noConversion"/>
  </si>
  <si>
    <t xml:space="preserve">  - 개인 DCC 금액은 이용실적 중 개인 일반 실적 중 DCC결제액을, 법인 DCC 금액은 법인 일반/구매전용의 DCC결제액을 각각 기재</t>
    <phoneticPr fontId="6" type="noConversion"/>
  </si>
  <si>
    <t xml:space="preserve">  - 이용실적 금액은 DCC 금액을 제외하지 않고 총액을 기재</t>
    <phoneticPr fontId="6" type="noConversion"/>
  </si>
  <si>
    <t>(3년 이하)</t>
    <phoneticPr fontId="6" type="noConversion"/>
  </si>
  <si>
    <t>(3~7년 이하)</t>
    <phoneticPr fontId="6" type="noConversion"/>
  </si>
  <si>
    <t>(7년 초과)</t>
    <phoneticPr fontId="6" type="noConversion"/>
  </si>
  <si>
    <t>EB</t>
    <phoneticPr fontId="6" type="noConversion"/>
  </si>
  <si>
    <t>AC304</t>
    <phoneticPr fontId="6" type="noConversion"/>
  </si>
  <si>
    <t>자산,부채 만기구조 현황(관리자산)</t>
    <phoneticPr fontId="6" type="noConversion"/>
  </si>
  <si>
    <t>경영지표 현황</t>
    <phoneticPr fontId="6" type="noConversion"/>
  </si>
  <si>
    <t>대주주에 대한 신용공여 종류별 현황(행삽입보고서)</t>
    <phoneticPr fontId="6" type="noConversion"/>
  </si>
  <si>
    <t>대출업무비중 현황</t>
    <phoneticPr fontId="6" type="noConversion"/>
  </si>
  <si>
    <t>연령별 신용카드이용 현황</t>
    <phoneticPr fontId="6" type="noConversion"/>
  </si>
  <si>
    <t>회전결제(리볼빙) 현황</t>
    <phoneticPr fontId="6" type="noConversion"/>
  </si>
  <si>
    <t>신용등급별 카드대출 취급액 및 평균수수료율 현황</t>
    <phoneticPr fontId="6" type="noConversion"/>
  </si>
  <si>
    <t>국내회원의 체크(직불)카드 이용실적</t>
    <phoneticPr fontId="6" type="noConversion"/>
  </si>
  <si>
    <t>금리유형별 자산부채 현황</t>
    <phoneticPr fontId="6" type="noConversion"/>
  </si>
  <si>
    <t>자산건전성분류(관리자산) 현황</t>
    <phoneticPr fontId="6" type="noConversion"/>
  </si>
  <si>
    <t>A124</t>
    <phoneticPr fontId="6" type="noConversion"/>
  </si>
  <si>
    <t>A1241</t>
    <phoneticPr fontId="6" type="noConversion"/>
  </si>
  <si>
    <t>B124</t>
    <phoneticPr fontId="6" type="noConversion"/>
  </si>
  <si>
    <t>B1241</t>
    <phoneticPr fontId="6" type="noConversion"/>
  </si>
  <si>
    <t>정책
금융</t>
    <phoneticPr fontId="6" type="noConversion"/>
  </si>
  <si>
    <t>모태펀드</t>
  </si>
  <si>
    <t>특수은행(산업은행 등)</t>
  </si>
  <si>
    <t>성장금융</t>
  </si>
  <si>
    <t>기타(지자체, 기타 기관 등)</t>
  </si>
  <si>
    <t>여전사</t>
    <phoneticPr fontId="6" type="noConversion"/>
  </si>
  <si>
    <t>업무집행조합원분(자체출자액)</t>
    <phoneticPr fontId="6" type="noConversion"/>
  </si>
  <si>
    <t>은행(은행법에 따른 은행)</t>
  </si>
  <si>
    <t>금융투자회사</t>
  </si>
  <si>
    <t>보험회사</t>
  </si>
  <si>
    <t>기타 금융회사</t>
  </si>
  <si>
    <t>기타 출자자</t>
    <phoneticPr fontId="6" type="noConversion"/>
  </si>
  <si>
    <t>연금/공제회</t>
  </si>
  <si>
    <t>일반법인</t>
  </si>
  <si>
    <t>개인</t>
  </si>
  <si>
    <t>외국(법)인</t>
  </si>
  <si>
    <t>기타단체</t>
  </si>
  <si>
    <r>
      <t xml:space="preserve">4. 공동 업무분담으로 </t>
    </r>
    <r>
      <rPr>
        <b/>
        <sz val="11"/>
        <color rgb="FFFF0000"/>
        <rFont val="새굴림"/>
        <family val="1"/>
        <charset val="129"/>
      </rPr>
      <t>3.</t>
    </r>
    <r>
      <rPr>
        <sz val="11"/>
        <rFont val="새굴림"/>
        <family val="1"/>
        <charset val="129"/>
      </rPr>
      <t>의 구분이 어려운 경우 출자금액이 큰 신기술금융사가 작성</t>
    </r>
    <phoneticPr fontId="6" type="noConversion"/>
  </si>
  <si>
    <t>J124</t>
    <phoneticPr fontId="6" type="noConversion"/>
  </si>
  <si>
    <t>J1241</t>
    <phoneticPr fontId="6" type="noConversion"/>
  </si>
  <si>
    <t>후기 단계</t>
  </si>
  <si>
    <t>후기 단계</t>
    <phoneticPr fontId="6" type="noConversion"/>
  </si>
  <si>
    <t>중기 단계</t>
  </si>
  <si>
    <t>중기 단계</t>
    <phoneticPr fontId="6" type="noConversion"/>
  </si>
  <si>
    <t>초기 단계</t>
  </si>
  <si>
    <t>초기 단계</t>
    <phoneticPr fontId="6" type="noConversion"/>
  </si>
  <si>
    <t>7. 기타(지자체, 기타기관 등)에는 중소벤처기업부, 방통위, 과학기술정보통신부, 산업통상자원부 등 정부기관 등을 포함</t>
    <phoneticPr fontId="6" type="noConversion"/>
  </si>
  <si>
    <t>5-1. 회사현황(AC236) ('18.11. . 개정)</t>
    <phoneticPr fontId="6" type="noConversion"/>
  </si>
  <si>
    <t>회  사  명</t>
    <phoneticPr fontId="6" type="noConversion"/>
  </si>
  <si>
    <t>한글</t>
    <phoneticPr fontId="6" type="noConversion"/>
  </si>
  <si>
    <t>영문</t>
    <phoneticPr fontId="6" type="noConversion"/>
  </si>
  <si>
    <t>대표자 성명</t>
    <phoneticPr fontId="6" type="noConversion"/>
  </si>
  <si>
    <t>본점소재지</t>
  </si>
  <si>
    <t>주소</t>
    <phoneticPr fontId="6" type="noConversion"/>
  </si>
  <si>
    <t>TEL</t>
    <phoneticPr fontId="6" type="noConversion"/>
  </si>
  <si>
    <t>FAX</t>
    <phoneticPr fontId="6" type="noConversion"/>
  </si>
  <si>
    <t>수권자본금</t>
  </si>
  <si>
    <t>납입자본금</t>
  </si>
  <si>
    <t>점  포  수</t>
    <phoneticPr fontId="6" type="noConversion"/>
  </si>
  <si>
    <t>상  장  일</t>
    <phoneticPr fontId="6" type="noConversion"/>
  </si>
  <si>
    <t>조직현황</t>
  </si>
  <si>
    <t>부</t>
    <phoneticPr fontId="6" type="noConversion"/>
  </si>
  <si>
    <t>실</t>
    <phoneticPr fontId="6" type="noConversion"/>
  </si>
  <si>
    <t>H3</t>
    <phoneticPr fontId="6" type="noConversion"/>
  </si>
  <si>
    <t>팀</t>
    <phoneticPr fontId="6" type="noConversion"/>
  </si>
  <si>
    <t>영위업무</t>
    <phoneticPr fontId="6" type="noConversion"/>
  </si>
  <si>
    <t>허가일(등록일)(1)</t>
    <phoneticPr fontId="6" type="noConversion"/>
  </si>
  <si>
    <t>영위업무(1)</t>
    <phoneticPr fontId="6" type="noConversion"/>
  </si>
  <si>
    <t>I3</t>
    <phoneticPr fontId="6" type="noConversion"/>
  </si>
  <si>
    <t>허가일(등록일)(2)</t>
    <phoneticPr fontId="6" type="noConversion"/>
  </si>
  <si>
    <t>I4</t>
    <phoneticPr fontId="6" type="noConversion"/>
  </si>
  <si>
    <t>영위업무(2)</t>
    <phoneticPr fontId="6" type="noConversion"/>
  </si>
  <si>
    <t>I5</t>
    <phoneticPr fontId="6" type="noConversion"/>
  </si>
  <si>
    <t>허가일(등록일)(3)</t>
    <phoneticPr fontId="6" type="noConversion"/>
  </si>
  <si>
    <t>I6</t>
    <phoneticPr fontId="6" type="noConversion"/>
  </si>
  <si>
    <t>영위업무(3)</t>
    <phoneticPr fontId="6" type="noConversion"/>
  </si>
  <si>
    <t>I7</t>
    <phoneticPr fontId="6" type="noConversion"/>
  </si>
  <si>
    <t>허가일(등록일)(4)</t>
    <phoneticPr fontId="6" type="noConversion"/>
  </si>
  <si>
    <t>I8</t>
    <phoneticPr fontId="6" type="noConversion"/>
  </si>
  <si>
    <t>영위업무(4)</t>
    <phoneticPr fontId="6" type="noConversion"/>
  </si>
  <si>
    <t>1. 영위업무는 여신전문금융업법 제3조에 의거 허가 또는 등록한 업무</t>
    <phoneticPr fontId="6" type="noConversion"/>
  </si>
  <si>
    <t xml:space="preserve">    (신용카드업, 시설대여업, 할부금융업, 신기술금융업)</t>
    <phoneticPr fontId="6" type="noConversion"/>
  </si>
  <si>
    <t>2. 역년(Calendar Year)기준(회계연도 기준 아님)</t>
    <phoneticPr fontId="6" type="noConversion"/>
  </si>
  <si>
    <t>3. "점포수"는 지점, 출장소, 사무소, 해외지점, 해외사무소 등 일체의 점포를 포함(해외현지법인 제외)</t>
    <phoneticPr fontId="6" type="noConversion"/>
  </si>
  <si>
    <t>[ 변경이력 ]</t>
    <phoneticPr fontId="6" type="noConversion"/>
  </si>
  <si>
    <t>1. 2018년 12월 업무보고서부터 점포수 집계 기준 변경</t>
    <phoneticPr fontId="6" type="noConversion"/>
  </si>
  <si>
    <t>5-2. 인원현황(AC237) ('18.11. . 개정)</t>
    <phoneticPr fontId="6" type="noConversion"/>
  </si>
  <si>
    <t>(단위: 명)</t>
    <phoneticPr fontId="6" type="noConversion"/>
  </si>
  <si>
    <t>B7</t>
    <phoneticPr fontId="6" type="noConversion"/>
  </si>
  <si>
    <t>임 원</t>
    <phoneticPr fontId="6" type="noConversion"/>
  </si>
  <si>
    <t>직 원</t>
    <phoneticPr fontId="6" type="noConversion"/>
  </si>
  <si>
    <t>총 계</t>
  </si>
  <si>
    <t>상 근</t>
  </si>
  <si>
    <t>비상근</t>
  </si>
  <si>
    <t>임원계</t>
    <phoneticPr fontId="6" type="noConversion"/>
  </si>
  <si>
    <t>정규직</t>
  </si>
  <si>
    <t>비정규직</t>
  </si>
  <si>
    <t>직원계</t>
  </si>
  <si>
    <t>국 내</t>
  </si>
  <si>
    <t xml:space="preserve">해 외 </t>
    <phoneticPr fontId="6" type="noConversion"/>
  </si>
  <si>
    <t>지점</t>
  </si>
  <si>
    <t>사무소</t>
  </si>
  <si>
    <t>1. 휴직 및 파견인원 포함</t>
    <phoneticPr fontId="6" type="noConversion"/>
  </si>
  <si>
    <t>2. 임원: 감사를 포함</t>
    <phoneticPr fontId="6" type="noConversion"/>
  </si>
  <si>
    <t>3. 해외인원: 지점, 현지법인, 사무소의 주재원을 포함</t>
    <phoneticPr fontId="6" type="noConversion"/>
  </si>
  <si>
    <t>4. 정규직 및 비정규직 정규직은 해당 기관이 직접고용하는 직원 중, 기한의 정함이 없는 직원을 의미하며,</t>
    <phoneticPr fontId="6" type="noConversion"/>
  </si>
  <si>
    <t xml:space="preserve">    비정규직은 직접고용 인원 중 기한의 정함이 있는 직원을 의미</t>
    <phoneticPr fontId="6" type="noConversion"/>
  </si>
  <si>
    <t>5. 역년(Calendar Year)기준(회계연도 기준 아님)</t>
    <phoneticPr fontId="6" type="noConversion"/>
  </si>
  <si>
    <t>[ 변경이력 ]</t>
  </si>
  <si>
    <t>1. 2018년 12월 업무보고서부터 직원 분류 변경(정규직, 비정규직 구분 등) 및 해외 현지법인 항목 삭제</t>
    <phoneticPr fontId="6" type="noConversion"/>
  </si>
  <si>
    <t>카드자산 합계</t>
    <phoneticPr fontId="6" type="noConversion"/>
  </si>
  <si>
    <t>가계대출</t>
    <phoneticPr fontId="76" type="noConversion"/>
  </si>
  <si>
    <t>기업대출</t>
    <phoneticPr fontId="76" type="noConversion"/>
  </si>
  <si>
    <t>카드자산</t>
    <phoneticPr fontId="76" type="noConversion"/>
  </si>
  <si>
    <t>할부금융자산</t>
    <phoneticPr fontId="76" type="noConversion"/>
  </si>
  <si>
    <t>리스자산</t>
    <phoneticPr fontId="76" type="noConversion"/>
  </si>
  <si>
    <t>신기술자산</t>
    <phoneticPr fontId="76" type="noConversion"/>
  </si>
  <si>
    <t>남성</t>
    <phoneticPr fontId="6" type="noConversion"/>
  </si>
  <si>
    <t>여성</t>
    <phoneticPr fontId="6" type="noConversion"/>
  </si>
  <si>
    <t>직원</t>
    <phoneticPr fontId="6" type="noConversion"/>
  </si>
  <si>
    <t>변동금리</t>
  </si>
  <si>
    <t>A</t>
    <phoneticPr fontId="76" type="noConversion"/>
  </si>
  <si>
    <t>고정/혼합금리</t>
    <phoneticPr fontId="76" type="noConversion"/>
  </si>
  <si>
    <t>합계</t>
    <phoneticPr fontId="76" type="noConversion"/>
  </si>
  <si>
    <t>1년초과 만기도래</t>
    <phoneticPr fontId="76" type="noConversion"/>
  </si>
  <si>
    <t>1년이내 만기도래</t>
    <phoneticPr fontId="76" type="noConversion"/>
  </si>
  <si>
    <t xml:space="preserve">   외화 부채 및 자본 총계</t>
    <phoneticPr fontId="6" type="noConversion"/>
  </si>
  <si>
    <t>5. '25.1월부터 확정지급보증 → 지급보증 명칭 변경</t>
    <phoneticPr fontId="6" type="noConversion"/>
  </si>
  <si>
    <r>
      <t xml:space="preserve">2. 1개월 이내 만기도래 부채 : 향후 30일 이내 만기가 도래하는 </t>
    </r>
    <r>
      <rPr>
        <u/>
        <sz val="10"/>
        <color rgb="FFFF0000"/>
        <rFont val="새굴림"/>
        <family val="1"/>
        <charset val="129"/>
      </rPr>
      <t>차입부채</t>
    </r>
    <r>
      <rPr>
        <sz val="10"/>
        <color theme="1"/>
        <rFont val="새굴림"/>
        <family val="1"/>
        <charset val="129"/>
      </rPr>
      <t>. (단, 「자산유동화에 관한 법률」에 따른 자산유동화에 의한 차입금도 포함)</t>
    </r>
    <phoneticPr fontId="6" type="noConversion"/>
  </si>
  <si>
    <r>
      <t xml:space="preserve">  총채권등: 자산건전성분류대상자산에서 유가증권, 투자 및 </t>
    </r>
    <r>
      <rPr>
        <u/>
        <sz val="10"/>
        <color rgb="FFFF0000"/>
        <rFont val="새굴림"/>
        <family val="1"/>
        <charset val="129"/>
      </rPr>
      <t>미사용약정</t>
    </r>
    <r>
      <rPr>
        <sz val="10"/>
        <color theme="1"/>
        <rFont val="새굴림"/>
        <family val="1"/>
        <charset val="129"/>
      </rPr>
      <t>, 미수이자를 제외한 금액</t>
    </r>
    <phoneticPr fontId="6" type="noConversion"/>
  </si>
  <si>
    <r>
      <t xml:space="preserve">  총채권등: 자산건전성분류대상자산에서 유가증권, 투자, </t>
    </r>
    <r>
      <rPr>
        <u/>
        <sz val="10"/>
        <color rgb="FFFF0000"/>
        <rFont val="새굴림"/>
        <family val="1"/>
        <charset val="129"/>
      </rPr>
      <t>미사용약정, 지급보증</t>
    </r>
    <r>
      <rPr>
        <u/>
        <sz val="10"/>
        <color theme="1"/>
        <rFont val="새굴림"/>
        <family val="1"/>
        <charset val="129"/>
      </rPr>
      <t>,</t>
    </r>
    <r>
      <rPr>
        <sz val="10"/>
        <color theme="1"/>
        <rFont val="새굴림"/>
        <family val="1"/>
        <charset val="129"/>
      </rPr>
      <t xml:space="preserve"> 부동산 PF 관련 채무보증 및 미수이자를 제외한 금액</t>
    </r>
    <phoneticPr fontId="6" type="noConversion"/>
  </si>
  <si>
    <r>
      <t>1. 여신전문금융업법시행령</t>
    </r>
    <r>
      <rPr>
        <sz val="11"/>
        <color rgb="FFFF0000"/>
        <rFont val="새굴림"/>
        <family val="1"/>
        <charset val="129"/>
      </rPr>
      <t xml:space="preserve"> </t>
    </r>
    <r>
      <rPr>
        <u/>
        <sz val="11"/>
        <color rgb="FFFF0000"/>
        <rFont val="새굴림"/>
        <family val="1"/>
        <charset val="129"/>
      </rPr>
      <t>제2조의4</t>
    </r>
    <r>
      <rPr>
        <sz val="11"/>
        <rFont val="새굴림"/>
        <family val="1"/>
        <charset val="129"/>
      </rPr>
      <t>(신용공여의 범위) 참조</t>
    </r>
    <phoneticPr fontId="6" type="noConversion"/>
  </si>
  <si>
    <r>
      <t xml:space="preserve">5-1. 체크(직불)카드 이용실적만 작성. </t>
    </r>
    <r>
      <rPr>
        <u/>
        <sz val="11"/>
        <color rgb="FFFF0000"/>
        <rFont val="새굴림"/>
        <family val="1"/>
        <charset val="129"/>
      </rPr>
      <t>(해외 ATM 출금 등 체크카드를 이용한 실적이 아닌 경우는 제외)</t>
    </r>
    <phoneticPr fontId="6" type="noConversion"/>
  </si>
  <si>
    <t>9-2. 업종별 투자현황(AC286) ('17.9. . 개정)</t>
    <phoneticPr fontId="6" type="noConversion"/>
  </si>
  <si>
    <t>(단위 : 백만원)</t>
  </si>
  <si>
    <t>신기술사업 투자조합분</t>
  </si>
  <si>
    <t>기타 조합분</t>
  </si>
  <si>
    <t>T1</t>
  </si>
  <si>
    <t>ICT제조</t>
    <phoneticPr fontId="6" type="noConversion"/>
  </si>
  <si>
    <t>반도체/전자부품</t>
    <phoneticPr fontId="6" type="noConversion"/>
  </si>
  <si>
    <t>T2</t>
  </si>
  <si>
    <t>컴퓨터/주변장치</t>
    <phoneticPr fontId="6" type="noConversion"/>
  </si>
  <si>
    <t>T3</t>
  </si>
  <si>
    <t>통신방송장비</t>
    <phoneticPr fontId="6" type="noConversion"/>
  </si>
  <si>
    <t>T4</t>
  </si>
  <si>
    <t>영상음향기기</t>
    <phoneticPr fontId="6" type="noConversion"/>
  </si>
  <si>
    <t>T5</t>
  </si>
  <si>
    <t>T</t>
  </si>
  <si>
    <t>S1</t>
  </si>
  <si>
    <t>ICT서비스</t>
    <phoneticPr fontId="6" type="noConversion"/>
  </si>
  <si>
    <t>통신</t>
    <phoneticPr fontId="6" type="noConversion"/>
  </si>
  <si>
    <t>S2</t>
  </si>
  <si>
    <t>소프트웨어</t>
    <phoneticPr fontId="6" type="noConversion"/>
  </si>
  <si>
    <t>S3</t>
  </si>
  <si>
    <t>정보통신서비스</t>
    <phoneticPr fontId="6" type="noConversion"/>
  </si>
  <si>
    <t>S4</t>
  </si>
  <si>
    <t>S</t>
  </si>
  <si>
    <t>U1</t>
  </si>
  <si>
    <t>전기/기계/장비</t>
    <phoneticPr fontId="6" type="noConversion"/>
  </si>
  <si>
    <t>전기기기</t>
    <phoneticPr fontId="6" type="noConversion"/>
  </si>
  <si>
    <t>U2</t>
  </si>
  <si>
    <t>일반기계</t>
    <phoneticPr fontId="6" type="noConversion"/>
  </si>
  <si>
    <t>U3</t>
  </si>
  <si>
    <t>운송장비/부품</t>
    <phoneticPr fontId="6" type="noConversion"/>
  </si>
  <si>
    <t>U4</t>
  </si>
  <si>
    <t>정밀기기</t>
    <phoneticPr fontId="6" type="noConversion"/>
  </si>
  <si>
    <t>U5</t>
    <phoneticPr fontId="6" type="noConversion"/>
  </si>
  <si>
    <t>U</t>
  </si>
  <si>
    <t>V1</t>
  </si>
  <si>
    <t>화학/소재</t>
    <phoneticPr fontId="6" type="noConversion"/>
  </si>
  <si>
    <t>화학물질/제품</t>
    <phoneticPr fontId="6" type="noConversion"/>
  </si>
  <si>
    <t>V2</t>
  </si>
  <si>
    <t>고무/플라스틱</t>
    <phoneticPr fontId="6" type="noConversion"/>
  </si>
  <si>
    <t>V3</t>
  </si>
  <si>
    <t>금속</t>
    <phoneticPr fontId="6" type="noConversion"/>
  </si>
  <si>
    <t>V4</t>
  </si>
  <si>
    <t>비금속</t>
    <phoneticPr fontId="6" type="noConversion"/>
  </si>
  <si>
    <t>V5</t>
  </si>
  <si>
    <t>V</t>
  </si>
  <si>
    <t>W1</t>
  </si>
  <si>
    <t>바이오/의료</t>
    <phoneticPr fontId="6" type="noConversion"/>
  </si>
  <si>
    <t>의료기기</t>
    <phoneticPr fontId="6" type="noConversion"/>
  </si>
  <si>
    <t>W2</t>
  </si>
  <si>
    <t>의료용물질/의약품</t>
    <phoneticPr fontId="6" type="noConversion"/>
  </si>
  <si>
    <t>W3</t>
  </si>
  <si>
    <t>의료시설/서비스</t>
    <phoneticPr fontId="6" type="noConversion"/>
  </si>
  <si>
    <t>W4</t>
  </si>
  <si>
    <t>W</t>
  </si>
  <si>
    <t>X1</t>
  </si>
  <si>
    <t>영상/공연/음반</t>
    <phoneticPr fontId="6" type="noConversion"/>
  </si>
  <si>
    <t>출판/방송</t>
    <phoneticPr fontId="6" type="noConversion"/>
  </si>
  <si>
    <t>X2</t>
  </si>
  <si>
    <t>X3</t>
  </si>
  <si>
    <t>공연/전시/음악</t>
    <phoneticPr fontId="6" type="noConversion"/>
  </si>
  <si>
    <t>X4</t>
  </si>
  <si>
    <t>X</t>
  </si>
  <si>
    <t>Y1</t>
  </si>
  <si>
    <t>게임</t>
    <phoneticPr fontId="6" type="noConversion"/>
  </si>
  <si>
    <t>게임소프트웨어</t>
    <phoneticPr fontId="6" type="noConversion"/>
  </si>
  <si>
    <t>Y2</t>
  </si>
  <si>
    <t>스포츠/여가</t>
    <phoneticPr fontId="6" type="noConversion"/>
  </si>
  <si>
    <t>Y3</t>
  </si>
  <si>
    <t>Y</t>
  </si>
  <si>
    <t>Z1</t>
  </si>
  <si>
    <t>유통/서비스</t>
    <phoneticPr fontId="6" type="noConversion"/>
  </si>
  <si>
    <t>도소매업</t>
    <phoneticPr fontId="6" type="noConversion"/>
  </si>
  <si>
    <t>Z2</t>
  </si>
  <si>
    <t>운수</t>
    <phoneticPr fontId="6" type="noConversion"/>
  </si>
  <si>
    <t>Z3</t>
  </si>
  <si>
    <t>숙박/음식업</t>
    <phoneticPr fontId="6" type="noConversion"/>
  </si>
  <si>
    <t>Z4</t>
  </si>
  <si>
    <t>교육</t>
    <phoneticPr fontId="6" type="noConversion"/>
  </si>
  <si>
    <t>Z5</t>
  </si>
  <si>
    <t>전문서비스</t>
    <phoneticPr fontId="6" type="noConversion"/>
  </si>
  <si>
    <t>Z6</t>
  </si>
  <si>
    <t>Z</t>
  </si>
  <si>
    <t>음식료</t>
    <phoneticPr fontId="6" type="noConversion"/>
  </si>
  <si>
    <t>섬유/의복/가죽</t>
    <phoneticPr fontId="6" type="noConversion"/>
  </si>
  <si>
    <t>목재/종이/인쇄/가구</t>
    <phoneticPr fontId="6" type="noConversion"/>
  </si>
  <si>
    <t>에너지/자원</t>
    <phoneticPr fontId="6" type="noConversion"/>
  </si>
  <si>
    <t>건설</t>
    <phoneticPr fontId="6" type="noConversion"/>
  </si>
  <si>
    <t>금융</t>
    <phoneticPr fontId="6" type="noConversion"/>
  </si>
  <si>
    <t>부동산/임대</t>
    <phoneticPr fontId="6" type="noConversion"/>
  </si>
  <si>
    <t>1. 합계는 '9-1. 투자 및 융자현황 (AC285)'의 회사분 투자소계, 조합분 투자소계(취득원가)와 일치</t>
    <phoneticPr fontId="6" type="noConversion"/>
  </si>
  <si>
    <t>2. 투자업종분류는 표준산업분류표(통계청장 고시)에 따라 작성</t>
    <phoneticPr fontId="6" type="noConversion"/>
  </si>
  <si>
    <t>1. 2017.9.30일부터 업종별 투자현황만 작성하고 업종별 융자현황은 AC411에 작성</t>
    <phoneticPr fontId="6" type="noConversion"/>
  </si>
  <si>
    <t>CC</t>
    <phoneticPr fontId="6" type="noConversion"/>
  </si>
  <si>
    <t>당반기중 회수</t>
    <phoneticPr fontId="6" type="noConversion"/>
  </si>
  <si>
    <t>당반기중 기타</t>
    <phoneticPr fontId="6" type="noConversion"/>
  </si>
  <si>
    <t>A31</t>
    <phoneticPr fontId="6" type="noConversion"/>
  </si>
  <si>
    <t>A41</t>
    <phoneticPr fontId="6" type="noConversion"/>
  </si>
  <si>
    <t>A32</t>
    <phoneticPr fontId="6" type="noConversion"/>
  </si>
  <si>
    <t>A42</t>
    <phoneticPr fontId="6" type="noConversion"/>
  </si>
  <si>
    <t>9-7. 업종별 융자현황(AC411) ('17.9. . 개정)</t>
    <phoneticPr fontId="6" type="noConversion"/>
  </si>
  <si>
    <t>1. 합계는 '9-1. 투자 및 융자현황 (AC285)'의 회사분 신기술금융대출금과 일치</t>
    <phoneticPr fontId="6" type="noConversion"/>
  </si>
  <si>
    <t>B31</t>
  </si>
  <si>
    <t>B41</t>
  </si>
  <si>
    <t>B32</t>
  </si>
  <si>
    <t>B42</t>
  </si>
  <si>
    <t>C31</t>
  </si>
  <si>
    <t>C41</t>
  </si>
  <si>
    <t>C32</t>
  </si>
  <si>
    <t>C42</t>
  </si>
  <si>
    <t>9-6. 유형별 투자·회수 현황(AC410) ('17.9. . 개정)</t>
    <phoneticPr fontId="6" type="noConversion"/>
  </si>
  <si>
    <t>기타조합분</t>
    <phoneticPr fontId="6" type="noConversion"/>
  </si>
  <si>
    <t>기초~당분기말</t>
    <phoneticPr fontId="6" type="noConversion"/>
  </si>
  <si>
    <t>IPO</t>
    <phoneticPr fontId="6" type="noConversion"/>
  </si>
  <si>
    <t>투자금액</t>
    <phoneticPr fontId="6" type="noConversion"/>
  </si>
  <si>
    <t>회수금액</t>
    <phoneticPr fontId="6" type="noConversion"/>
  </si>
  <si>
    <t>M&amp;A</t>
    <phoneticPr fontId="6" type="noConversion"/>
  </si>
  <si>
    <t>채권매각/상환</t>
    <phoneticPr fontId="6" type="noConversion"/>
  </si>
  <si>
    <t>주식매각/상환</t>
    <phoneticPr fontId="6" type="noConversion"/>
  </si>
  <si>
    <t>1. 투자금액은 회수분에 해당하는 투자원금(취득원가), 회수금액은 회수당시의 실제 회수금액을 작성</t>
    <phoneticPr fontId="6" type="noConversion"/>
  </si>
  <si>
    <t>2. 신기술사업금융업을 등록한 겸영여신업자(금융투자업자 등)도 여전법 제54조(업무보고서 등의 제출) 제1항에 따라 작성</t>
    <phoneticPr fontId="6" type="noConversion"/>
  </si>
  <si>
    <t>목차_개정후!A1</t>
  </si>
  <si>
    <t>ㅇ</t>
    <phoneticPr fontId="6" type="noConversion"/>
  </si>
  <si>
    <t>AC425</t>
    <phoneticPr fontId="6" type="noConversion"/>
  </si>
  <si>
    <t xml:space="preserve">3. 카드자산(A), 할부금융자산(B), 리스자산(C), 신기술자산(D) : </t>
    <phoneticPr fontId="6" type="noConversion"/>
  </si>
  <si>
    <t xml:space="preserve">   각각의 항목은 업무보고서 AC217상의 카드자산(할부카드대급금, 결제성리볼빙(이월잔액), 카드론, 현금서비스(대출성리볼빙 포함)), 할부금융자산 소계, 리스자산 소계, 신기술금융대출금과 반드시 일치해야 함</t>
    <phoneticPr fontId="6" type="noConversion"/>
  </si>
  <si>
    <t>모집경로별 회원모집 현황</t>
    <phoneticPr fontId="6" type="noConversion"/>
  </si>
  <si>
    <t>홈페이지 주소</t>
    <phoneticPr fontId="6" type="noConversion"/>
  </si>
  <si>
    <t>6-27. 개인신용평점별카드대출 취급액 및 평균수수료율 현황(AC402)  ('21.1.1 개정)</t>
    <phoneticPr fontId="22" type="noConversion"/>
  </si>
  <si>
    <t>기준</t>
    <phoneticPr fontId="6" type="noConversion"/>
  </si>
  <si>
    <t xml:space="preserve">1. 개인신용평점 : 대출 취급시 차주의 개인신용평점 기준(KCB기준으로 하되, 없을 경우 NICE기준) </t>
    <phoneticPr fontId="14" type="noConversion"/>
  </si>
  <si>
    <t>2. 개인신용평점 분위 : CB사에서 산출하는 "대출 취급시점으로부터의 최직근 분위별 경계점수"를 기준으로 분류</t>
    <phoneticPr fontId="14" type="noConversion"/>
  </si>
  <si>
    <t>- 10분위 : 기타(무점수)를 제외한 1~1,000점의 신용점수 차주 중 상위 0%초과 ~ 10%이하(=상위 10%)</t>
    <phoneticPr fontId="14" type="noConversion"/>
  </si>
  <si>
    <t>- 9분위 : 기타(무점수)를 제외한 1~1,000점의 신용점수 차주 중 상위 10%초과 ~ 20%이하</t>
    <phoneticPr fontId="14" type="noConversion"/>
  </si>
  <si>
    <t>- 2분위 : 기타(무점수)를 제외한 1~1,000점의 신용점수 차주 중 상위 80%초과 ~ 90%이하</t>
    <phoneticPr fontId="14" type="noConversion"/>
  </si>
  <si>
    <t>- 1분위 :기타(무점수)를 제외한 1~1,000점의 신용점수 차주 중 상위 90%초과 ~ 100%이하(=하위 10%)</t>
    <phoneticPr fontId="14" type="noConversion"/>
  </si>
  <si>
    <t>3. 현금서비스, 카드론 및 리볼빙의 평균 수수료율은 해당기간 중 신규 취급(기간연장 미포함) 대상 회원의 대출금액에 대한 가중평균 수수료율을 말함</t>
    <phoneticPr fontId="14" type="noConversion"/>
  </si>
  <si>
    <t>　　</t>
    <phoneticPr fontId="14" type="noConversion"/>
  </si>
  <si>
    <t xml:space="preserve">【변경이력】 </t>
    <phoneticPr fontId="14" type="noConversion"/>
  </si>
  <si>
    <t>1. '21.1.1. 부터 개인신용평가체계가 신용등급제에서 신용점수제로 전환됨에 따라, 기존의 신용등급별 서식을 개인신용평점별 서식으로 수정('21.1분기 기준 업무보고서 부터 적용)</t>
    <phoneticPr fontId="14" type="noConversion"/>
  </si>
  <si>
    <t>[ 작성요령 ]</t>
    <phoneticPr fontId="14" type="noConversion"/>
  </si>
  <si>
    <t>9분위(상위10~20%)</t>
    <phoneticPr fontId="6" type="noConversion"/>
  </si>
  <si>
    <t>8분위(상위20~30%)</t>
    <phoneticPr fontId="6" type="noConversion"/>
  </si>
  <si>
    <t>7분위(상위30~40%)</t>
    <phoneticPr fontId="6" type="noConversion"/>
  </si>
  <si>
    <t>6분위(상위40~50%)</t>
    <phoneticPr fontId="6" type="noConversion"/>
  </si>
  <si>
    <t>5분위(상위50~60%)</t>
    <phoneticPr fontId="6" type="noConversion"/>
  </si>
  <si>
    <t>4분위(상위60~70%)</t>
    <phoneticPr fontId="6" type="noConversion"/>
  </si>
  <si>
    <t>3분위(상위70~80%)</t>
    <phoneticPr fontId="6" type="noConversion"/>
  </si>
  <si>
    <t>2분위(상위80~90%)</t>
    <phoneticPr fontId="6" type="noConversion"/>
  </si>
  <si>
    <t>1분위(상위90~100%=하위10%)</t>
    <phoneticPr fontId="6" type="noConversion"/>
  </si>
  <si>
    <t>기타(무점수)</t>
    <phoneticPr fontId="6" type="noConversion"/>
  </si>
  <si>
    <t>900점 초과~1000점 이하</t>
    <phoneticPr fontId="6" type="noConversion"/>
  </si>
  <si>
    <t>800점 초과~900점 이하</t>
    <phoneticPr fontId="6" type="noConversion"/>
  </si>
  <si>
    <t>700점 초과~800점 이하</t>
    <phoneticPr fontId="6" type="noConversion"/>
  </si>
  <si>
    <t>600점 초과~700점 이하</t>
    <phoneticPr fontId="6" type="noConversion"/>
  </si>
  <si>
    <t>500점 초과~600점 이하</t>
    <phoneticPr fontId="6" type="noConversion"/>
  </si>
  <si>
    <t>400점 초과~500점 이하</t>
    <phoneticPr fontId="6" type="noConversion"/>
  </si>
  <si>
    <t>300점 초과~400점 이하</t>
    <phoneticPr fontId="6" type="noConversion"/>
  </si>
  <si>
    <t>200점 초과~300점 이하</t>
    <phoneticPr fontId="6" type="noConversion"/>
  </si>
  <si>
    <t>100점 초과~200점 이하</t>
    <phoneticPr fontId="6" type="noConversion"/>
  </si>
  <si>
    <t>0점 이상~100점 이하</t>
    <phoneticPr fontId="6" type="noConversion"/>
  </si>
  <si>
    <t>개인
신용평점 
분위별</t>
    <phoneticPr fontId="6" type="noConversion"/>
  </si>
  <si>
    <t>개인
신용평점 
구간별</t>
    <phoneticPr fontId="6" type="noConversion"/>
  </si>
  <si>
    <r>
      <t>10</t>
    </r>
    <r>
      <rPr>
        <sz val="11"/>
        <color rgb="FF000000"/>
        <rFont val="맑은 고딕"/>
        <family val="3"/>
        <charset val="129"/>
      </rPr>
      <t>분위(상위0~10%=상위10%)</t>
    </r>
    <phoneticPr fontId="6" type="noConversion"/>
  </si>
  <si>
    <t>4, 기타에는 실행과 회수와 무관한 평가, 손상 등에 따른 잔액 변동을 기재</t>
    <phoneticPr fontId="6" type="noConversion"/>
  </si>
  <si>
    <t>4, 기타에는 실행과 회수와 무관한 평가, 손상 등에 따른 잔액 변동을 경우 기재</t>
    <phoneticPr fontId="6" type="noConversion"/>
  </si>
  <si>
    <t>(단위 : 개, 건, 백만원)</t>
    <phoneticPr fontId="6" type="noConversion"/>
  </si>
  <si>
    <t>A120</t>
    <phoneticPr fontId="239" type="noConversion"/>
  </si>
  <si>
    <t>B120</t>
    <phoneticPr fontId="6" type="noConversion"/>
  </si>
  <si>
    <t>J120</t>
    <phoneticPr fontId="6" type="noConversion"/>
  </si>
  <si>
    <t>C9</t>
    <phoneticPr fontId="6" type="noConversion"/>
  </si>
  <si>
    <t>난외 파생상품자산 총계</t>
    <phoneticPr fontId="6" type="noConversion"/>
  </si>
  <si>
    <t>N2</t>
    <phoneticPr fontId="254" type="noConversion"/>
  </si>
  <si>
    <t>사채</t>
    <phoneticPr fontId="76" type="noConversion"/>
  </si>
  <si>
    <t>단기차입금</t>
    <phoneticPr fontId="76" type="noConversion"/>
  </si>
  <si>
    <t>장기차입금</t>
    <phoneticPr fontId="76" type="noConversion"/>
  </si>
  <si>
    <t>6. 사채(H), 단기차입금(I), 장기차입금(J), 부채(원화) 소계(L) : 각각의 항목은 업무보고서 AC207상의 사채, 단기차입금 소계, 장기차입금 소계, 부채소계(원화)와 반드시 일치해야 함</t>
    <phoneticPr fontId="6" type="noConversion"/>
  </si>
  <si>
    <t>2026.1.</t>
  </si>
  <si>
    <t>I3</t>
  </si>
  <si>
    <t>I4</t>
  </si>
  <si>
    <t>A21</t>
  </si>
  <si>
    <t>A22</t>
  </si>
  <si>
    <t>B111</t>
  </si>
  <si>
    <t>B112</t>
  </si>
  <si>
    <t>마케팅비용(N1)</t>
  </si>
  <si>
    <t>마케팅비용(N1)</t>
    <phoneticPr fontId="6" type="noConversion"/>
  </si>
  <si>
    <t>신용판매수익(N2)</t>
  </si>
  <si>
    <t>신용판매수익(N2)</t>
    <phoneticPr fontId="6" type="noConversion"/>
  </si>
  <si>
    <t>마케팅비용 지출비율(N=N/L2)</t>
  </si>
  <si>
    <t>마케팅비용 지출비율(N=N/L2)</t>
    <phoneticPr fontId="6" type="noConversion"/>
  </si>
  <si>
    <t>2-1. 자산건전성분류(대차대조표자산) 현황(AC209) ('22. 7. 개정)</t>
    <phoneticPr fontId="6" type="noConversion"/>
  </si>
  <si>
    <t>신용카드약정
(난외계정)</t>
    <phoneticPr fontId="6" type="noConversion"/>
  </si>
  <si>
    <t>P</t>
    <phoneticPr fontId="6" type="noConversion"/>
  </si>
  <si>
    <t>1. 여신전문금융업감독규정 &lt;별표1&gt; 자산건전성분류기준에 의거 작성</t>
    <phoneticPr fontId="6" type="noConversion"/>
  </si>
  <si>
    <t>2. 리스자산중 운용리스자산의 분류는 감가상각누계액을 제외한 금액을 기준으로 분류</t>
    <phoneticPr fontId="6" type="noConversion"/>
  </si>
  <si>
    <t>3. 지급보증 : 대지급이 발생하기 전까지 정상으로 분류하며, 거래처에 대한 지급보증 중 일부만 대지급이 발생한 경우 지급보증잔액은 동 대지급의 분류와 동일하게 처리, 부동산PF 관련 채무보증은 제외</t>
    <phoneticPr fontId="6" type="noConversion"/>
  </si>
  <si>
    <t>4. 기타미수금: 해당채권금액과 관계없는 미수금을 기재</t>
    <phoneticPr fontId="6" type="noConversion"/>
  </si>
  <si>
    <t>5. 각 자산항목별 합계액(D열)은 대차대조표상 해당자산의 잔액과 일치</t>
    <phoneticPr fontId="6" type="noConversion"/>
  </si>
  <si>
    <t xml:space="preserve">   - 다만 유가증권은 시가법 및 지분법 평가대상 유가증권 제외</t>
    <phoneticPr fontId="6" type="noConversion"/>
  </si>
  <si>
    <t>6. 리볼빙자산의 이월잔액은 리볼빙 보고서(AC266)의 리볼빙 이월잔액 기준을 준용</t>
  </si>
  <si>
    <t xml:space="preserve">7. 유가증권 : </t>
    <phoneticPr fontId="6" type="noConversion"/>
  </si>
  <si>
    <t>8. 부동산PF 채무보증 : 부동산프로젝트파이낸싱 관련 채무보증</t>
    <phoneticPr fontId="14" type="noConversion"/>
  </si>
  <si>
    <t xml:space="preserve">    - 채무보증 :  명칭의 여하를 불문하고 타인의 채무이행을 직접 또는 간접으로 보장하기 위하여 행하는 보증·배서·담보제공·채무인수·</t>
    <phoneticPr fontId="6" type="noConversion"/>
  </si>
  <si>
    <t xml:space="preserve">                      추가투자의무·매입보장약정·유동성공급계약·신용파생상품에서의 보장의 매도, 그 밖에 이에 준하는 것(감독규정 제2조)</t>
    <phoneticPr fontId="6" type="noConversion"/>
  </si>
  <si>
    <t>9. 기타 미사용약정 : 여전업감독규정 제11조 제2항 제5호 나목에 따른 미사용약정</t>
    <phoneticPr fontId="6" type="noConversion"/>
  </si>
  <si>
    <t>4. '22.7월부터 확정지급보증 → 지급보증, 기타 미사용약정 항목 신설</t>
    <phoneticPr fontId="6" type="noConversion"/>
  </si>
  <si>
    <t>2-2. 자산건전성분류(유동화자산) 현황(AC210) ('22. 7. 개정)</t>
    <phoneticPr fontId="6" type="noConversion"/>
  </si>
  <si>
    <t>자회사 등 투자지분</t>
    <phoneticPr fontId="6" type="noConversion"/>
  </si>
  <si>
    <t>자산건전성분류(대차대조표자산) 현황</t>
    <phoneticPr fontId="6" type="noConversion"/>
  </si>
  <si>
    <t>자산건전성분류(유동화자산) 현황</t>
    <phoneticPr fontId="6" type="noConversion"/>
  </si>
  <si>
    <t>GA6</t>
  </si>
  <si>
    <t>GA5</t>
  </si>
  <si>
    <t>GA7</t>
  </si>
  <si>
    <t>GA8</t>
  </si>
  <si>
    <t>'자회사 등 투자지분'(GA8)에 기재</t>
    <phoneticPr fontId="6" type="noConversion"/>
  </si>
  <si>
    <t xml:space="preserve">시가법 · 지분법 평가하지 않는 유가증권, 또는 </t>
    <phoneticPr fontId="6" type="noConversion"/>
  </si>
  <si>
    <t xml:space="preserve">당기손익-공정가치측정유가증권,당기손익-공정가치측정지정유가증권,기타포괄손익-공정가치측정유가증권,상각후원가측정 유가증권에 해당하지 않는 유가증권의 경우 </t>
  </si>
  <si>
    <t xml:space="preserve">당기손익-공정가치측정유가증권,당기손익-공정가치측정지정유가증권,기타포괄손익-공정가치측정유가증권,상각후원가측정 유가증권에 해당하지 않는 유가증권의 경우 </t>
    <phoneticPr fontId="6" type="noConversion"/>
  </si>
  <si>
    <t>5. '26년 X월 유가증권 분류 추가</t>
    <phoneticPr fontId="6" type="noConversion"/>
  </si>
  <si>
    <t>6. '26년 X월 유가증권 분류 추가</t>
    <phoneticPr fontId="6" type="noConversion"/>
  </si>
  <si>
    <t>2. '26년 X월 4. 고정이하채권비율, 5. 연체채권 비율의 총채권 정의 작성요령 명확화</t>
    <phoneticPr fontId="6" type="noConversion"/>
  </si>
  <si>
    <t>2. '26.X월 즉시가용유동성자산, 미인출약정한도, 1개월 이내 만기도래 부채 작성기준 명확화</t>
    <phoneticPr fontId="6" type="noConversion"/>
  </si>
  <si>
    <t>2. '26.X월 작성요령 5-1. 수정하여 작성기준 명확화</t>
    <phoneticPr fontId="6" type="noConversion"/>
  </si>
  <si>
    <t>2. 2026년 X월 부터 교환사채(EB) 관련 정보 기재 행 추가</t>
    <phoneticPr fontId="6" type="noConversion"/>
  </si>
  <si>
    <t>2. 2026.X월 기타 변동 사유 추가</t>
    <phoneticPr fontId="6" type="noConversion"/>
  </si>
  <si>
    <t>1. '26.X월 투자재원 분류 조정</t>
    <phoneticPr fontId="6" type="noConversion"/>
  </si>
  <si>
    <t>1. '26.X월 작성요령 3 추가</t>
    <phoneticPr fontId="6" type="noConversion"/>
  </si>
  <si>
    <t>1. '26.X월 기타 변동 사유 추가</t>
    <phoneticPr fontId="6" type="noConversion"/>
  </si>
  <si>
    <r>
      <t xml:space="preserve">1. 2026년 X월 업력 구분 변경 (1년 이하(A), 1년~3년 이하(B), 소계(C) → </t>
    </r>
    <r>
      <rPr>
        <b/>
        <u/>
        <sz val="11"/>
        <color rgb="FFFF0000"/>
        <rFont val="새굴림"/>
        <family val="1"/>
        <charset val="129"/>
      </rPr>
      <t>3년 이하(C)</t>
    </r>
    <r>
      <rPr>
        <sz val="11"/>
        <color rgb="FFFF0000"/>
        <rFont val="새굴림"/>
        <family val="1"/>
        <charset val="129"/>
      </rPr>
      <t xml:space="preserve">  3년~5년(D) 이하, 5년 ~7년 이하(E), 소계(F) →  </t>
    </r>
    <r>
      <rPr>
        <b/>
        <u/>
        <sz val="11"/>
        <color rgb="FFFF0000"/>
        <rFont val="새굴림"/>
        <family val="1"/>
        <charset val="129"/>
      </rPr>
      <t xml:space="preserve">3~7년 이하(F) </t>
    </r>
    <r>
      <rPr>
        <sz val="11"/>
        <color rgb="FFFF0000"/>
        <rFont val="새굴림"/>
        <family val="1"/>
        <charset val="129"/>
      </rPr>
      <t xml:space="preserve"> 7년~14년(G), 14년초과(H), 소계(I) → </t>
    </r>
    <r>
      <rPr>
        <b/>
        <u/>
        <sz val="11"/>
        <color rgb="FFFF0000"/>
        <rFont val="새굴림"/>
        <family val="1"/>
        <charset val="129"/>
      </rPr>
      <t>7년초과(I)</t>
    </r>
    <phoneticPr fontId="6" type="noConversion"/>
  </si>
  <si>
    <t>2. 2026년 X월 당반기 중 변동(회수, 기타) 기재 열 추가</t>
    <phoneticPr fontId="6" type="noConversion"/>
  </si>
  <si>
    <r>
      <t xml:space="preserve">3. 2026년 X월 업력 구분 변경 (1년 이하(A), 1년~3년 이하(B), 소계(C) → </t>
    </r>
    <r>
      <rPr>
        <b/>
        <u/>
        <sz val="11"/>
        <color rgb="FFFF0000"/>
        <rFont val="새굴림"/>
        <family val="1"/>
        <charset val="129"/>
      </rPr>
      <t>3년 이하(C)</t>
    </r>
    <r>
      <rPr>
        <sz val="11"/>
        <color rgb="FFFF0000"/>
        <rFont val="새굴림"/>
        <family val="1"/>
        <charset val="129"/>
      </rPr>
      <t xml:space="preserve">  3년~5년(D) 이하, 5년 ~7년 이하(E), 소계(F) →  </t>
    </r>
    <r>
      <rPr>
        <b/>
        <u/>
        <sz val="11"/>
        <color rgb="FFFF0000"/>
        <rFont val="새굴림"/>
        <family val="1"/>
        <charset val="129"/>
      </rPr>
      <t xml:space="preserve">3~7년 이하(F) </t>
    </r>
    <r>
      <rPr>
        <sz val="11"/>
        <color rgb="FFFF0000"/>
        <rFont val="새굴림"/>
        <family val="1"/>
        <charset val="129"/>
      </rPr>
      <t xml:space="preserve"> 7년~14년(G), 14년초과(H), 소계(I) → </t>
    </r>
    <r>
      <rPr>
        <b/>
        <u/>
        <sz val="11"/>
        <color rgb="FFFF0000"/>
        <rFont val="새굴림"/>
        <family val="1"/>
        <charset val="129"/>
      </rPr>
      <t>7년초과(I)</t>
    </r>
    <phoneticPr fontId="6" type="noConversion"/>
  </si>
  <si>
    <t>4. 2026년 X월 당반기 중 변동(회수, 기타) 기재 열 추가</t>
    <phoneticPr fontId="6" type="noConversion"/>
  </si>
  <si>
    <t>2. '26년 X월 취급 건수 기재 열 신설</t>
    <phoneticPr fontId="6" type="noConversion"/>
  </si>
  <si>
    <t>1. '26년 X월 회원 등급 구분 기준을 자사에서 적용하고 있는 종합등급을 다음 외부평가기관 점수 기준으로 변경</t>
    <phoneticPr fontId="6" type="noConversion"/>
  </si>
  <si>
    <t>1. '26년 X월 작성요령 3. 수정</t>
    <phoneticPr fontId="6" type="noConversion"/>
  </si>
  <si>
    <t>1. '26년 X월 임직원 분류에 성별 추가</t>
    <phoneticPr fontId="6" type="noConversion"/>
  </si>
  <si>
    <t>2. '26년 X월 부터 홈페이지 주소 기재</t>
    <phoneticPr fontId="6" type="noConversion"/>
  </si>
  <si>
    <r>
      <t>2. '</t>
    </r>
    <r>
      <rPr>
        <b/>
        <sz val="11"/>
        <color rgb="FFFF0000"/>
        <rFont val="새굴림"/>
        <family val="1"/>
        <charset val="129"/>
      </rPr>
      <t>26년 X월</t>
    </r>
    <r>
      <rPr>
        <sz val="11"/>
        <color rgb="FFFF0000"/>
        <rFont val="새굴림"/>
        <family val="1"/>
        <charset val="129"/>
      </rPr>
      <t xml:space="preserve"> 개인 중금리 대출 관련 작성 요령 명확화</t>
    </r>
    <phoneticPr fontId="6" type="noConversion"/>
  </si>
  <si>
    <t xml:space="preserve"> 3. '26년 X월 상세 구분항목 명칭 및 구성, 코드 수정</t>
    <phoneticPr fontId="6" type="noConversion"/>
  </si>
  <si>
    <t>6. 개인 중금리 신용대출(f')은 신용카드업자의 부대업무채권(e)에 해당하는 카드론 등은 제외</t>
    <phoneticPr fontId="6" type="noConversion"/>
  </si>
  <si>
    <r>
      <t xml:space="preserve">3. </t>
    </r>
    <r>
      <rPr>
        <b/>
        <sz val="11"/>
        <color rgb="FFFF0000"/>
        <rFont val="새굴림"/>
        <family val="1"/>
        <charset val="129"/>
      </rPr>
      <t>투자금액의 합계(F행)</t>
    </r>
    <r>
      <rPr>
        <sz val="11"/>
        <color rgb="FFFF0000"/>
        <rFont val="새굴림"/>
        <family val="1"/>
        <charset val="129"/>
      </rPr>
      <t>의 A1, B1, C1,열은 '9-1. 투자 및 융자현황(AC285)'의 회사분</t>
    </r>
    <r>
      <rPr>
        <sz val="11"/>
        <color rgb="FFFF0000"/>
        <rFont val="돋움"/>
        <family val="3"/>
        <charset val="129"/>
      </rPr>
      <t>·신기술사업 투자조합분·기타조합분의 합계(A행·B행·J행)의</t>
    </r>
    <r>
      <rPr>
        <b/>
        <sz val="11"/>
        <color rgb="FFFF0000"/>
        <rFont val="돋움"/>
        <family val="3"/>
        <charset val="129"/>
      </rPr>
      <t xml:space="preserve"> 당분기중 회수금액(C열</t>
    </r>
    <r>
      <rPr>
        <sz val="11"/>
        <color rgb="FFFF0000"/>
        <rFont val="돋움"/>
        <family val="3"/>
        <charset val="129"/>
      </rPr>
      <t>)을 기준으로 작성</t>
    </r>
    <phoneticPr fontId="6" type="noConversion"/>
  </si>
  <si>
    <t>v</t>
    <phoneticPr fontId="6" type="noConversion"/>
  </si>
  <si>
    <t>2018.11.</t>
    <phoneticPr fontId="6" type="noConversion"/>
  </si>
  <si>
    <t>2022.1.</t>
  </si>
  <si>
    <t>2022.1.</t>
    <phoneticPr fontId="6" type="noConversion"/>
  </si>
  <si>
    <t>2023.7.</t>
  </si>
  <si>
    <t>2023.7.</t>
    <phoneticPr fontId="6" type="noConversion"/>
  </si>
  <si>
    <t>2026.5.</t>
    <phoneticPr fontId="6" type="noConversion"/>
  </si>
  <si>
    <t>최근개정년월</t>
    <phoneticPr fontId="6" type="noConversion"/>
  </si>
  <si>
    <t>2010.12.</t>
  </si>
  <si>
    <t>2010.12.</t>
    <phoneticPr fontId="6" type="noConversion"/>
  </si>
  <si>
    <t>2023.5.</t>
  </si>
  <si>
    <t>2023.5.</t>
    <phoneticPr fontId="6" type="noConversion"/>
  </si>
  <si>
    <t>2024.1.</t>
  </si>
  <si>
    <t>2024.1.</t>
    <phoneticPr fontId="6" type="noConversion"/>
  </si>
  <si>
    <t>2005.12.</t>
  </si>
  <si>
    <t>2005.12.</t>
    <phoneticPr fontId="6" type="noConversion"/>
  </si>
  <si>
    <t>2022.9.</t>
    <phoneticPr fontId="6" type="noConversion"/>
  </si>
  <si>
    <t>2023.6.</t>
    <phoneticPr fontId="6" type="noConversion"/>
  </si>
  <si>
    <t>2018.12.</t>
    <phoneticPr fontId="6" type="noConversion"/>
  </si>
  <si>
    <t>2006.12.</t>
    <phoneticPr fontId="6" type="noConversion"/>
  </si>
  <si>
    <t>2021.3.</t>
    <phoneticPr fontId="6" type="noConversion"/>
  </si>
  <si>
    <t>2017.9.</t>
    <phoneticPr fontId="6" type="noConversion"/>
  </si>
  <si>
    <t>2019.3.</t>
    <phoneticPr fontId="6" type="noConversion"/>
  </si>
  <si>
    <t>1-18. 금리유형별 자산부채 현황 (AC437) ('26. 5. . 신설)</t>
    <phoneticPr fontId="6" type="noConversion"/>
  </si>
  <si>
    <t>AC437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</si>
</sst>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4">
    <numFmt numFmtId="24" formatCode="\$#,##0_);[Red]\(\$#,##0\)"/>
    <numFmt numFmtId="176" formatCode="_(&quot;₩&quot;* #,##0_);_(&quot;₩&quot;* \(#,##0\);_(&quot;₩&quot;* &quot;-&quot;_);_(@_)"/>
    <numFmt numFmtId="177" formatCode="_(* #,##0_);_(* \(#,##0\);_(* &quot;-&quot;_);_(@_)"/>
    <numFmt numFmtId="178" formatCode="_(&quot;₩&quot;* #,##0.00_);_(&quot;₩&quot;* \(#,##0.00\);_(&quot;₩&quot;* &quot;-&quot;??_);_(@_)"/>
    <numFmt numFmtId="179" formatCode="_(* #,##0.00_);_(* \(#,##0.00\);_(* &quot;-&quot;??_);_(@_)"/>
    <numFmt numFmtId="180" formatCode="#,##0_ "/>
    <numFmt numFmtId="181" formatCode="0.0%"/>
    <numFmt numFmtId="182" formatCode="0_ "/>
    <numFmt numFmtId="183" formatCode="#,##0&quot;台&quot;"/>
    <numFmt numFmtId="184" formatCode="_ &quot;₩&quot;* #,##0_ ;_ &quot;₩&quot;* &quot;₩&quot;\!\-#,##0_ ;_ &quot;₩&quot;* &quot;-&quot;_ ;_ @_ "/>
    <numFmt numFmtId="185" formatCode="#."/>
    <numFmt numFmtId="186" formatCode="_ &quot;₩&quot;* #,##0_ ;_ &quot;₩&quot;* \-#,##0_ ;_ &quot;₩&quot;* &quot;-&quot;_ ;_ @_ "/>
    <numFmt numFmtId="187" formatCode="_ &quot;₩&quot;* #,##0_ ;_ &quot;₩&quot;* &quot;₩&quot;&quot;₩&quot;&quot;₩&quot;&quot;₩&quot;&quot;₩&quot;&quot;₩&quot;&quot;₩&quot;\-#,##0_ ;_ &quot;₩&quot;* &quot;-&quot;_ ;_ @_ "/>
    <numFmt numFmtId="188" formatCode="_ &quot;$&quot;* #,##0_ ;_ &quot;$&quot;* \-#,##0_ ;_ &quot;$&quot;* &quot;-&quot;_ ;_ @_ "/>
    <numFmt numFmtId="189" formatCode="&quot;₩&quot;#,##0;[Red]&quot;₩&quot;&quot;-&quot;#,##0"/>
    <numFmt numFmtId="190" formatCode="&quot;₩&quot;#,##0.00;[Red]&quot;₩&quot;\-#,##0.00"/>
    <numFmt numFmtId="191" formatCode="_(&quot;$&quot;* #,##0_);_(&quot;$&quot;* \(#,##0\);_(&quot;$&quot;* &quot;-&quot;_);_(@_)"/>
    <numFmt numFmtId="192" formatCode="&quot;$&quot;#,##0_);[Red]\(&quot;$&quot;#,##0\)"/>
    <numFmt numFmtId="193" formatCode="_ &quot;₩&quot;* #,##0.00_ ;_ &quot;₩&quot;* \-#,##0.00_ ;_ &quot;₩&quot;* &quot;-&quot;??_ ;_ @_ "/>
    <numFmt numFmtId="194" formatCode="_ &quot;₩&quot;* #,##0.00_ ;_ &quot;₩&quot;* &quot;₩&quot;&quot;₩&quot;&quot;₩&quot;&quot;₩&quot;&quot;₩&quot;&quot;₩&quot;&quot;₩&quot;\-#,##0.00_ ;_ &quot;₩&quot;* &quot;-&quot;??_ ;_ @_ "/>
    <numFmt numFmtId="195" formatCode="_ &quot;$&quot;* #,##0.00_ ;_ &quot;$&quot;* \-#,##0.00_ ;_ &quot;$&quot;* &quot;-&quot;??_ ;_ @_ "/>
    <numFmt numFmtId="196" formatCode="&quot;₩&quot;#,##0;[Red]&quot;₩&quot;\-#,##0"/>
    <numFmt numFmtId="197" formatCode="_(&quot;$&quot;* #,##0.00_);_(&quot;$&quot;* \(#,##0.00\);_(&quot;$&quot;* &quot;-&quot;??_);_(@_)"/>
    <numFmt numFmtId="198" formatCode="&quot;$&quot;#,##0.00_);[Red]\(&quot;$&quot;#,##0.00\)"/>
    <numFmt numFmtId="199" formatCode="_ * #,##0_ ;_ * \-#,##0_ ;_ * &quot;-&quot;_ ;_ @_ "/>
    <numFmt numFmtId="200" formatCode="#,##0;[Red]&quot;-&quot;#,##0"/>
    <numFmt numFmtId="201" formatCode="_ * #,##0.00_ ;_ * \-#,##0.00_ ;_ * &quot;-&quot;??_ ;_ @_ "/>
    <numFmt numFmtId="202" formatCode="_ * #,##0.00_ ;_ * &quot;₩&quot;&quot;₩&quot;&quot;₩&quot;&quot;₩&quot;&quot;₩&quot;&quot;₩&quot;&quot;₩&quot;\-#,##0.00_ ;_ * &quot;-&quot;??_ ;_ @_ "/>
    <numFmt numFmtId="203" formatCode="#,##0.00;[Red]&quot;-&quot;#,##0.00"/>
    <numFmt numFmtId="204" formatCode="#,##0.0_ "/>
    <numFmt numFmtId="205" formatCode="_-* #,##0.000_-;\-* #,##0.000_-;_-* &quot;-&quot;_-;_-@_-"/>
    <numFmt numFmtId="206" formatCode="General_)"/>
    <numFmt numFmtId="207" formatCode="0.0000000%"/>
    <numFmt numFmtId="208" formatCode="mmm\.yy"/>
    <numFmt numFmtId="209" formatCode="0.000%"/>
    <numFmt numFmtId="210" formatCode="&quot;₩&quot;#,##0;[Red]&quot;₩&quot;&quot;₩&quot;\-#,##0"/>
    <numFmt numFmtId="211" formatCode="_ * #,##0_ ;_ * &quot;₩&quot;\-#,##0_ ;_ * &quot;-&quot;_ ;_ @_ "/>
    <numFmt numFmtId="212" formatCode="_ &quot;₩&quot;* #,##0.00_ ;_ &quot;₩&quot;* &quot;₩&quot;\-#,##0.00_ ;_ &quot;₩&quot;* &quot;-&quot;??_ ;_ @_ "/>
    <numFmt numFmtId="213" formatCode="_-[$€-2]* #,##0.00_-;\-[$€-2]* #,##0.00_-;_-[$€-2]* &quot;-&quot;??_-"/>
    <numFmt numFmtId="214" formatCode="&quot;₩&quot;#,##0.00;&quot;₩&quot;&quot;₩&quot;\-#,##0.00"/>
    <numFmt numFmtId="215" formatCode="_ &quot;₩&quot;* #,##0_ ;_ &quot;₩&quot;* &quot;₩&quot;\-#,##0_ ;_ &quot;₩&quot;* &quot;-&quot;_ ;_ @_ "/>
    <numFmt numFmtId="216" formatCode="0.0000%"/>
    <numFmt numFmtId="217" formatCode="0.00000%"/>
    <numFmt numFmtId="218" formatCode="0_);\(0\)"/>
    <numFmt numFmtId="219" formatCode="&quot;₩&quot;#,##0.00;[Red]&quot;₩&quot;&quot;₩&quot;\-#,##0.00"/>
    <numFmt numFmtId="220" formatCode="_ * #,##0.00_ ;_ * \-#,##0.00_ ;_ * &quot;-&quot;_ ;_ @_ "/>
    <numFmt numFmtId="221" formatCode="0.000000%"/>
    <numFmt numFmtId="222" formatCode="\(0.0%\)"/>
    <numFmt numFmtId="223" formatCode="&quot;₩&quot;#,##0.00;&quot;₩&quot;&quot;₩&quot;&quot;₩&quot;&quot;₩&quot;&quot;₩&quot;\!\-#,##0.00"/>
    <numFmt numFmtId="224" formatCode="&quot;₩&quot;#,##0_);&quot;₩&quot;&quot;₩&quot;\(&quot;₩&quot;#,##0&quot;₩&quot;&quot;₩&quot;\)"/>
    <numFmt numFmtId="225" formatCode="#,##0;&quot;△&quot;#,##0"/>
    <numFmt numFmtId="226" formatCode="_(&quot;$&quot;* #,##0_);_(&quot;$&quot;* &quot;₩&quot;&quot;₩&quot;&quot;₩&quot;&quot;₩&quot;&quot;₩&quot;&quot;₩&quot;\(#,##0&quot;₩&quot;&quot;₩&quot;&quot;₩&quot;&quot;₩&quot;&quot;₩&quot;&quot;₩&quot;\);_(&quot;$&quot;* &quot;-&quot;_);_(@_)"/>
    <numFmt numFmtId="227" formatCode="&quot;₩&quot;#,##0.00;&quot;₩&quot;\-#,##0.00"/>
    <numFmt numFmtId="228" formatCode="#,##0;&quot;-&quot;#,##0"/>
    <numFmt numFmtId="229" formatCode="&quot; ￦&quot;#,##0_);&quot;(￦&quot;#,##0\);&quot; ￦&quot;\-_)"/>
    <numFmt numFmtId="230" formatCode="#,##0;[Red]\-#,##0;\-"/>
    <numFmt numFmtId="231" formatCode="yyyy&quot;/&quot;m&quot;/&quot;d"/>
    <numFmt numFmtId="232" formatCode="\(0\)"/>
    <numFmt numFmtId="233" formatCode="\(0.0\)"/>
    <numFmt numFmtId="234" formatCode="\(0.00\)"/>
    <numFmt numFmtId="235" formatCode="\(\-0.0\)"/>
    <numFmt numFmtId="236" formatCode="\(\-\-0.0\)"/>
    <numFmt numFmtId="237" formatCode="\(#,##0\)"/>
    <numFmt numFmtId="238" formatCode="yy&quot;-&quot;m&quot;-&quot;d"/>
    <numFmt numFmtId="239" formatCode="\(0%\)"/>
    <numFmt numFmtId="240" formatCode="#,##0.000"/>
    <numFmt numFmtId="241" formatCode="\(0.0%\);[Red]\(\-0.0%\)"/>
    <numFmt numFmtId="242" formatCode=".\-############################################;###################################"/>
    <numFmt numFmtId="243" formatCode="#,##0.000;[Red]\-#,##0.000"/>
    <numFmt numFmtId="244" formatCode="&quot;₩&quot;#,##0;&quot;₩&quot;&quot;₩&quot;\-#,##0"/>
    <numFmt numFmtId="245" formatCode="_ * #,##0.00_ ;_ * &quot;₩&quot;\-#,##0.00_ ;_ * &quot;-&quot;??_ ;_ @_ "/>
    <numFmt numFmtId="246" formatCode="&quot;₩&quot;#,##0;&quot;₩&quot;&quot;₩&quot;&quot;₩&quot;\-#,##0"/>
    <numFmt numFmtId="247" formatCode="&quot;₩&quot;#,##0;[Red]&quot;₩&quot;&quot;₩&quot;&quot;₩&quot;\-#,##0"/>
    <numFmt numFmtId="248" formatCode="&quot;₩&quot;#,##0.00;&quot;₩&quot;&quot;₩&quot;&quot;₩&quot;\-#,##0.00"/>
    <numFmt numFmtId="249" formatCode="&quot;₩&quot;#,##0.00;[Red]&quot;₩&quot;&quot;₩&quot;&quot;₩&quot;\-#,##0.00"/>
    <numFmt numFmtId="250" formatCode="_ &quot;₩&quot;* #,##0_ ;_ &quot;₩&quot;* &quot;₩&quot;&quot;₩&quot;\-#,##0_ ;_ &quot;₩&quot;* &quot;-&quot;_ ;_ @_ "/>
    <numFmt numFmtId="251" formatCode="_ * #,##0_ ;_ * &quot;₩&quot;&quot;₩&quot;\-#,##0_ ;_ * &quot;-&quot;_ ;_ @_ "/>
    <numFmt numFmtId="252" formatCode="&quot;£&quot;\ #,##0_);[Red]\(&quot;£&quot;\ #,##0\)"/>
    <numFmt numFmtId="253" formatCode="&quot;¥&quot;\ #,##0_);[Red]\(&quot;¥&quot;\ #,##0\)"/>
    <numFmt numFmtId="254" formatCode="&quot;•&quot;\ \ @"/>
    <numFmt numFmtId="255" formatCode="0.000"/>
    <numFmt numFmtId="256" formatCode="yy&quot;年&quot;\ m&quot;月&quot;\ d&quot;日&quot;"/>
    <numFmt numFmtId="257" formatCode="d\.mmm"/>
    <numFmt numFmtId="258" formatCode="0.00000000"/>
    <numFmt numFmtId="259" formatCode="#,##0_%_);\(#,##0\)_%;#,##0_%_);@_%_)"/>
    <numFmt numFmtId="260" formatCode="#,##0.00_%_);\(#,##0.00\)_%;#,##0.00_%_);@_%_)"/>
    <numFmt numFmtId="261" formatCode="_ &quot;₩&quot;* #,##0_ ;_ &quot;₩&quot;* &quot;₩&quot;&quot;₩&quot;&quot;₩&quot;&quot;₩&quot;&quot;₩&quot;&quot;₩&quot;&quot;₩&quot;&quot;₩&quot;\-#,##0_ ;_ &quot;₩&quot;* &quot;-&quot;_ ;_ @_ "/>
    <numFmt numFmtId="262" formatCode="&quot;$&quot;#,##0_%_);\(&quot;$&quot;#,##0\)_%;&quot;$&quot;#,##0_%_);@_%_)"/>
    <numFmt numFmtId="263" formatCode="&quot;$&quot;#,##0.00_%_);\(&quot;$&quot;#,##0.00\)_%;&quot;$&quot;#,##0.00_%_);@_%_)"/>
    <numFmt numFmtId="264" formatCode="&quot;₩&quot;#,##0;&quot;₩&quot;&quot;₩&quot;&quot;₩&quot;&quot;₩&quot;\-#,##0"/>
    <numFmt numFmtId="265" formatCode="\ \ _•&quot;–&quot;\ \ \ \ @"/>
    <numFmt numFmtId="266" formatCode="m/d/yy_%_)"/>
    <numFmt numFmtId="267" formatCode="#,###&quot;&quot;"/>
    <numFmt numFmtId="268" formatCode="* #,##0_%;* \-#,##0_%;* #,##0_%;@_%"/>
    <numFmt numFmtId="269" formatCode="0_%_);\(0\)_%;0_%_);@_%_)"/>
    <numFmt numFmtId="270" formatCode="_-* #,##0_-;\-* #,##0_-;_-* \-_-;_-@_-"/>
    <numFmt numFmtId="271" formatCode="0.0\%_);\(0.0\%\);0.0\%_);@_%_)"/>
    <numFmt numFmtId="272" formatCode="#,##0.00\ &quot;FB&quot;;[Red]\-#,##0.00\ &quot;FB&quot;"/>
    <numFmt numFmtId="273" formatCode="#,##0;[Red]&quot;△&quot;#,##0"/>
    <numFmt numFmtId="274" formatCode="#,##0;\(#,##0\)"/>
    <numFmt numFmtId="275" formatCode="\ \ \ #,###"/>
    <numFmt numFmtId="276" formatCode="\$#,##0.00;[Red]\$#,##0.00;&quot; &quot;"/>
    <numFmt numFmtId="277" formatCode="#,##0.0_);[Red]\(#,##0.0\)"/>
    <numFmt numFmtId="278" formatCode="0.0\x_)_);&quot;NM&quot;_x_)_);0.0\x_)_);@_%_)"/>
    <numFmt numFmtId="279" formatCode="#,##0.0_x_)_);&quot;NM&quot;_x_)_);#,##0.0_x_)_);@_x_)_)"/>
    <numFmt numFmtId="280" formatCode="0.00_)"/>
    <numFmt numFmtId="281" formatCode="&quot;SFr.&quot;#,##0;[Red]&quot;SFr.&quot;\-#,##0"/>
    <numFmt numFmtId="282" formatCode="&quot;= &quot;#,##0&quot; &quot;"/>
    <numFmt numFmtId="283" formatCode="&quot;$&quot;#,##0_);\(&quot;$&quot;#,##0\)"/>
    <numFmt numFmtId="284" formatCode="#,##0&quot;£&quot;_);[Red]\(#,##0&quot;£&quot;\)"/>
    <numFmt numFmtId="285" formatCode="#,##0.0_);\(#,##0.0\)"/>
    <numFmt numFmtId="286" formatCode="_(* #,##0.0,_);_(* \(#,##0.0,\);_(* &quot;-&quot;_);_(@_)"/>
    <numFmt numFmtId="287" formatCode="#,##0&quot;포&quot;"/>
    <numFmt numFmtId="288" formatCode="#,##0_);\(#,##0\)"/>
    <numFmt numFmtId="289" formatCode="mm&quot;/&quot;dd&quot;/&quot;yy"/>
    <numFmt numFmtId="290" formatCode="#,##0&quot;Vial&quot;"/>
    <numFmt numFmtId="291" formatCode="000000"/>
    <numFmt numFmtId="292" formatCode="0.0,,,"/>
    <numFmt numFmtId="293" formatCode="#,##0&quot;㎖&quot;"/>
    <numFmt numFmtId="294" formatCode="#,##0&quot;앰플&quot;"/>
    <numFmt numFmtId="295" formatCode="#,##0&quot;g&quot;"/>
    <numFmt numFmtId="296" formatCode="&quot;PG1130&quot;@&quot;01&quot;"/>
    <numFmt numFmtId="297" formatCode="&quot;₩&quot;#,##0;[Red]&quot;₩&quot;\!\-&quot;₩&quot;#,##0"/>
    <numFmt numFmtId="298" formatCode="#0&quot;일&quot;"/>
    <numFmt numFmtId="299" formatCode="#,##0&quot;정&quot;"/>
    <numFmt numFmtId="300" formatCode="#,##0&quot;매&quot;"/>
    <numFmt numFmtId="301" formatCode="&quot;#&quot;##0"/>
    <numFmt numFmtId="302" formatCode="[Blue]#,##0.00;[Red]\-#,##0.00"/>
    <numFmt numFmtId="303" formatCode="#,##0&quot;캅셀&quot;"/>
    <numFmt numFmtId="304" formatCode="#,##0\ "/>
    <numFmt numFmtId="305" formatCode="#,##0.0\ "/>
    <numFmt numFmtId="306" formatCode="\ \ \ \ \ @"/>
    <numFmt numFmtId="307" formatCode="_-&quot;$&quot;* #,##0_-;\-&quot;$&quot;* #,##0_-;_-&quot;$&quot;* &quot;-&quot;_-;_-@_-"/>
    <numFmt numFmtId="308" formatCode="_-&quot;$&quot;* #,##0.00_-;\-&quot;$&quot;* #,##0.00_-;_-&quot;$&quot;* &quot;-&quot;??_-;_-@_-"/>
  </numFmts>
  <fonts count="275">
    <font>
      <sz val="11"/>
      <name val="돋움"/>
      <family val="3"/>
      <charset val="129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1"/>
      <name val="Arial"/>
      <family val="2"/>
    </font>
    <font>
      <sz val="10"/>
      <name val="Arial"/>
      <family val="2"/>
    </font>
    <font>
      <sz val="12"/>
      <name val="돋움"/>
      <family val="3"/>
      <charset val="129"/>
    </font>
    <font>
      <sz val="12"/>
      <name val="Arial"/>
      <family val="2"/>
    </font>
    <font>
      <sz val="11"/>
      <name val="새굴림"/>
      <family val="1"/>
      <charset val="129"/>
    </font>
    <font>
      <sz val="10"/>
      <name val="새굴림"/>
      <family val="1"/>
      <charset val="129"/>
    </font>
    <font>
      <sz val="9"/>
      <name val="새굴림"/>
      <family val="1"/>
      <charset val="129"/>
    </font>
    <font>
      <sz val="8"/>
      <name val="맑은 고딕"/>
      <family val="3"/>
      <charset val="129"/>
    </font>
    <font>
      <sz val="16"/>
      <name val="새굴림"/>
      <family val="1"/>
      <charset val="129"/>
    </font>
    <font>
      <sz val="10"/>
      <name val="돋움"/>
      <family val="3"/>
      <charset val="129"/>
    </font>
    <font>
      <sz val="10"/>
      <name val="굴림체"/>
      <family val="3"/>
      <charset val="129"/>
    </font>
    <font>
      <sz val="10"/>
      <name val="맑은 고딕"/>
      <family val="3"/>
      <charset val="129"/>
    </font>
    <font>
      <sz val="11"/>
      <color indexed="8"/>
      <name val="맑은 고딕"/>
      <family val="3"/>
      <charset val="129"/>
    </font>
    <font>
      <sz val="10"/>
      <name val="굴림"/>
      <family val="3"/>
      <charset val="129"/>
    </font>
    <font>
      <sz val="9"/>
      <name val="굴림"/>
      <family val="3"/>
      <charset val="129"/>
    </font>
    <font>
      <sz val="12"/>
      <name val="¹UAAA¼"/>
      <family val="1"/>
      <charset val="129"/>
    </font>
    <font>
      <b/>
      <sz val="10"/>
      <name val="MS Sans Serif"/>
      <family val="2"/>
    </font>
    <font>
      <sz val="10"/>
      <name val="MS Sans Serif"/>
      <family val="2"/>
    </font>
    <font>
      <sz val="12"/>
      <name val="바탕체"/>
      <family val="1"/>
      <charset val="129"/>
    </font>
    <font>
      <sz val="11"/>
      <name val="돋?o"/>
      <family val="3"/>
      <charset val="129"/>
    </font>
    <font>
      <sz val="10"/>
      <name val="Helv"/>
      <family val="2"/>
    </font>
    <font>
      <sz val="1"/>
      <color indexed="18"/>
      <name val="Courier"/>
      <family val="3"/>
    </font>
    <font>
      <sz val="10"/>
      <name val="바탕체"/>
      <family val="1"/>
      <charset val="129"/>
    </font>
    <font>
      <sz val="12"/>
      <name val="굴림체"/>
      <family val="3"/>
      <charset val="129"/>
    </font>
    <font>
      <sz val="12"/>
      <name val="¹ÙÅÁÃ¼"/>
      <family val="1"/>
      <charset val="129"/>
    </font>
    <font>
      <sz val="10"/>
      <name val="Geneva"/>
      <family val="2"/>
    </font>
    <font>
      <sz val="12"/>
      <name val="±¼¸²A¼"/>
      <family val="3"/>
      <charset val="129"/>
    </font>
    <font>
      <sz val="11"/>
      <name val="±¼¸²Ã¼"/>
      <family val="3"/>
      <charset val="129"/>
    </font>
    <font>
      <sz val="11"/>
      <name val="±¼¸²A¼"/>
      <family val="3"/>
      <charset val="129"/>
    </font>
    <font>
      <sz val="11"/>
      <name val="µ¸¿ò"/>
      <family val="3"/>
      <charset val="129"/>
    </font>
    <font>
      <sz val="12"/>
      <name val="±¼¸²Ã¼"/>
      <family val="3"/>
      <charset val="129"/>
    </font>
    <font>
      <b/>
      <sz val="10"/>
      <name val="Helv"/>
      <family val="2"/>
    </font>
    <font>
      <sz val="1"/>
      <color indexed="8"/>
      <name val="Courier"/>
      <family val="3"/>
    </font>
    <font>
      <sz val="11"/>
      <name val="돋움체"/>
      <family val="3"/>
      <charset val="129"/>
    </font>
    <font>
      <u val="doubleAccounting"/>
      <sz val="10"/>
      <name val="Arial"/>
      <family val="2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0"/>
      <name val="Arial"/>
      <family val="2"/>
    </font>
    <font>
      <b/>
      <i/>
      <sz val="22"/>
      <name val="Times New Roman"/>
      <family val="1"/>
    </font>
    <font>
      <b/>
      <sz val="16"/>
      <name val="Times New Roman"/>
      <family val="1"/>
    </font>
    <font>
      <sz val="10"/>
      <color indexed="12"/>
      <name val="Arial"/>
      <family val="2"/>
    </font>
    <font>
      <b/>
      <sz val="14"/>
      <color indexed="24"/>
      <name val="Book Antiqua"/>
      <family val="1"/>
    </font>
    <font>
      <b/>
      <sz val="11"/>
      <name val="Helv"/>
      <family val="2"/>
    </font>
    <font>
      <sz val="7"/>
      <name val="Small Fonts"/>
      <family val="2"/>
    </font>
    <font>
      <sz val="12"/>
      <name val="Helv"/>
      <family val="2"/>
    </font>
    <font>
      <sz val="11"/>
      <color indexed="8"/>
      <name val="Times New Roman"/>
      <family val="1"/>
    </font>
    <font>
      <b/>
      <i/>
      <sz val="11"/>
      <color indexed="8"/>
      <name val="Times New Roman"/>
      <family val="1"/>
    </font>
    <font>
      <b/>
      <sz val="11"/>
      <color indexed="16"/>
      <name val="Times New Roman"/>
      <family val="1"/>
    </font>
    <font>
      <b/>
      <sz val="22"/>
      <color indexed="8"/>
      <name val="Times New Roman"/>
      <family val="1"/>
    </font>
    <font>
      <i/>
      <sz val="14"/>
      <name val="Times New Roman"/>
      <family val="1"/>
    </font>
    <font>
      <b/>
      <sz val="22"/>
      <name val="Book Antiqua"/>
      <family val="1"/>
    </font>
    <font>
      <u val="singleAccounting"/>
      <sz val="10"/>
      <name val="Arial"/>
      <family val="2"/>
    </font>
    <font>
      <b/>
      <sz val="10"/>
      <color indexed="10"/>
      <name val="Arial"/>
      <family val="2"/>
    </font>
    <font>
      <sz val="10"/>
      <name val="Times New Roman"/>
      <family val="1"/>
    </font>
    <font>
      <sz val="12"/>
      <name val="Times New Roman"/>
      <family val="1"/>
    </font>
    <font>
      <sz val="10"/>
      <color indexed="10"/>
      <name val="굴림"/>
      <family val="3"/>
      <charset val="129"/>
    </font>
    <font>
      <b/>
      <sz val="1"/>
      <color indexed="8"/>
      <name val="Courier"/>
      <family val="3"/>
    </font>
    <font>
      <sz val="10"/>
      <name val="PragmaticaCTT"/>
      <family val="1"/>
    </font>
    <font>
      <u/>
      <sz val="11"/>
      <color indexed="36"/>
      <name val="돋움"/>
      <family val="3"/>
      <charset val="129"/>
    </font>
    <font>
      <sz val="10"/>
      <name val="명조"/>
      <family val="3"/>
      <charset val="129"/>
    </font>
    <font>
      <sz val="10"/>
      <name val="궁서(English)"/>
      <family val="3"/>
      <charset val="129"/>
    </font>
    <font>
      <sz val="11"/>
      <name val="바탕"/>
      <family val="1"/>
      <charset val="129"/>
    </font>
    <font>
      <sz val="10"/>
      <color indexed="24"/>
      <name val="MS Sans Serif"/>
      <family val="2"/>
    </font>
    <font>
      <sz val="11"/>
      <name val="ＭＳ Ｐゴシック"/>
      <family val="2"/>
      <charset val="129"/>
    </font>
    <font>
      <b/>
      <sz val="12"/>
      <name val="굴림체"/>
      <family val="3"/>
      <charset val="129"/>
    </font>
    <font>
      <u/>
      <sz val="10"/>
      <color indexed="12"/>
      <name val="굴림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name val="굴림체"/>
      <family val="3"/>
      <charset val="129"/>
    </font>
    <font>
      <sz val="8"/>
      <name val="맑은 고딕"/>
      <family val="2"/>
      <charset val="129"/>
      <scheme val="minor"/>
    </font>
    <font>
      <sz val="13"/>
      <name val="바탕체"/>
      <family val="1"/>
      <charset val="129"/>
    </font>
    <font>
      <u/>
      <sz val="18"/>
      <name val="새굴림"/>
      <family val="1"/>
      <charset val="129"/>
    </font>
    <font>
      <sz val="8"/>
      <name val="굴림체"/>
      <family val="3"/>
      <charset val="129"/>
    </font>
    <font>
      <sz val="10"/>
      <color rgb="FFFF0000"/>
      <name val="새굴림"/>
      <family val="1"/>
      <charset val="129"/>
    </font>
    <font>
      <sz val="11"/>
      <color rgb="FFFF0000"/>
      <name val="새굴림"/>
      <family val="1"/>
      <charset val="129"/>
    </font>
    <font>
      <sz val="11"/>
      <color theme="1"/>
      <name val="맑은 고딕"/>
      <family val="3"/>
      <charset val="129"/>
    </font>
    <font>
      <sz val="14"/>
      <name val="굴림체"/>
      <family val="3"/>
      <charset val="129"/>
    </font>
    <font>
      <sz val="12"/>
      <color indexed="8"/>
      <name val="바탕체"/>
      <family val="1"/>
      <charset val="129"/>
    </font>
    <font>
      <i/>
      <sz val="12"/>
      <name val="바탕체"/>
      <family val="1"/>
      <charset val="129"/>
    </font>
    <font>
      <sz val="12"/>
      <name val="??????"/>
      <family val="1"/>
    </font>
    <font>
      <u/>
      <sz val="8.4"/>
      <color indexed="12"/>
      <name val="Arial"/>
      <family val="2"/>
    </font>
    <font>
      <sz val="8"/>
      <name val="???"/>
      <family val="1"/>
    </font>
    <font>
      <sz val="10"/>
      <color indexed="8"/>
      <name val="Arial"/>
      <family val="2"/>
    </font>
    <font>
      <sz val="11"/>
      <name val="￥i￠￢￠?o"/>
      <family val="3"/>
      <charset val="129"/>
    </font>
    <font>
      <sz val="12"/>
      <name val="System"/>
      <family val="2"/>
      <charset val="129"/>
    </font>
    <font>
      <sz val="10"/>
      <name val="Arial Narrow"/>
      <family val="2"/>
    </font>
    <font>
      <sz val="11"/>
      <color indexed="8"/>
      <name val="돋움"/>
      <family val="3"/>
      <charset val="129"/>
    </font>
    <font>
      <sz val="10"/>
      <color indexed="9"/>
      <name val="Arial"/>
      <family val="2"/>
    </font>
    <font>
      <i/>
      <sz val="10"/>
      <color indexed="13"/>
      <name val="Arial"/>
      <family val="2"/>
    </font>
    <font>
      <sz val="10"/>
      <color indexed="13"/>
      <name val="Arial"/>
      <family val="2"/>
    </font>
    <font>
      <b/>
      <i/>
      <sz val="9"/>
      <name val="Arial"/>
      <family val="2"/>
    </font>
    <font>
      <b/>
      <sz val="9"/>
      <name val="Arial"/>
      <family val="2"/>
    </font>
    <font>
      <i/>
      <sz val="10"/>
      <name val="Arial"/>
      <family val="2"/>
    </font>
    <font>
      <sz val="12"/>
      <name val="ⓒoUAAA¨u"/>
      <family val="1"/>
      <charset val="129"/>
    </font>
    <font>
      <sz val="20"/>
      <name val="돋움체"/>
      <family val="3"/>
      <charset val="129"/>
    </font>
    <font>
      <sz val="12"/>
      <name val="¾©"/>
      <family val="1"/>
      <charset val="129"/>
    </font>
    <font>
      <b/>
      <sz val="12"/>
      <name val="바탕체"/>
      <family val="1"/>
      <charset val="129"/>
    </font>
    <font>
      <sz val="11"/>
      <color indexed="8"/>
      <name val="Calibri"/>
      <family val="2"/>
    </font>
    <font>
      <sz val="11"/>
      <color indexed="8"/>
      <name val="宋体"/>
      <family val="3"/>
      <charset val="129"/>
    </font>
    <font>
      <sz val="11"/>
      <color indexed="9"/>
      <name val="Calibri"/>
      <family val="2"/>
    </font>
    <font>
      <sz val="11"/>
      <color indexed="9"/>
      <name val="宋体"/>
      <family val="3"/>
      <charset val="129"/>
    </font>
    <font>
      <sz val="9"/>
      <color indexed="9"/>
      <name val="맑은 고딕"/>
      <family val="3"/>
      <charset val="129"/>
    </font>
    <font>
      <sz val="12"/>
      <name val="¨IoUAAA¡§u"/>
      <family val="1"/>
      <charset val="129"/>
    </font>
    <font>
      <sz val="12"/>
      <name val="¡¾¨u￠￢ⓒ÷A¨u"/>
      <family val="3"/>
      <charset val="129"/>
    </font>
    <font>
      <sz val="11"/>
      <name val="μ¸¿o"/>
      <family val="3"/>
      <charset val="129"/>
    </font>
    <font>
      <sz val="12"/>
      <name val="1UAAA?"/>
      <family val="1"/>
    </font>
    <font>
      <sz val="10"/>
      <name val="¹UAAA¼"/>
      <family val="3"/>
      <charset val="129"/>
    </font>
    <font>
      <sz val="12"/>
      <name val="¹UAAA¼"/>
      <family val="3"/>
      <charset val="129"/>
    </font>
    <font>
      <sz val="12"/>
      <name val="∂?좲2A?"/>
      <family val="3"/>
      <charset val="129"/>
    </font>
    <font>
      <sz val="10"/>
      <name val="Courier"/>
      <family val="3"/>
    </font>
    <font>
      <sz val="8"/>
      <name val="Times New Roman"/>
      <family val="1"/>
    </font>
    <font>
      <sz val="11"/>
      <color indexed="20"/>
      <name val="Calibri"/>
      <family val="2"/>
    </font>
    <font>
      <sz val="12"/>
      <name val="Tms Rmn"/>
      <family val="1"/>
    </font>
    <font>
      <b/>
      <sz val="12"/>
      <name val="Times New Roman"/>
      <family val="1"/>
    </font>
    <font>
      <b/>
      <sz val="10"/>
      <color indexed="8"/>
      <name val="Times New Roman"/>
      <family val="1"/>
    </font>
    <font>
      <sz val="12"/>
      <name val="¡¾¨ù¢¬©÷A¨ù"/>
      <family val="3"/>
      <charset val="129"/>
    </font>
    <font>
      <sz val="12"/>
      <name val="￠R¡×IoUAAA¡ER￠R¡¿u"/>
      <family val="1"/>
      <charset val="129"/>
    </font>
    <font>
      <sz val="11"/>
      <name val="¡Ii¡E¡þ¡E?o"/>
      <family val="3"/>
      <charset val="129"/>
    </font>
    <font>
      <sz val="10"/>
      <name val="±¼¸²Ã¼"/>
      <family val="3"/>
      <charset val="129"/>
    </font>
    <font>
      <sz val="10"/>
      <name val="¹ÙÅÁÃ¼"/>
      <family val="3"/>
      <charset val="129"/>
    </font>
    <font>
      <sz val="12"/>
      <name val="¹ÙÅÁÃ¼"/>
      <family val="3"/>
      <charset val="129"/>
    </font>
    <font>
      <sz val="10"/>
      <name val="±¼¸²A¼"/>
      <family val="3"/>
      <charset val="129"/>
    </font>
    <font>
      <sz val="9"/>
      <name val="Times New Roman"/>
      <family val="1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8"/>
      <name val="Palatino"/>
      <family val="1"/>
    </font>
    <font>
      <sz val="10"/>
      <name val="MS Serif"/>
      <family val="1"/>
    </font>
    <font>
      <sz val="8"/>
      <name val="1UAAA?"/>
      <family val="1"/>
    </font>
    <font>
      <sz val="10"/>
      <color indexed="16"/>
      <name val="MS Serif"/>
      <family val="1"/>
    </font>
    <font>
      <i/>
      <sz val="11"/>
      <color indexed="23"/>
      <name val="Calibri"/>
      <family val="2"/>
    </font>
    <font>
      <u/>
      <sz val="7.5"/>
      <color indexed="36"/>
      <name val="Arial"/>
      <family val="2"/>
    </font>
    <font>
      <sz val="7"/>
      <name val="Palatino"/>
      <family val="1"/>
    </font>
    <font>
      <sz val="11"/>
      <color indexed="17"/>
      <name val="Calibri"/>
      <family val="2"/>
    </font>
    <font>
      <b/>
      <sz val="12"/>
      <color indexed="62"/>
      <name val="Arial"/>
      <family val="2"/>
    </font>
    <font>
      <b/>
      <i/>
      <sz val="11"/>
      <name val="Arial"/>
      <family val="2"/>
    </font>
    <font>
      <b/>
      <sz val="18"/>
      <name val="Arial"/>
      <family val="2"/>
    </font>
    <font>
      <i/>
      <sz val="14"/>
      <name val="Palatino"/>
      <family val="1"/>
    </font>
    <font>
      <b/>
      <sz val="11"/>
      <color indexed="56"/>
      <name val="Calibri"/>
      <family val="2"/>
    </font>
    <font>
      <b/>
      <sz val="12"/>
      <name val="Tms Rmn"/>
      <family val="1"/>
    </font>
    <font>
      <b/>
      <sz val="10"/>
      <name val="Times"/>
      <family val="1"/>
    </font>
    <font>
      <b/>
      <sz val="10"/>
      <name val="굴림체"/>
      <family val="3"/>
      <charset val="129"/>
    </font>
    <font>
      <b/>
      <sz val="12"/>
      <color indexed="9"/>
      <name val="Geneva"/>
      <family val="2"/>
    </font>
    <font>
      <sz val="10"/>
      <color indexed="8"/>
      <name val="Times New Roman"/>
      <family val="1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b/>
      <u/>
      <sz val="14"/>
      <name val="Arial"/>
      <family val="2"/>
    </font>
    <font>
      <u/>
      <sz val="10"/>
      <color indexed="9"/>
      <name val="Arial"/>
      <family val="2"/>
    </font>
    <font>
      <u/>
      <sz val="8"/>
      <color indexed="9"/>
      <name val="Arial"/>
      <family val="2"/>
    </font>
    <font>
      <sz val="11"/>
      <color indexed="60"/>
      <name val="Calibri"/>
      <family val="2"/>
    </font>
    <font>
      <b/>
      <i/>
      <sz val="16"/>
      <name val="Helv"/>
      <family val="2"/>
    </font>
    <font>
      <u/>
      <sz val="18"/>
      <name val="Times New Roman"/>
      <family val="1"/>
    </font>
    <font>
      <b/>
      <sz val="9"/>
      <color indexed="16"/>
      <name val="Arial"/>
      <family val="2"/>
    </font>
    <font>
      <sz val="14"/>
      <name val="–¾’©"/>
      <family val="3"/>
      <charset val="129"/>
    </font>
    <font>
      <b/>
      <sz val="11"/>
      <color indexed="63"/>
      <name val="Calibri"/>
      <family val="2"/>
    </font>
    <font>
      <sz val="10"/>
      <color indexed="16"/>
      <name val="Helvetica-Black"/>
      <family val="2"/>
    </font>
    <font>
      <b/>
      <u/>
      <sz val="10"/>
      <name val="Arial"/>
      <family val="2"/>
    </font>
    <font>
      <sz val="10"/>
      <name val="Tms Rmn"/>
      <family val="1"/>
    </font>
    <font>
      <b/>
      <i/>
      <sz val="9"/>
      <color indexed="60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2"/>
      <color indexed="18"/>
      <name val="Arial"/>
      <family val="2"/>
    </font>
    <font>
      <b/>
      <sz val="10"/>
      <color indexed="9"/>
      <name val="Arial"/>
      <family val="2"/>
    </font>
    <font>
      <i/>
      <sz val="7"/>
      <name val="Arial"/>
      <family val="2"/>
    </font>
    <font>
      <b/>
      <sz val="8"/>
      <color indexed="8"/>
      <name val="Helv"/>
      <family val="2"/>
    </font>
    <font>
      <b/>
      <sz val="9"/>
      <name val="Palatino"/>
      <family val="1"/>
    </font>
    <font>
      <sz val="9"/>
      <color indexed="21"/>
      <name val="Helvetica-Black"/>
      <family val="2"/>
    </font>
    <font>
      <sz val="9"/>
      <name val="Helvetica-Black"/>
      <family val="2"/>
    </font>
    <font>
      <b/>
      <sz val="10"/>
      <color indexed="18"/>
      <name val="Arial"/>
      <family val="2"/>
    </font>
    <font>
      <b/>
      <sz val="11"/>
      <name val="Times New Roman"/>
      <family val="1"/>
    </font>
    <font>
      <b/>
      <sz val="9"/>
      <name val="Times New Roman"/>
      <family val="1"/>
    </font>
    <font>
      <u val="double"/>
      <sz val="8"/>
      <color indexed="8"/>
      <name val="Arial"/>
      <family val="2"/>
    </font>
    <font>
      <sz val="8"/>
      <color indexed="12"/>
      <name val="Arial"/>
      <family val="2"/>
    </font>
    <font>
      <sz val="11"/>
      <color indexed="10"/>
      <name val="Calibri"/>
      <family val="2"/>
    </font>
    <font>
      <sz val="11"/>
      <name val="ＭＳ Ｐゴシック"/>
      <family val="3"/>
      <charset val="129"/>
    </font>
    <font>
      <b/>
      <sz val="13"/>
      <name val="Arial"/>
      <family val="2"/>
    </font>
    <font>
      <sz val="9"/>
      <name val="Arial"/>
      <family val="2"/>
    </font>
    <font>
      <b/>
      <sz val="11"/>
      <color indexed="9"/>
      <name val="宋体"/>
      <family val="3"/>
      <charset val="129"/>
    </font>
    <font>
      <sz val="9"/>
      <color indexed="10"/>
      <name val="맑은 고딕"/>
      <family val="3"/>
      <charset val="129"/>
    </font>
    <font>
      <sz val="11"/>
      <color indexed="10"/>
      <name val="宋体"/>
      <family val="3"/>
      <charset val="129"/>
    </font>
    <font>
      <b/>
      <sz val="11"/>
      <color indexed="52"/>
      <name val="宋体"/>
      <family val="3"/>
      <charset val="129"/>
    </font>
    <font>
      <b/>
      <sz val="9"/>
      <color indexed="52"/>
      <name val="맑은 고딕"/>
      <family val="3"/>
      <charset val="129"/>
    </font>
    <font>
      <sz val="11"/>
      <color indexed="60"/>
      <name val="宋体"/>
      <family val="3"/>
      <charset val="129"/>
    </font>
    <font>
      <sz val="9"/>
      <color indexed="20"/>
      <name val="맑은 고딕"/>
      <family val="3"/>
      <charset val="129"/>
    </font>
    <font>
      <sz val="11"/>
      <name val="HY헤드라인M"/>
      <family val="1"/>
      <charset val="129"/>
    </font>
    <font>
      <sz val="12"/>
      <name val="돋움체"/>
      <family val="3"/>
      <charset val="129"/>
    </font>
    <font>
      <sz val="11"/>
      <color indexed="52"/>
      <name val="宋体"/>
      <family val="3"/>
      <charset val="129"/>
    </font>
    <font>
      <sz val="9"/>
      <color indexed="8"/>
      <name val="맑은 고딕"/>
      <family val="3"/>
      <charset val="129"/>
    </font>
    <font>
      <sz val="14"/>
      <name val="ＭＳ 明朝"/>
      <family val="3"/>
    </font>
    <font>
      <sz val="11"/>
      <color rgb="FF9C6500"/>
      <name val="맑은 고딕"/>
      <family val="3"/>
      <charset val="129"/>
      <scheme val="minor"/>
    </font>
    <font>
      <sz val="12"/>
      <name val="뼻뮝"/>
      <family val="1"/>
      <charset val="129"/>
    </font>
    <font>
      <i/>
      <sz val="9"/>
      <color indexed="23"/>
      <name val="맑은 고딕"/>
      <family val="3"/>
      <charset val="129"/>
    </font>
    <font>
      <b/>
      <sz val="9"/>
      <color indexed="9"/>
      <name val="맑은 고딕"/>
      <family val="3"/>
      <charset val="129"/>
    </font>
    <font>
      <sz val="11"/>
      <color indexed="62"/>
      <name val="宋体"/>
      <family val="3"/>
      <charset val="129"/>
    </font>
    <font>
      <b/>
      <sz val="11"/>
      <color indexed="63"/>
      <name val="宋体"/>
      <family val="3"/>
      <charset val="129"/>
    </font>
    <font>
      <b/>
      <sz val="12"/>
      <color indexed="16"/>
      <name val="굴림체"/>
      <family val="3"/>
      <charset val="129"/>
    </font>
    <font>
      <sz val="10"/>
      <color theme="1"/>
      <name val="맑은 고딕"/>
      <family val="3"/>
      <charset val="129"/>
      <scheme val="minor"/>
    </font>
    <font>
      <b/>
      <u/>
      <sz val="10"/>
      <name val="돋움"/>
      <family val="3"/>
      <charset val="129"/>
    </font>
    <font>
      <sz val="9"/>
      <color indexed="52"/>
      <name val="맑은 고딕"/>
      <family val="3"/>
      <charset val="129"/>
    </font>
    <font>
      <u/>
      <sz val="10"/>
      <color indexed="36"/>
      <name val="바탕체"/>
      <family val="1"/>
      <charset val="129"/>
    </font>
    <font>
      <b/>
      <sz val="9"/>
      <color indexed="8"/>
      <name val="맑은 고딕"/>
      <family val="3"/>
      <charset val="129"/>
    </font>
    <font>
      <sz val="9"/>
      <color indexed="62"/>
      <name val="맑은 고딕"/>
      <family val="3"/>
      <charset val="129"/>
    </font>
    <font>
      <sz val="8"/>
      <name val="바탕체"/>
      <family val="1"/>
      <charset val="129"/>
    </font>
    <font>
      <b/>
      <sz val="15"/>
      <color indexed="56"/>
      <name val="맑은 고딕"/>
      <family val="3"/>
      <charset val="129"/>
    </font>
    <font>
      <b/>
      <sz val="13"/>
      <color indexed="56"/>
      <name val="맑은 고딕"/>
      <family val="3"/>
      <charset val="129"/>
    </font>
    <font>
      <b/>
      <sz val="11"/>
      <color indexed="56"/>
      <name val="맑은 고딕"/>
      <family val="3"/>
      <charset val="129"/>
    </font>
    <font>
      <b/>
      <sz val="18"/>
      <color indexed="56"/>
      <name val="맑은 고딕"/>
      <family val="3"/>
      <charset val="129"/>
    </font>
    <font>
      <sz val="9"/>
      <color indexed="17"/>
      <name val="맑은 고딕"/>
      <family val="3"/>
      <charset val="129"/>
    </font>
    <font>
      <sz val="11"/>
      <color indexed="20"/>
      <name val="宋体"/>
      <family val="3"/>
      <charset val="129"/>
    </font>
    <font>
      <sz val="12"/>
      <name val="奔覆眉"/>
      <family val="3"/>
      <charset val="129"/>
    </font>
    <font>
      <b/>
      <sz val="9"/>
      <color indexed="63"/>
      <name val="맑은 고딕"/>
      <family val="3"/>
      <charset val="129"/>
    </font>
    <font>
      <b/>
      <sz val="22"/>
      <name val="휴먼옛체"/>
      <family val="1"/>
      <charset val="129"/>
    </font>
    <font>
      <b/>
      <sz val="18"/>
      <color indexed="56"/>
      <name val="宋体"/>
      <family val="3"/>
      <charset val="129"/>
    </font>
    <font>
      <b/>
      <sz val="15"/>
      <color indexed="56"/>
      <name val="宋体"/>
      <family val="3"/>
      <charset val="129"/>
    </font>
    <font>
      <b/>
      <sz val="13"/>
      <color indexed="56"/>
      <name val="宋体"/>
      <family val="3"/>
      <charset val="129"/>
    </font>
    <font>
      <b/>
      <sz val="11"/>
      <color indexed="56"/>
      <name val="宋体"/>
      <family val="3"/>
      <charset val="129"/>
    </font>
    <font>
      <sz val="11"/>
      <color rgb="FF000000"/>
      <name val="맑은 고딕"/>
      <family val="3"/>
      <charset val="129"/>
      <scheme val="minor"/>
    </font>
    <font>
      <sz val="9"/>
      <color theme="1"/>
      <name val="돋움"/>
      <family val="3"/>
      <charset val="129"/>
    </font>
    <font>
      <sz val="9"/>
      <color indexed="8"/>
      <name val="돋움"/>
      <family val="3"/>
      <charset val="129"/>
    </font>
    <font>
      <sz val="12"/>
      <color indexed="12"/>
      <name val="Helv"/>
      <family val="2"/>
    </font>
    <font>
      <i/>
      <sz val="11"/>
      <color indexed="23"/>
      <name val="宋体"/>
      <family val="3"/>
      <charset val="129"/>
    </font>
    <font>
      <b/>
      <sz val="11"/>
      <color indexed="9"/>
      <name val="새굴림"/>
      <family val="1"/>
      <charset val="129"/>
    </font>
    <font>
      <sz val="11"/>
      <color indexed="17"/>
      <name val="宋体"/>
      <family val="3"/>
      <charset val="129"/>
    </font>
    <font>
      <b/>
      <sz val="11"/>
      <color indexed="8"/>
      <name val="宋体"/>
      <family val="3"/>
      <charset val="129"/>
    </font>
    <font>
      <sz val="9"/>
      <color theme="1"/>
      <name val="새굴림"/>
      <family val="1"/>
      <charset val="129"/>
    </font>
    <font>
      <sz val="11"/>
      <color theme="1"/>
      <name val="새굴림"/>
      <family val="1"/>
      <charset val="129"/>
    </font>
    <font>
      <sz val="10"/>
      <color theme="1"/>
      <name val="새굴림"/>
      <family val="1"/>
      <charset val="129"/>
    </font>
    <font>
      <sz val="16"/>
      <color theme="1"/>
      <name val="새굴림"/>
      <family val="1"/>
      <charset val="129"/>
    </font>
    <font>
      <b/>
      <sz val="11"/>
      <name val="새굴림"/>
      <family val="1"/>
      <charset val="129"/>
    </font>
    <font>
      <b/>
      <sz val="10"/>
      <name val="새굴림"/>
      <family val="1"/>
      <charset val="129"/>
    </font>
    <font>
      <vertAlign val="superscript"/>
      <sz val="10"/>
      <name val="새굴림"/>
      <family val="1"/>
      <charset val="129"/>
    </font>
    <font>
      <b/>
      <sz val="10"/>
      <color rgb="FF0000FF"/>
      <name val="새굴림"/>
      <family val="1"/>
      <charset val="129"/>
    </font>
    <font>
      <sz val="10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b/>
      <sz val="11"/>
      <name val="돋움"/>
      <family val="3"/>
      <charset val="129"/>
    </font>
    <font>
      <sz val="11"/>
      <name val="맑은 고딕"/>
      <family val="3"/>
      <charset val="129"/>
    </font>
    <font>
      <sz val="9.35"/>
      <name val="새굴림"/>
      <family val="1"/>
      <charset val="129"/>
    </font>
    <font>
      <sz val="12"/>
      <name val="새굴림"/>
      <family val="1"/>
      <charset val="129"/>
    </font>
    <font>
      <b/>
      <sz val="10"/>
      <color rgb="FFFF0000"/>
      <name val="새굴림"/>
      <family val="1"/>
      <charset val="129"/>
    </font>
    <font>
      <b/>
      <sz val="9"/>
      <color rgb="FFFF0000"/>
      <name val="새굴림"/>
      <family val="1"/>
      <charset val="129"/>
    </font>
    <font>
      <b/>
      <sz val="11"/>
      <color theme="1"/>
      <name val="새굴림"/>
      <family val="1"/>
      <charset val="129"/>
    </font>
    <font>
      <b/>
      <sz val="11"/>
      <color rgb="FFFF0000"/>
      <name val="새굴림"/>
      <family val="1"/>
      <charset val="129"/>
    </font>
    <font>
      <b/>
      <sz val="10"/>
      <color theme="1"/>
      <name val="새굴림"/>
      <family val="1"/>
      <charset val="129"/>
    </font>
    <font>
      <b/>
      <u/>
      <sz val="10"/>
      <color theme="1"/>
      <name val="새굴림"/>
      <family val="1"/>
      <charset val="129"/>
    </font>
    <font>
      <b/>
      <u/>
      <sz val="11"/>
      <name val="새굴림"/>
      <family val="1"/>
      <charset val="129"/>
    </font>
    <font>
      <b/>
      <u/>
      <sz val="11"/>
      <color rgb="FFFF0000"/>
      <name val="새굴림"/>
      <family val="1"/>
      <charset val="129"/>
    </font>
    <font>
      <sz val="20"/>
      <color theme="1"/>
      <name val="새굴림"/>
      <family val="1"/>
      <charset val="129"/>
    </font>
    <font>
      <u/>
      <sz val="12"/>
      <name val="새굴림"/>
      <family val="1"/>
      <charset val="129"/>
    </font>
    <font>
      <sz val="8"/>
      <name val="굴림"/>
      <family val="3"/>
      <charset val="129"/>
    </font>
    <font>
      <sz val="20"/>
      <name val="돋움"/>
      <family val="3"/>
      <charset val="129"/>
    </font>
    <font>
      <sz val="14"/>
      <name val="돋움"/>
      <family val="3"/>
      <charset val="129"/>
    </font>
    <font>
      <sz val="11"/>
      <color rgb="FFFF0000"/>
      <name val="맑은 고딕"/>
      <family val="3"/>
      <charset val="129"/>
    </font>
    <font>
      <sz val="16"/>
      <color rgb="FFFF0000"/>
      <name val="새굴림"/>
      <family val="1"/>
      <charset val="129"/>
    </font>
    <font>
      <sz val="11"/>
      <color rgb="FF000000"/>
      <name val="새굴림"/>
      <family val="1"/>
      <charset val="129"/>
    </font>
    <font>
      <u/>
      <sz val="11"/>
      <color rgb="FFFF0000"/>
      <name val="새굴림"/>
      <family val="1"/>
      <charset val="129"/>
    </font>
    <font>
      <sz val="10"/>
      <color rgb="FF0000FF"/>
      <name val="새굴림"/>
      <family val="1"/>
      <charset val="129"/>
    </font>
    <font>
      <u/>
      <sz val="10"/>
      <color rgb="FFFF0000"/>
      <name val="새굴림"/>
      <family val="1"/>
      <charset val="129"/>
    </font>
    <font>
      <u/>
      <sz val="10"/>
      <color theme="1"/>
      <name val="새굴림"/>
      <family val="1"/>
      <charset val="129"/>
    </font>
    <font>
      <sz val="16"/>
      <name val="굴림체"/>
      <family val="3"/>
      <charset val="129"/>
    </font>
    <font>
      <sz val="16"/>
      <name val="돋움"/>
      <family val="3"/>
      <charset val="129"/>
    </font>
    <font>
      <sz val="11"/>
      <color rgb="FFFF0000"/>
      <name val="돋움"/>
      <family val="3"/>
      <charset val="129"/>
    </font>
    <font>
      <sz val="11"/>
      <color rgb="FFFF0000"/>
      <name val="굴림체"/>
      <family val="3"/>
      <charset val="129"/>
    </font>
    <font>
      <u/>
      <sz val="11"/>
      <color theme="10"/>
      <name val="돋움"/>
      <family val="3"/>
      <charset val="129"/>
    </font>
    <font>
      <b/>
      <sz val="11"/>
      <color rgb="FFFF0000"/>
      <name val="돋움"/>
      <family val="3"/>
      <charset val="129"/>
    </font>
    <font>
      <u/>
      <sz val="9"/>
      <color theme="10"/>
      <name val="새굴림"/>
      <family val="1"/>
      <charset val="129"/>
    </font>
    <font>
      <b/>
      <sz val="9"/>
      <name val="새굴림"/>
      <family val="1"/>
      <charset val="129"/>
    </font>
    <font>
      <sz val="11"/>
      <color rgb="FF000000"/>
      <name val="맑은 고딕"/>
      <family val="3"/>
      <charset val="129"/>
    </font>
    <font>
      <sz val="9"/>
      <color rgb="FFFF0000"/>
      <name val="새굴림"/>
      <family val="1"/>
      <charset val="129"/>
    </font>
    <font>
      <u/>
      <sz val="9"/>
      <color theme="10"/>
      <name val="돋움"/>
      <family val="3"/>
      <charset val="129"/>
    </font>
  </fonts>
  <fills count="77">
    <fill>
      <patternFill patternType="none"/>
    </fill>
    <fill>
      <patternFill patternType="gray125"/>
    </fill>
    <fill>
      <patternFill patternType="lightGray">
        <fgColor indexed="15"/>
      </patternFill>
    </fill>
    <fill>
      <patternFill patternType="solid">
        <fgColor indexed="9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13"/>
      </patternFill>
    </fill>
    <fill>
      <patternFill patternType="solid">
        <fgColor indexed="3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48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1"/>
        <bgColor indexed="27"/>
      </patternFill>
    </fill>
    <fill>
      <patternFill patternType="solid">
        <fgColor indexed="29"/>
        <bgColor indexed="24"/>
      </patternFill>
    </fill>
    <fill>
      <patternFill patternType="solid">
        <fgColor indexed="9"/>
        <bgColor indexed="43"/>
      </patternFill>
    </fill>
    <fill>
      <patternFill patternType="solid">
        <fgColor indexed="24"/>
        <bgColor indexed="41"/>
      </patternFill>
    </fill>
    <fill>
      <patternFill patternType="solid">
        <fgColor indexed="27"/>
        <bgColor indexed="41"/>
      </patternFill>
    </fill>
    <fill>
      <patternFill patternType="solid">
        <fgColor indexed="43"/>
        <bgColor indexed="9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1"/>
        <bgColor indexed="44"/>
      </patternFill>
    </fill>
    <fill>
      <patternFill patternType="solid">
        <fgColor indexed="45"/>
        <bgColor indexed="22"/>
      </patternFill>
    </fill>
    <fill>
      <patternFill patternType="solid">
        <fgColor indexed="51"/>
        <bgColor indexed="42"/>
      </patternFill>
    </fill>
    <fill>
      <patternFill patternType="solid">
        <fgColor indexed="22"/>
        <bgColor indexed="31"/>
      </patternFill>
    </fill>
    <fill>
      <patternFill patternType="solid">
        <fgColor indexed="44"/>
        <bgColor indexed="31"/>
      </patternFill>
    </fill>
    <fill>
      <patternFill patternType="solid">
        <fgColor indexed="47"/>
        <bgColor indexed="2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4"/>
        <bgColor indexed="64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9"/>
      </patternFill>
    </fill>
    <fill>
      <patternFill patternType="solid">
        <fgColor indexed="8"/>
        <bgColor indexed="64"/>
      </patternFill>
    </fill>
    <fill>
      <patternFill patternType="solid">
        <fgColor indexed="15"/>
      </patternFill>
    </fill>
    <fill>
      <patternFill patternType="solid">
        <fgColor indexed="10"/>
        <bgColor indexed="64"/>
      </patternFill>
    </fill>
    <fill>
      <patternFill patternType="solid">
        <fgColor indexed="43"/>
      </patternFill>
    </fill>
    <fill>
      <patternFill patternType="solid">
        <fgColor indexed="63"/>
        <bgColor indexed="64"/>
      </patternFill>
    </fill>
    <fill>
      <patternFill patternType="solid">
        <fgColor indexed="16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6"/>
      </patternFill>
    </fill>
    <fill>
      <patternFill patternType="solid">
        <fgColor indexed="26"/>
        <bgColor indexed="9"/>
      </patternFill>
    </fill>
    <fill>
      <patternFill patternType="solid">
        <fgColor indexed="65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2"/>
        <bgColor indexed="64"/>
      </patternFill>
    </fill>
  </fills>
  <borders count="170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18"/>
      </top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hair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/>
      <right/>
      <top style="medium">
        <color indexed="64"/>
      </top>
      <bottom/>
      <diagonal/>
    </border>
    <border diagonalUp="1"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indexed="64"/>
      </left>
      <right/>
      <top/>
      <bottom style="hair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/>
      <top/>
      <bottom style="dotted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/>
      <top/>
      <bottom style="double">
        <color indexed="52"/>
      </bottom>
      <diagonal/>
    </border>
    <border>
      <left/>
      <right/>
      <top style="double">
        <color indexed="16"/>
      </top>
      <bottom/>
      <diagonal/>
    </border>
    <border>
      <left/>
      <right/>
      <top style="double">
        <color indexed="16"/>
      </top>
      <bottom style="thin">
        <color indexed="16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medium">
        <color indexed="16"/>
      </top>
      <bottom style="thin">
        <color indexed="16"/>
      </bottom>
      <diagonal/>
    </border>
    <border>
      <left/>
      <right/>
      <top style="thin">
        <color indexed="51"/>
      </top>
      <bottom style="thin">
        <color indexed="51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/>
      <right/>
      <top/>
      <bottom style="thin">
        <color auto="1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indexed="64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23"/>
      </top>
      <bottom/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ck">
        <color indexed="9"/>
      </left>
      <right style="thick">
        <color indexed="9"/>
      </right>
      <top style="thick">
        <color indexed="9"/>
      </top>
      <bottom style="thick">
        <color indexed="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51"/>
      </top>
      <bottom style="thin">
        <color indexed="51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23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8"/>
      </left>
      <right/>
      <top/>
      <bottom style="thin">
        <color indexed="64"/>
      </bottom>
      <diagonal/>
    </border>
    <border>
      <left/>
      <right style="thin">
        <color indexed="8"/>
      </right>
      <top/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8"/>
      </right>
      <top style="medium">
        <color indexed="64"/>
      </top>
      <bottom/>
      <diagonal/>
    </border>
    <border>
      <left style="medium">
        <color indexed="8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8"/>
      </right>
      <top/>
      <bottom/>
      <diagonal/>
    </border>
    <border>
      <left style="medium">
        <color indexed="8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8"/>
      </bottom>
      <diagonal/>
    </border>
    <border>
      <left/>
      <right/>
      <top/>
      <bottom style="medium">
        <color indexed="8"/>
      </bottom>
      <diagonal/>
    </border>
    <border>
      <left/>
      <right style="medium">
        <color indexed="8"/>
      </right>
      <top/>
      <bottom style="medium">
        <color indexed="8"/>
      </bottom>
      <diagonal/>
    </border>
    <border>
      <left style="medium">
        <color indexed="8"/>
      </left>
      <right style="thin">
        <color indexed="64"/>
      </right>
      <top style="thin">
        <color indexed="64"/>
      </top>
      <bottom style="medium">
        <color indexed="8"/>
      </bottom>
      <diagonal/>
    </border>
    <border>
      <left/>
      <right style="thin">
        <color indexed="64"/>
      </right>
      <top style="thin">
        <color indexed="64"/>
      </top>
      <bottom style="medium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8"/>
      </bottom>
      <diagonal/>
    </border>
    <border>
      <left style="thin">
        <color indexed="64"/>
      </left>
      <right/>
      <top style="thin">
        <color indexed="64"/>
      </top>
      <bottom style="medium">
        <color indexed="8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8"/>
      </bottom>
      <diagonal/>
    </border>
    <border>
      <left style="medium">
        <color indexed="8"/>
      </left>
      <right style="thin">
        <color indexed="8"/>
      </right>
      <top/>
      <bottom/>
      <diagonal/>
    </border>
    <border>
      <left style="medium">
        <color indexed="8"/>
      </left>
      <right style="thin">
        <color indexed="8"/>
      </right>
      <top/>
      <bottom style="thin">
        <color indexed="8"/>
      </bottom>
      <diagonal/>
    </border>
    <border>
      <left style="medium">
        <color indexed="64"/>
      </left>
      <right style="thin">
        <color indexed="8"/>
      </right>
      <top/>
      <bottom style="thin">
        <color indexed="8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/>
      <diagonal/>
    </border>
    <border>
      <left style="medium">
        <color indexed="8"/>
      </left>
      <right/>
      <top style="thin">
        <color indexed="8"/>
      </top>
      <bottom style="medium">
        <color indexed="64"/>
      </bottom>
      <diagonal/>
    </border>
    <border>
      <left/>
      <right style="medium">
        <color indexed="8"/>
      </right>
      <top style="thin">
        <color indexed="8"/>
      </top>
      <bottom style="medium">
        <color indexed="64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medium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64"/>
      </bottom>
      <diagonal/>
    </border>
    <border>
      <left style="thin">
        <color indexed="8"/>
      </left>
      <right/>
      <top style="thin">
        <color indexed="8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 style="thin">
        <color indexed="8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8"/>
      </bottom>
      <diagonal/>
    </border>
    <border>
      <left style="thin">
        <color indexed="8"/>
      </left>
      <right style="medium">
        <color indexed="64"/>
      </right>
      <top/>
      <bottom style="thin">
        <color indexed="8"/>
      </bottom>
      <diagonal/>
    </border>
    <border>
      <left style="thin">
        <color indexed="8"/>
      </left>
      <right style="medium">
        <color indexed="64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64"/>
      </right>
      <top style="thin">
        <color indexed="8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rgb="FF000000"/>
      </right>
      <top style="medium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</borders>
  <cellStyleXfs count="5735">
    <xf numFmtId="0" fontId="0" fillId="0" borderId="0"/>
    <xf numFmtId="0" fontId="23" fillId="0" borderId="0" applyNumberFormat="0" applyFill="0" applyBorder="0" applyAlignment="0" applyProtection="0"/>
    <xf numFmtId="24" fontId="24" fillId="0" borderId="0" applyFont="0" applyFill="0" applyBorder="0" applyAlignment="0" applyProtection="0"/>
    <xf numFmtId="183" fontId="5" fillId="0" borderId="0" applyNumberFormat="0" applyFont="0" applyFill="0" applyBorder="0" applyAlignment="0" applyProtection="0"/>
    <xf numFmtId="183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25" fillId="0" borderId="0"/>
    <xf numFmtId="0" fontId="25" fillId="0" borderId="0"/>
    <xf numFmtId="0" fontId="26" fillId="0" borderId="0"/>
    <xf numFmtId="0" fontId="8" fillId="0" borderId="0"/>
    <xf numFmtId="0" fontId="8" fillId="0" borderId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184" fontId="2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5" fillId="0" borderId="0"/>
    <xf numFmtId="0" fontId="8" fillId="0" borderId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/>
    <xf numFmtId="0" fontId="8" fillId="0" borderId="0"/>
    <xf numFmtId="0" fontId="8" fillId="0" borderId="0" applyNumberFormat="0" applyFill="0" applyBorder="0" applyAlignment="0" applyProtection="0"/>
    <xf numFmtId="0" fontId="8" fillId="0" borderId="0"/>
    <xf numFmtId="0" fontId="27" fillId="0" borderId="0"/>
    <xf numFmtId="0" fontId="8" fillId="0" borderId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27" fillId="0" borderId="0"/>
    <xf numFmtId="0" fontId="27" fillId="0" borderId="0"/>
    <xf numFmtId="185" fontId="28" fillId="0" borderId="0">
      <protection locked="0"/>
    </xf>
    <xf numFmtId="185" fontId="28" fillId="0" borderId="0">
      <protection locked="0"/>
    </xf>
    <xf numFmtId="185" fontId="28" fillId="0" borderId="0">
      <protection locked="0"/>
    </xf>
    <xf numFmtId="185" fontId="28" fillId="0" borderId="0">
      <protection locked="0"/>
    </xf>
    <xf numFmtId="185" fontId="28" fillId="0" borderId="0">
      <protection locked="0"/>
    </xf>
    <xf numFmtId="1" fontId="29" fillId="0" borderId="1">
      <alignment horizontal="center" vertical="center"/>
    </xf>
    <xf numFmtId="185" fontId="28" fillId="0" borderId="0">
      <protection locked="0"/>
    </xf>
    <xf numFmtId="10" fontId="22" fillId="0" borderId="0" applyFont="0" applyFill="0" applyBorder="0" applyAlignment="0" applyProtection="0"/>
    <xf numFmtId="0" fontId="30" fillId="0" borderId="2">
      <alignment vertical="center"/>
    </xf>
    <xf numFmtId="185" fontId="28" fillId="0" borderId="0">
      <protection locked="0"/>
    </xf>
    <xf numFmtId="185" fontId="28" fillId="0" borderId="0">
      <protection locked="0"/>
    </xf>
    <xf numFmtId="187" fontId="8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31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31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31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31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31" fillId="0" borderId="0" applyFont="0" applyFill="0" applyBorder="0" applyAlignment="0" applyProtection="0"/>
    <xf numFmtId="186" fontId="22" fillId="0" borderId="0" applyFont="0" applyFill="0" applyBorder="0" applyAlignment="0" applyProtection="0"/>
    <xf numFmtId="188" fontId="31" fillId="0" borderId="0" applyFont="0" applyFill="0" applyBorder="0" applyAlignment="0" applyProtection="0"/>
    <xf numFmtId="188" fontId="22" fillId="0" borderId="0" applyFont="0" applyFill="0" applyBorder="0" applyAlignment="0" applyProtection="0"/>
    <xf numFmtId="189" fontId="24" fillId="0" borderId="0" applyFont="0" applyFill="0" applyBorder="0" applyAlignment="0" applyProtection="0"/>
    <xf numFmtId="190" fontId="22" fillId="0" borderId="0" applyFont="0" applyFill="0" applyBorder="0" applyAlignment="0" applyProtection="0"/>
    <xf numFmtId="190" fontId="31" fillId="0" borderId="0" applyFont="0" applyFill="0" applyBorder="0" applyAlignment="0" applyProtection="0"/>
    <xf numFmtId="190" fontId="22" fillId="0" borderId="0" applyFont="0" applyFill="0" applyBorder="0" applyAlignment="0" applyProtection="0"/>
    <xf numFmtId="191" fontId="32" fillId="0" borderId="0" applyFont="0" applyFill="0" applyBorder="0" applyAlignment="0" applyProtection="0"/>
    <xf numFmtId="192" fontId="32" fillId="0" borderId="0" applyFont="0" applyFill="0" applyBorder="0" applyAlignment="0" applyProtection="0"/>
    <xf numFmtId="192" fontId="32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31" fillId="0" borderId="0" applyFont="0" applyFill="0" applyBorder="0" applyAlignment="0" applyProtection="0"/>
    <xf numFmtId="186" fontId="22" fillId="0" borderId="0" applyFont="0" applyFill="0" applyBorder="0" applyAlignment="0" applyProtection="0"/>
    <xf numFmtId="186" fontId="31" fillId="0" borderId="0" applyFont="0" applyFill="0" applyBorder="0" applyAlignment="0" applyProtection="0"/>
    <xf numFmtId="186" fontId="22" fillId="0" borderId="0" applyFont="0" applyFill="0" applyBorder="0" applyAlignment="0" applyProtection="0"/>
    <xf numFmtId="185" fontId="28" fillId="0" borderId="0">
      <protection locked="0"/>
    </xf>
    <xf numFmtId="194" fontId="8" fillId="0" borderId="0" applyFont="0" applyFill="0" applyBorder="0" applyAlignment="0" applyProtection="0"/>
    <xf numFmtId="193" fontId="22" fillId="0" borderId="0" applyFont="0" applyFill="0" applyBorder="0" applyAlignment="0" applyProtection="0"/>
    <xf numFmtId="193" fontId="31" fillId="0" borderId="0" applyFont="0" applyFill="0" applyBorder="0" applyAlignment="0" applyProtection="0"/>
    <xf numFmtId="193" fontId="22" fillId="0" borderId="0" applyFont="0" applyFill="0" applyBorder="0" applyAlignment="0" applyProtection="0"/>
    <xf numFmtId="193" fontId="31" fillId="0" borderId="0" applyFont="0" applyFill="0" applyBorder="0" applyAlignment="0" applyProtection="0"/>
    <xf numFmtId="193" fontId="22" fillId="0" borderId="0" applyFont="0" applyFill="0" applyBorder="0" applyAlignment="0" applyProtection="0"/>
    <xf numFmtId="189" fontId="24" fillId="0" borderId="0" applyFont="0" applyFill="0" applyBorder="0" applyAlignment="0" applyProtection="0"/>
    <xf numFmtId="193" fontId="22" fillId="0" borderId="0" applyFont="0" applyFill="0" applyBorder="0" applyAlignment="0" applyProtection="0"/>
    <xf numFmtId="193" fontId="31" fillId="0" borderId="0" applyFont="0" applyFill="0" applyBorder="0" applyAlignment="0" applyProtection="0"/>
    <xf numFmtId="193" fontId="22" fillId="0" borderId="0" applyFont="0" applyFill="0" applyBorder="0" applyAlignment="0" applyProtection="0"/>
    <xf numFmtId="193" fontId="31" fillId="0" borderId="0" applyFont="0" applyFill="0" applyBorder="0" applyAlignment="0" applyProtection="0"/>
    <xf numFmtId="193" fontId="22" fillId="0" borderId="0" applyFont="0" applyFill="0" applyBorder="0" applyAlignment="0" applyProtection="0"/>
    <xf numFmtId="193" fontId="31" fillId="0" borderId="0" applyFont="0" applyFill="0" applyBorder="0" applyAlignment="0" applyProtection="0"/>
    <xf numFmtId="193" fontId="22" fillId="0" borderId="0" applyFont="0" applyFill="0" applyBorder="0" applyAlignment="0" applyProtection="0"/>
    <xf numFmtId="195" fontId="31" fillId="0" borderId="0" applyFont="0" applyFill="0" applyBorder="0" applyAlignment="0" applyProtection="0"/>
    <xf numFmtId="195" fontId="22" fillId="0" borderId="0" applyFont="0" applyFill="0" applyBorder="0" applyAlignment="0" applyProtection="0"/>
    <xf numFmtId="190" fontId="24" fillId="0" borderId="0" applyFont="0" applyFill="0" applyBorder="0" applyAlignment="0" applyProtection="0"/>
    <xf numFmtId="196" fontId="22" fillId="0" borderId="0" applyFont="0" applyFill="0" applyBorder="0" applyAlignment="0" applyProtection="0"/>
    <xf numFmtId="196" fontId="31" fillId="0" borderId="0" applyFont="0" applyFill="0" applyBorder="0" applyAlignment="0" applyProtection="0"/>
    <xf numFmtId="196" fontId="22" fillId="0" borderId="0" applyFont="0" applyFill="0" applyBorder="0" applyAlignment="0" applyProtection="0"/>
    <xf numFmtId="197" fontId="32" fillId="0" borderId="0" applyFont="0" applyFill="0" applyBorder="0" applyAlignment="0" applyProtection="0"/>
    <xf numFmtId="198" fontId="32" fillId="0" borderId="0" applyFont="0" applyFill="0" applyBorder="0" applyAlignment="0" applyProtection="0"/>
    <xf numFmtId="198" fontId="32" fillId="0" borderId="0" applyFont="0" applyFill="0" applyBorder="0" applyAlignment="0" applyProtection="0"/>
    <xf numFmtId="193" fontId="22" fillId="0" borderId="0" applyFont="0" applyFill="0" applyBorder="0" applyAlignment="0" applyProtection="0"/>
    <xf numFmtId="193" fontId="31" fillId="0" borderId="0" applyFont="0" applyFill="0" applyBorder="0" applyAlignment="0" applyProtection="0"/>
    <xf numFmtId="193" fontId="22" fillId="0" borderId="0" applyFont="0" applyFill="0" applyBorder="0" applyAlignment="0" applyProtection="0"/>
    <xf numFmtId="193" fontId="31" fillId="0" borderId="0" applyFont="0" applyFill="0" applyBorder="0" applyAlignment="0" applyProtection="0"/>
    <xf numFmtId="193" fontId="22" fillId="0" borderId="0" applyFont="0" applyFill="0" applyBorder="0" applyAlignment="0" applyProtection="0"/>
    <xf numFmtId="0" fontId="24" fillId="0" borderId="0"/>
    <xf numFmtId="0" fontId="8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185" fontId="28" fillId="0" borderId="0">
      <protection locked="0"/>
    </xf>
    <xf numFmtId="185" fontId="28" fillId="0" borderId="0">
      <protection locked="0"/>
    </xf>
    <xf numFmtId="199" fontId="22" fillId="0" borderId="0" applyFont="0" applyFill="0" applyBorder="0" applyAlignment="0" applyProtection="0"/>
    <xf numFmtId="199" fontId="31" fillId="0" borderId="0" applyFont="0" applyFill="0" applyBorder="0" applyAlignment="0" applyProtection="0"/>
    <xf numFmtId="199" fontId="22" fillId="0" borderId="0" applyFont="0" applyFill="0" applyBorder="0" applyAlignment="0" applyProtection="0"/>
    <xf numFmtId="199" fontId="31" fillId="0" borderId="0" applyFont="0" applyFill="0" applyBorder="0" applyAlignment="0" applyProtection="0"/>
    <xf numFmtId="199" fontId="22" fillId="0" borderId="0" applyFont="0" applyFill="0" applyBorder="0" applyAlignment="0" applyProtection="0"/>
    <xf numFmtId="199" fontId="31" fillId="0" borderId="0" applyFont="0" applyFill="0" applyBorder="0" applyAlignment="0" applyProtection="0"/>
    <xf numFmtId="199" fontId="22" fillId="0" borderId="0" applyFont="0" applyFill="0" applyBorder="0" applyAlignment="0" applyProtection="0"/>
    <xf numFmtId="199" fontId="31" fillId="0" borderId="0" applyFont="0" applyFill="0" applyBorder="0" applyAlignment="0" applyProtection="0"/>
    <xf numFmtId="199" fontId="22" fillId="0" borderId="0" applyFont="0" applyFill="0" applyBorder="0" applyAlignment="0" applyProtection="0"/>
    <xf numFmtId="38" fontId="24" fillId="0" borderId="0" applyFont="0" applyFill="0" applyBorder="0" applyAlignment="0" applyProtection="0"/>
    <xf numFmtId="200" fontId="22" fillId="0" borderId="0" applyFont="0" applyFill="0" applyBorder="0" applyAlignment="0" applyProtection="0"/>
    <xf numFmtId="200" fontId="31" fillId="0" borderId="0" applyFont="0" applyFill="0" applyBorder="0" applyAlignment="0" applyProtection="0"/>
    <xf numFmtId="200" fontId="22" fillId="0" borderId="0" applyFont="0" applyFill="0" applyBorder="0" applyAlignment="0" applyProtection="0"/>
    <xf numFmtId="177" fontId="32" fillId="0" borderId="0" applyFont="0" applyFill="0" applyBorder="0" applyAlignment="0" applyProtection="0"/>
    <xf numFmtId="199" fontId="22" fillId="0" borderId="0" applyFont="0" applyFill="0" applyBorder="0" applyAlignment="0" applyProtection="0"/>
    <xf numFmtId="199" fontId="31" fillId="0" borderId="0" applyFont="0" applyFill="0" applyBorder="0" applyAlignment="0" applyProtection="0"/>
    <xf numFmtId="199" fontId="22" fillId="0" borderId="0" applyFont="0" applyFill="0" applyBorder="0" applyAlignment="0" applyProtection="0"/>
    <xf numFmtId="199" fontId="31" fillId="0" borderId="0" applyFont="0" applyFill="0" applyBorder="0" applyAlignment="0" applyProtection="0"/>
    <xf numFmtId="199" fontId="22" fillId="0" borderId="0" applyFont="0" applyFill="0" applyBorder="0" applyAlignment="0" applyProtection="0"/>
    <xf numFmtId="185" fontId="28" fillId="0" borderId="0">
      <protection locked="0"/>
    </xf>
    <xf numFmtId="202" fontId="8" fillId="0" borderId="0" applyFont="0" applyFill="0" applyBorder="0" applyAlignment="0" applyProtection="0"/>
    <xf numFmtId="201" fontId="31" fillId="0" borderId="0" applyFont="0" applyFill="0" applyBorder="0" applyAlignment="0" applyProtection="0"/>
    <xf numFmtId="201" fontId="22" fillId="0" borderId="0" applyFont="0" applyFill="0" applyBorder="0" applyAlignment="0" applyProtection="0"/>
    <xf numFmtId="201" fontId="31" fillId="0" borderId="0" applyFont="0" applyFill="0" applyBorder="0" applyAlignment="0" applyProtection="0"/>
    <xf numFmtId="201" fontId="22" fillId="0" borderId="0" applyFont="0" applyFill="0" applyBorder="0" applyAlignment="0" applyProtection="0"/>
    <xf numFmtId="40" fontId="24" fillId="0" borderId="0" applyFont="0" applyFill="0" applyBorder="0" applyAlignment="0" applyProtection="0"/>
    <xf numFmtId="201" fontId="22" fillId="0" borderId="0" applyFont="0" applyFill="0" applyBorder="0" applyAlignment="0" applyProtection="0"/>
    <xf numFmtId="201" fontId="31" fillId="0" borderId="0" applyFont="0" applyFill="0" applyBorder="0" applyAlignment="0" applyProtection="0"/>
    <xf numFmtId="201" fontId="22" fillId="0" borderId="0" applyFont="0" applyFill="0" applyBorder="0" applyAlignment="0" applyProtection="0"/>
    <xf numFmtId="201" fontId="31" fillId="0" borderId="0" applyFont="0" applyFill="0" applyBorder="0" applyAlignment="0" applyProtection="0"/>
    <xf numFmtId="201" fontId="22" fillId="0" borderId="0" applyFont="0" applyFill="0" applyBorder="0" applyAlignment="0" applyProtection="0"/>
    <xf numFmtId="201" fontId="31" fillId="0" borderId="0" applyFont="0" applyFill="0" applyBorder="0" applyAlignment="0" applyProtection="0"/>
    <xf numFmtId="201" fontId="22" fillId="0" borderId="0" applyFont="0" applyFill="0" applyBorder="0" applyAlignment="0" applyProtection="0"/>
    <xf numFmtId="3" fontId="24" fillId="0" borderId="0" applyFont="0" applyFill="0" applyBorder="0" applyAlignment="0" applyProtection="0"/>
    <xf numFmtId="203" fontId="22" fillId="0" borderId="0" applyFont="0" applyFill="0" applyBorder="0" applyAlignment="0" applyProtection="0"/>
    <xf numFmtId="203" fontId="31" fillId="0" borderId="0" applyFont="0" applyFill="0" applyBorder="0" applyAlignment="0" applyProtection="0"/>
    <xf numFmtId="203" fontId="22" fillId="0" borderId="0" applyFont="0" applyFill="0" applyBorder="0" applyAlignment="0" applyProtection="0"/>
    <xf numFmtId="179" fontId="32" fillId="0" borderId="0" applyFont="0" applyFill="0" applyBorder="0" applyAlignment="0" applyProtection="0"/>
    <xf numFmtId="40" fontId="32" fillId="0" borderId="0" applyFont="0" applyFill="0" applyBorder="0" applyAlignment="0" applyProtection="0"/>
    <xf numFmtId="40" fontId="32" fillId="0" borderId="0" applyFont="0" applyFill="0" applyBorder="0" applyAlignment="0" applyProtection="0"/>
    <xf numFmtId="201" fontId="22" fillId="0" borderId="0" applyFont="0" applyFill="0" applyBorder="0" applyAlignment="0" applyProtection="0"/>
    <xf numFmtId="201" fontId="31" fillId="0" borderId="0" applyFont="0" applyFill="0" applyBorder="0" applyAlignment="0" applyProtection="0"/>
    <xf numFmtId="201" fontId="22" fillId="0" borderId="0" applyFont="0" applyFill="0" applyBorder="0" applyAlignment="0" applyProtection="0"/>
    <xf numFmtId="201" fontId="31" fillId="0" borderId="0" applyFont="0" applyFill="0" applyBorder="0" applyAlignment="0" applyProtection="0"/>
    <xf numFmtId="201" fontId="22" fillId="0" borderId="0" applyFont="0" applyFill="0" applyBorder="0" applyAlignment="0" applyProtection="0"/>
    <xf numFmtId="204" fontId="30" fillId="0" borderId="0">
      <alignment horizontal="right"/>
      <protection locked="0"/>
    </xf>
    <xf numFmtId="205" fontId="5" fillId="0" borderId="0" applyFont="0" applyFill="0" applyBorder="0" applyAlignment="0" applyProtection="0"/>
    <xf numFmtId="185" fontId="28" fillId="0" borderId="0">
      <protection locked="0"/>
    </xf>
    <xf numFmtId="0" fontId="34" fillId="0" borderId="0"/>
    <xf numFmtId="0" fontId="35" fillId="0" borderId="0"/>
    <xf numFmtId="0" fontId="34" fillId="0" borderId="0"/>
    <xf numFmtId="0" fontId="24" fillId="0" borderId="0"/>
    <xf numFmtId="0" fontId="24" fillId="0" borderId="0"/>
    <xf numFmtId="0" fontId="22" fillId="0" borderId="0"/>
    <xf numFmtId="0" fontId="31" fillId="0" borderId="0"/>
    <xf numFmtId="0" fontId="22" fillId="0" borderId="0"/>
    <xf numFmtId="0" fontId="36" fillId="0" borderId="0"/>
    <xf numFmtId="206" fontId="27" fillId="0" borderId="0"/>
    <xf numFmtId="206" fontId="27" fillId="0" borderId="0"/>
    <xf numFmtId="0" fontId="33" fillId="0" borderId="0"/>
    <xf numFmtId="0" fontId="37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4" fillId="0" borderId="0"/>
    <xf numFmtId="0" fontId="5" fillId="0" borderId="0" applyFill="0" applyBorder="0" applyAlignment="0"/>
    <xf numFmtId="207" fontId="5" fillId="2" borderId="0" applyNumberFormat="0" applyFont="0" applyBorder="0" applyAlignment="0">
      <protection locked="0"/>
    </xf>
    <xf numFmtId="0" fontId="38" fillId="0" borderId="0"/>
    <xf numFmtId="4" fontId="39" fillId="0" borderId="0">
      <protection locked="0"/>
    </xf>
    <xf numFmtId="3" fontId="24" fillId="0" borderId="0" applyFont="0" applyFill="0" applyBorder="0" applyAlignment="0" applyProtection="0"/>
    <xf numFmtId="208" fontId="5" fillId="0" borderId="0"/>
    <xf numFmtId="185" fontId="28" fillId="0" borderId="0">
      <protection locked="0"/>
    </xf>
    <xf numFmtId="209" fontId="5" fillId="0" borderId="0" applyFont="0" applyFill="0" applyBorder="0" applyAlignment="0" applyProtection="0"/>
    <xf numFmtId="210" fontId="40" fillId="0" borderId="0">
      <protection locked="0"/>
    </xf>
    <xf numFmtId="196" fontId="24" fillId="0" borderId="0" applyFont="0" applyFill="0" applyBorder="0" applyAlignment="0" applyProtection="0"/>
    <xf numFmtId="180" fontId="25" fillId="0" borderId="3" applyFill="0" applyBorder="0" applyAlignment="0"/>
    <xf numFmtId="185" fontId="28" fillId="0" borderId="0">
      <protection locked="0"/>
    </xf>
    <xf numFmtId="0" fontId="5" fillId="0" borderId="0"/>
    <xf numFmtId="211" fontId="40" fillId="0" borderId="0">
      <protection locked="0"/>
    </xf>
    <xf numFmtId="212" fontId="5" fillId="0" borderId="0"/>
    <xf numFmtId="191" fontId="41" fillId="0" borderId="0" applyFill="0" applyBorder="0" applyAlignment="0" applyProtection="0"/>
    <xf numFmtId="213" fontId="5" fillId="0" borderId="0" applyFont="0" applyFill="0" applyBorder="0" applyAlignment="0" applyProtection="0"/>
    <xf numFmtId="214" fontId="40" fillId="0" borderId="0">
      <protection locked="0"/>
    </xf>
    <xf numFmtId="38" fontId="42" fillId="3" borderId="0" applyNumberFormat="0" applyBorder="0" applyAlignment="0" applyProtection="0"/>
    <xf numFmtId="0" fontId="43" fillId="0" borderId="0">
      <alignment horizontal="left"/>
    </xf>
    <xf numFmtId="0" fontId="44" fillId="0" borderId="4" applyNumberFormat="0" applyAlignment="0" applyProtection="0">
      <alignment horizontal="left" vertical="center"/>
    </xf>
    <xf numFmtId="0" fontId="44" fillId="0" borderId="5">
      <alignment horizontal="left" vertical="center"/>
    </xf>
    <xf numFmtId="14" fontId="45" fillId="4" borderId="2">
      <alignment horizontal="center" vertical="center" wrapText="1"/>
    </xf>
    <xf numFmtId="215" fontId="40" fillId="0" borderId="0">
      <protection locked="0"/>
    </xf>
    <xf numFmtId="215" fontId="40" fillId="0" borderId="0">
      <protection locked="0"/>
    </xf>
    <xf numFmtId="0" fontId="46" fillId="0" borderId="6" applyNumberFormat="0" applyFill="0" applyBorder="0" applyAlignment="0" applyProtection="0">
      <alignment horizontal="left"/>
    </xf>
    <xf numFmtId="0" fontId="47" fillId="5" borderId="7" applyNumberFormat="0" applyFont="0" applyBorder="0" applyAlignment="0">
      <alignment horizontal="center"/>
      <protection locked="0"/>
    </xf>
    <xf numFmtId="10" fontId="42" fillId="3" borderId="3" applyNumberFormat="0" applyBorder="0" applyAlignment="0" applyProtection="0"/>
    <xf numFmtId="0" fontId="48" fillId="0" borderId="0" applyNumberFormat="0" applyFill="0" applyBorder="0" applyAlignment="0">
      <protection locked="0"/>
    </xf>
    <xf numFmtId="0" fontId="49" fillId="3" borderId="8">
      <alignment horizontal="left" vertical="top" indent="2"/>
    </xf>
    <xf numFmtId="0" fontId="50" fillId="0" borderId="2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216" fontId="5" fillId="0" borderId="0" applyFont="0" applyFill="0" applyBorder="0" applyAlignment="0" applyProtection="0"/>
    <xf numFmtId="217" fontId="5" fillId="0" borderId="0" applyFont="0" applyFill="0" applyBorder="0" applyAlignment="0" applyProtection="0"/>
    <xf numFmtId="37" fontId="51" fillId="0" borderId="0"/>
    <xf numFmtId="218" fontId="25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185" fontId="28" fillId="0" borderId="0">
      <protection locked="0"/>
    </xf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40" fontId="53" fillId="3" borderId="0">
      <alignment horizontal="right"/>
    </xf>
    <xf numFmtId="0" fontId="54" fillId="3" borderId="0">
      <alignment horizontal="right"/>
    </xf>
    <xf numFmtId="0" fontId="55" fillId="3" borderId="9"/>
    <xf numFmtId="0" fontId="55" fillId="0" borderId="0" applyBorder="0">
      <alignment horizontal="centerContinuous"/>
    </xf>
    <xf numFmtId="0" fontId="56" fillId="0" borderId="0" applyBorder="0">
      <alignment horizontal="centerContinuous"/>
    </xf>
    <xf numFmtId="0" fontId="57" fillId="3" borderId="0"/>
    <xf numFmtId="0" fontId="58" fillId="3" borderId="2"/>
    <xf numFmtId="200" fontId="29" fillId="0" borderId="0"/>
    <xf numFmtId="219" fontId="40" fillId="0" borderId="0">
      <protection locked="0"/>
    </xf>
    <xf numFmtId="220" fontId="40" fillId="0" borderId="0" applyFont="0" applyFill="0" applyBorder="0" applyAlignment="0" applyProtection="0"/>
    <xf numFmtId="10" fontId="8" fillId="0" borderId="0" applyFont="0" applyFill="0" applyBorder="0" applyAlignment="0" applyProtection="0"/>
    <xf numFmtId="221" fontId="5" fillId="0" borderId="0" applyFont="0" applyFill="0" applyBorder="0" applyAlignment="0" applyProtection="0"/>
    <xf numFmtId="0" fontId="25" fillId="0" borderId="0"/>
    <xf numFmtId="191" fontId="59" fillId="0" borderId="0" applyFill="0" applyBorder="0" applyAlignment="0" applyProtection="0"/>
    <xf numFmtId="0" fontId="50" fillId="0" borderId="0"/>
    <xf numFmtId="0" fontId="60" fillId="0" borderId="0" applyFill="0" applyBorder="0" applyProtection="0">
      <alignment horizontal="left" vertical="top"/>
    </xf>
    <xf numFmtId="0" fontId="61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215" fontId="40" fillId="0" borderId="10">
      <protection locked="0"/>
    </xf>
    <xf numFmtId="222" fontId="5" fillId="0" borderId="0" applyFont="0" applyFill="0" applyBorder="0" applyAlignment="0" applyProtection="0"/>
    <xf numFmtId="180" fontId="63" fillId="3" borderId="0">
      <alignment vertical="center"/>
    </xf>
    <xf numFmtId="223" fontId="9" fillId="0" borderId="0">
      <protection locked="0"/>
    </xf>
    <xf numFmtId="0" fontId="64" fillId="0" borderId="0">
      <protection locked="0"/>
    </xf>
    <xf numFmtId="0" fontId="64" fillId="0" borderId="0">
      <protection locked="0"/>
    </xf>
    <xf numFmtId="224" fontId="27" fillId="0" borderId="0"/>
    <xf numFmtId="224" fontId="27" fillId="0" borderId="0"/>
    <xf numFmtId="224" fontId="27" fillId="0" borderId="0"/>
    <xf numFmtId="224" fontId="27" fillId="0" borderId="0"/>
    <xf numFmtId="224" fontId="27" fillId="0" borderId="0"/>
    <xf numFmtId="224" fontId="27" fillId="0" borderId="0"/>
    <xf numFmtId="224" fontId="27" fillId="0" borderId="0"/>
    <xf numFmtId="224" fontId="27" fillId="0" borderId="0"/>
    <xf numFmtId="224" fontId="27" fillId="0" borderId="0"/>
    <xf numFmtId="224" fontId="27" fillId="0" borderId="0"/>
    <xf numFmtId="224" fontId="27" fillId="0" borderId="0"/>
    <xf numFmtId="0" fontId="65" fillId="0" borderId="0"/>
    <xf numFmtId="225" fontId="8" fillId="0" borderId="3">
      <alignment horizontal="right" vertical="center" shrinkToFit="1"/>
    </xf>
    <xf numFmtId="0" fontId="39" fillId="0" borderId="0">
      <protection locked="0"/>
    </xf>
    <xf numFmtId="0" fontId="39" fillId="0" borderId="0">
      <protection locked="0"/>
    </xf>
    <xf numFmtId="226" fontId="25" fillId="0" borderId="0">
      <alignment vertical="center"/>
    </xf>
    <xf numFmtId="227" fontId="40" fillId="0" borderId="3" applyFont="0" applyBorder="0" applyAlignment="0">
      <alignment horizontal="center" vertical="center"/>
    </xf>
    <xf numFmtId="0" fontId="25" fillId="0" borderId="0" applyBorder="0"/>
    <xf numFmtId="0" fontId="5" fillId="0" borderId="0" applyFont="0" applyFill="0" applyBorder="0" applyAlignment="0" applyProtection="0"/>
    <xf numFmtId="180" fontId="20" fillId="3" borderId="3">
      <alignment horizontal="right" vertical="center"/>
      <protection locked="0"/>
    </xf>
    <xf numFmtId="177" fontId="5" fillId="0" borderId="0" applyFont="0" applyFill="0" applyBorder="0" applyAlignment="0" applyProtection="0"/>
    <xf numFmtId="177" fontId="19" fillId="0" borderId="0" applyFont="0" applyFill="0" applyBorder="0" applyAlignment="0" applyProtection="0">
      <alignment vertical="center"/>
    </xf>
    <xf numFmtId="177" fontId="19" fillId="0" borderId="0" applyFont="0" applyFill="0" applyBorder="0" applyAlignment="0" applyProtection="0">
      <alignment vertical="center"/>
    </xf>
    <xf numFmtId="177" fontId="19" fillId="0" borderId="0" applyFont="0" applyFill="0" applyBorder="0" applyAlignment="0" applyProtection="0">
      <alignment vertical="center"/>
    </xf>
    <xf numFmtId="177" fontId="19" fillId="0" borderId="0" applyFont="0" applyFill="0" applyBorder="0" applyAlignment="0" applyProtection="0">
      <alignment vertical="center"/>
    </xf>
    <xf numFmtId="177" fontId="19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0" fontId="8" fillId="0" borderId="0"/>
    <xf numFmtId="184" fontId="25" fillId="0" borderId="0" applyFont="0" applyFill="0" applyBorder="0" applyAlignment="0" applyProtection="0"/>
    <xf numFmtId="184" fontId="25" fillId="0" borderId="0" applyFont="0" applyFill="0" applyBorder="0" applyAlignment="0" applyProtection="0"/>
    <xf numFmtId="0" fontId="67" fillId="0" borderId="11"/>
    <xf numFmtId="228" fontId="68" fillId="0" borderId="0" applyFont="0" applyFill="0" applyBorder="0" applyAlignment="0" applyProtection="0"/>
    <xf numFmtId="182" fontId="69" fillId="0" borderId="0" applyFont="0" applyFill="0" applyBorder="0" applyAlignment="0" applyProtection="0"/>
    <xf numFmtId="229" fontId="62" fillId="0" borderId="0" applyFill="0" applyBorder="0" applyProtection="0">
      <alignment horizontal="right"/>
    </xf>
    <xf numFmtId="4" fontId="70" fillId="0" borderId="0" applyFont="0" applyFill="0" applyBorder="0" applyAlignment="0" applyProtection="0"/>
    <xf numFmtId="3" fontId="70" fillId="0" borderId="0" applyFont="0" applyFill="0" applyBorder="0" applyAlignment="0" applyProtection="0"/>
    <xf numFmtId="226" fontId="25" fillId="0" borderId="0">
      <alignment vertical="center"/>
    </xf>
    <xf numFmtId="226" fontId="25" fillId="0" borderId="0">
      <alignment vertical="center"/>
    </xf>
    <xf numFmtId="230" fontId="8" fillId="0" borderId="0" applyFill="0" applyBorder="0" applyProtection="0">
      <alignment vertical="center"/>
    </xf>
    <xf numFmtId="0" fontId="25" fillId="0" borderId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184" fontId="25" fillId="0" borderId="0" applyFont="0" applyFill="0" applyBorder="0" applyAlignment="0" applyProtection="0"/>
    <xf numFmtId="0" fontId="72" fillId="6" borderId="12"/>
    <xf numFmtId="9" fontId="70" fillId="0" borderId="0" applyFont="0" applyFill="0" applyBorder="0" applyAlignment="0" applyProtection="0"/>
    <xf numFmtId="0" fontId="5" fillId="0" borderId="0"/>
    <xf numFmtId="0" fontId="74" fillId="0" borderId="0">
      <alignment vertical="center"/>
    </xf>
    <xf numFmtId="0" fontId="74" fillId="0" borderId="0">
      <alignment vertical="center"/>
    </xf>
    <xf numFmtId="0" fontId="5" fillId="0" borderId="0"/>
    <xf numFmtId="0" fontId="20" fillId="0" borderId="0">
      <alignment vertical="center"/>
    </xf>
    <xf numFmtId="0" fontId="5" fillId="0" borderId="0">
      <alignment vertical="center"/>
    </xf>
    <xf numFmtId="0" fontId="74" fillId="0" borderId="0">
      <alignment vertical="center"/>
    </xf>
    <xf numFmtId="0" fontId="8" fillId="0" borderId="0">
      <alignment vertical="center"/>
    </xf>
    <xf numFmtId="0" fontId="74" fillId="0" borderId="0">
      <alignment vertical="center"/>
    </xf>
    <xf numFmtId="0" fontId="5" fillId="0" borderId="0"/>
    <xf numFmtId="0" fontId="5" fillId="0" borderId="0"/>
    <xf numFmtId="0" fontId="21" fillId="0" borderId="0"/>
    <xf numFmtId="0" fontId="5" fillId="0" borderId="0"/>
    <xf numFmtId="0" fontId="5" fillId="0" borderId="0">
      <alignment vertical="center"/>
    </xf>
    <xf numFmtId="0" fontId="5" fillId="0" borderId="0">
      <alignment vertical="center"/>
    </xf>
    <xf numFmtId="0" fontId="73" fillId="0" borderId="0" applyNumberFormat="0" applyFill="0" applyBorder="0" applyAlignment="0" applyProtection="0">
      <alignment vertical="top"/>
      <protection locked="0"/>
    </xf>
    <xf numFmtId="0" fontId="39" fillId="0" borderId="13">
      <protection locked="0"/>
    </xf>
    <xf numFmtId="38" fontId="71" fillId="0" borderId="0" applyFont="0" applyFill="0" applyBorder="0" applyAlignment="0" applyProtection="0"/>
    <xf numFmtId="0" fontId="70" fillId="0" borderId="0" applyFont="0" applyFill="0" applyBorder="0" applyAlignment="0" applyProtection="0"/>
    <xf numFmtId="0" fontId="70" fillId="0" borderId="0" applyFont="0" applyFill="0" applyBorder="0" applyAlignment="0" applyProtection="0"/>
    <xf numFmtId="180" fontId="63" fillId="0" borderId="0">
      <alignment horizontal="right" vertical="center"/>
    </xf>
    <xf numFmtId="0" fontId="75" fillId="0" borderId="0"/>
    <xf numFmtId="0" fontId="75" fillId="0" borderId="0"/>
    <xf numFmtId="0" fontId="5" fillId="0" borderId="0"/>
    <xf numFmtId="38" fontId="24" fillId="0" borderId="0" applyFont="0" applyFill="0" applyBorder="0" applyAlignment="0" applyProtection="0"/>
    <xf numFmtId="0" fontId="29" fillId="0" borderId="0"/>
    <xf numFmtId="0" fontId="8" fillId="0" borderId="0"/>
    <xf numFmtId="3" fontId="83" fillId="0" borderId="0" applyFont="0" applyFill="0" applyBorder="0" applyAlignment="0" applyProtection="0">
      <alignment vertical="center"/>
    </xf>
    <xf numFmtId="231" fontId="5" fillId="0" borderId="0" applyFont="0" applyFill="0" applyBorder="0" applyAlignment="0" applyProtection="0"/>
    <xf numFmtId="232" fontId="5" fillId="0" borderId="0" applyFont="0" applyFill="0" applyBorder="0" applyAlignment="0" applyProtection="0"/>
    <xf numFmtId="233" fontId="5" fillId="0" borderId="3" applyFont="0" applyFill="0" applyBorder="0" applyAlignment="0" applyProtection="0">
      <alignment vertical="center"/>
    </xf>
    <xf numFmtId="233" fontId="5" fillId="0" borderId="3" applyFont="0" applyFill="0" applyBorder="0" applyAlignment="0" applyProtection="0">
      <alignment vertical="center"/>
    </xf>
    <xf numFmtId="233" fontId="5" fillId="0" borderId="3" applyFont="0" applyFill="0" applyBorder="0" applyAlignment="0" applyProtection="0">
      <alignment vertical="center"/>
    </xf>
    <xf numFmtId="233" fontId="5" fillId="0" borderId="3" applyFont="0" applyFill="0" applyBorder="0" applyAlignment="0" applyProtection="0">
      <alignment vertical="center"/>
    </xf>
    <xf numFmtId="233" fontId="5" fillId="0" borderId="3" applyFont="0" applyFill="0" applyBorder="0" applyAlignment="0" applyProtection="0">
      <alignment vertical="center"/>
    </xf>
    <xf numFmtId="233" fontId="5" fillId="0" borderId="3" applyFont="0" applyFill="0" applyBorder="0" applyAlignment="0" applyProtection="0">
      <alignment vertical="center"/>
    </xf>
    <xf numFmtId="233" fontId="5" fillId="0" borderId="3" applyFont="0" applyFill="0" applyBorder="0" applyAlignment="0" applyProtection="0">
      <alignment vertical="center"/>
    </xf>
    <xf numFmtId="233" fontId="5" fillId="0" borderId="3" applyFont="0" applyFill="0" applyBorder="0" applyAlignment="0" applyProtection="0">
      <alignment vertical="center"/>
    </xf>
    <xf numFmtId="233" fontId="5" fillId="0" borderId="3" applyFont="0" applyFill="0" applyBorder="0" applyAlignment="0" applyProtection="0">
      <alignment vertical="center"/>
    </xf>
    <xf numFmtId="233" fontId="5" fillId="0" borderId="3" applyFont="0" applyFill="0" applyBorder="0" applyAlignment="0" applyProtection="0">
      <alignment vertical="center"/>
    </xf>
    <xf numFmtId="233" fontId="5" fillId="0" borderId="3" applyFont="0" applyFill="0" applyBorder="0" applyAlignment="0" applyProtection="0">
      <alignment vertical="center"/>
    </xf>
    <xf numFmtId="233" fontId="5" fillId="0" borderId="3" applyFont="0" applyFill="0" applyBorder="0" applyAlignment="0" applyProtection="0">
      <alignment vertical="center"/>
    </xf>
    <xf numFmtId="233" fontId="5" fillId="0" borderId="3" applyFont="0" applyFill="0" applyBorder="0" applyAlignment="0" applyProtection="0">
      <alignment vertical="center"/>
    </xf>
    <xf numFmtId="233" fontId="5" fillId="0" borderId="3" applyFont="0" applyFill="0" applyBorder="0" applyAlignment="0" applyProtection="0">
      <alignment vertical="center"/>
    </xf>
    <xf numFmtId="233" fontId="5" fillId="0" borderId="3" applyFont="0" applyFill="0" applyBorder="0" applyAlignment="0" applyProtection="0">
      <alignment vertical="center"/>
    </xf>
    <xf numFmtId="233" fontId="5" fillId="0" borderId="3" applyFont="0" applyFill="0" applyBorder="0" applyAlignment="0" applyProtection="0">
      <alignment vertical="center"/>
    </xf>
    <xf numFmtId="233" fontId="5" fillId="0" borderId="3" applyFont="0" applyFill="0" applyBorder="0" applyAlignment="0" applyProtection="0">
      <alignment vertical="center"/>
    </xf>
    <xf numFmtId="233" fontId="5" fillId="0" borderId="3" applyFont="0" applyFill="0" applyBorder="0" applyAlignment="0" applyProtection="0">
      <alignment vertical="center"/>
    </xf>
    <xf numFmtId="233" fontId="5" fillId="0" borderId="3" applyFont="0" applyFill="0" applyBorder="0" applyAlignment="0" applyProtection="0">
      <alignment vertical="center"/>
    </xf>
    <xf numFmtId="233" fontId="5" fillId="0" borderId="3" applyFont="0" applyFill="0" applyBorder="0" applyAlignment="0" applyProtection="0">
      <alignment vertical="center"/>
    </xf>
    <xf numFmtId="233" fontId="5" fillId="0" borderId="3" applyFont="0" applyFill="0" applyBorder="0" applyAlignment="0" applyProtection="0">
      <alignment vertical="center"/>
    </xf>
    <xf numFmtId="233" fontId="5" fillId="0" borderId="3" applyFont="0" applyFill="0" applyBorder="0" applyAlignment="0" applyProtection="0">
      <alignment vertical="center"/>
    </xf>
    <xf numFmtId="233" fontId="5" fillId="0" borderId="3" applyFont="0" applyFill="0" applyBorder="0" applyAlignment="0" applyProtection="0">
      <alignment vertical="center"/>
    </xf>
    <xf numFmtId="233" fontId="5" fillId="0" borderId="3" applyFont="0" applyFill="0" applyBorder="0" applyAlignment="0" applyProtection="0">
      <alignment vertical="center"/>
    </xf>
    <xf numFmtId="233" fontId="5" fillId="0" borderId="3" applyFont="0" applyFill="0" applyBorder="0" applyAlignment="0" applyProtection="0">
      <alignment vertical="center"/>
    </xf>
    <xf numFmtId="233" fontId="5" fillId="0" borderId="3" applyFont="0" applyFill="0" applyBorder="0" applyAlignment="0" applyProtection="0">
      <alignment vertical="center"/>
    </xf>
    <xf numFmtId="233" fontId="5" fillId="0" borderId="3" applyFont="0" applyFill="0" applyBorder="0" applyAlignment="0" applyProtection="0">
      <alignment vertical="center"/>
    </xf>
    <xf numFmtId="233" fontId="5" fillId="0" borderId="3" applyFont="0" applyFill="0" applyBorder="0" applyAlignment="0" applyProtection="0">
      <alignment vertical="center"/>
    </xf>
    <xf numFmtId="233" fontId="5" fillId="0" borderId="3" applyFont="0" applyFill="0" applyBorder="0" applyAlignment="0" applyProtection="0">
      <alignment vertical="center"/>
    </xf>
    <xf numFmtId="233" fontId="5" fillId="0" borderId="3" applyFont="0" applyFill="0" applyBorder="0" applyAlignment="0" applyProtection="0">
      <alignment vertical="center"/>
    </xf>
    <xf numFmtId="233" fontId="5" fillId="0" borderId="3" applyFont="0" applyFill="0" applyBorder="0" applyAlignment="0" applyProtection="0">
      <alignment vertical="center"/>
    </xf>
    <xf numFmtId="233" fontId="5" fillId="0" borderId="3" applyFont="0" applyFill="0" applyBorder="0" applyAlignment="0" applyProtection="0">
      <alignment vertical="center"/>
    </xf>
    <xf numFmtId="233" fontId="5" fillId="0" borderId="3" applyFont="0" applyFill="0" applyBorder="0" applyAlignment="0" applyProtection="0">
      <alignment vertical="center"/>
    </xf>
    <xf numFmtId="233" fontId="5" fillId="0" borderId="3" applyFont="0" applyFill="0" applyBorder="0" applyAlignment="0" applyProtection="0">
      <alignment vertical="center"/>
    </xf>
    <xf numFmtId="233" fontId="5" fillId="0" borderId="3" applyFont="0" applyFill="0" applyBorder="0" applyAlignment="0" applyProtection="0">
      <alignment vertical="center"/>
    </xf>
    <xf numFmtId="233" fontId="5" fillId="0" borderId="3" applyFont="0" applyFill="0" applyBorder="0" applyAlignment="0" applyProtection="0">
      <alignment vertical="center"/>
    </xf>
    <xf numFmtId="233" fontId="5" fillId="0" borderId="3" applyFont="0" applyFill="0" applyBorder="0" applyAlignment="0" applyProtection="0">
      <alignment vertical="center"/>
    </xf>
    <xf numFmtId="233" fontId="5" fillId="0" borderId="3" applyFont="0" applyFill="0" applyBorder="0" applyAlignment="0" applyProtection="0">
      <alignment vertical="center"/>
    </xf>
    <xf numFmtId="233" fontId="5" fillId="0" borderId="3" applyFont="0" applyFill="0" applyBorder="0" applyAlignment="0" applyProtection="0">
      <alignment vertical="center"/>
    </xf>
    <xf numFmtId="233" fontId="5" fillId="0" borderId="3" applyFont="0" applyFill="0" applyBorder="0" applyAlignment="0" applyProtection="0">
      <alignment vertical="center"/>
    </xf>
    <xf numFmtId="233" fontId="5" fillId="0" borderId="3" applyFont="0" applyFill="0" applyBorder="0" applyAlignment="0" applyProtection="0">
      <alignment vertical="center"/>
    </xf>
    <xf numFmtId="233" fontId="5" fillId="0" borderId="3" applyFont="0" applyFill="0" applyBorder="0" applyAlignment="0" applyProtection="0">
      <alignment vertical="center"/>
    </xf>
    <xf numFmtId="233" fontId="5" fillId="0" borderId="3" applyFont="0" applyFill="0" applyBorder="0" applyAlignment="0" applyProtection="0">
      <alignment vertical="center"/>
    </xf>
    <xf numFmtId="233" fontId="5" fillId="0" borderId="3" applyFont="0" applyFill="0" applyBorder="0" applyAlignment="0" applyProtection="0">
      <alignment vertical="center"/>
    </xf>
    <xf numFmtId="233" fontId="5" fillId="0" borderId="3" applyFont="0" applyFill="0" applyBorder="0" applyAlignment="0" applyProtection="0">
      <alignment vertical="center"/>
    </xf>
    <xf numFmtId="234" fontId="5" fillId="0" borderId="0" applyFont="0" applyFill="0" applyBorder="0" applyAlignment="0" applyProtection="0"/>
    <xf numFmtId="235" fontId="5" fillId="0" borderId="0" applyFont="0" applyFill="0" applyBorder="0" applyAlignment="0" applyProtection="0"/>
    <xf numFmtId="236" fontId="5" fillId="0" borderId="0" applyFont="0" applyFill="0" applyBorder="0" applyAlignment="0" applyProtection="0"/>
    <xf numFmtId="235" fontId="5" fillId="0" borderId="0" applyFont="0" applyFill="0" applyBorder="0" applyAlignment="0" applyProtection="0"/>
    <xf numFmtId="237" fontId="5" fillId="0" borderId="0" applyFont="0" applyFill="0" applyBorder="0" applyAlignment="0" applyProtection="0"/>
    <xf numFmtId="238" fontId="5" fillId="0" borderId="0" applyFont="0" applyFill="0" applyBorder="0" applyAlignment="0" applyProtection="0"/>
    <xf numFmtId="239" fontId="5" fillId="0" borderId="0" applyFont="0" applyFill="0" applyBorder="0" applyAlignment="0" applyProtection="0"/>
    <xf numFmtId="240" fontId="5" fillId="0" borderId="0" applyFont="0" applyFill="0" applyBorder="0" applyAlignment="0" applyProtection="0"/>
    <xf numFmtId="241" fontId="5" fillId="0" borderId="0" applyFont="0" applyFill="0" applyBorder="0" applyAlignment="0" applyProtection="0"/>
    <xf numFmtId="242" fontId="5" fillId="0" borderId="0" applyFont="0" applyFill="0" applyBorder="0" applyAlignment="0" applyProtection="0"/>
    <xf numFmtId="243" fontId="5" fillId="0" borderId="0" applyFont="0" applyFill="0" applyBorder="0" applyAlignment="0" applyProtection="0"/>
    <xf numFmtId="244" fontId="5" fillId="0" borderId="0" applyFont="0" applyFill="0" applyBorder="0" applyAlignment="0" applyProtection="0"/>
    <xf numFmtId="210" fontId="5" fillId="0" borderId="0" applyFont="0" applyFill="0" applyBorder="0" applyAlignment="0" applyProtection="0"/>
    <xf numFmtId="214" fontId="5" fillId="0" borderId="0" applyFont="0" applyFill="0" applyBorder="0" applyAlignment="0" applyProtection="0"/>
    <xf numFmtId="219" fontId="5" fillId="0" borderId="3" applyFont="0" applyFill="0" applyBorder="0" applyAlignment="0" applyProtection="0">
      <alignment vertical="center"/>
    </xf>
    <xf numFmtId="219" fontId="5" fillId="0" borderId="3" applyFont="0" applyFill="0" applyBorder="0" applyAlignment="0" applyProtection="0">
      <alignment vertical="center"/>
    </xf>
    <xf numFmtId="219" fontId="5" fillId="0" borderId="3" applyFont="0" applyFill="0" applyBorder="0" applyAlignment="0" applyProtection="0">
      <alignment vertical="center"/>
    </xf>
    <xf numFmtId="219" fontId="5" fillId="0" borderId="3" applyFont="0" applyFill="0" applyBorder="0" applyAlignment="0" applyProtection="0">
      <alignment vertical="center"/>
    </xf>
    <xf numFmtId="219" fontId="5" fillId="0" borderId="3" applyFont="0" applyFill="0" applyBorder="0" applyAlignment="0" applyProtection="0">
      <alignment vertical="center"/>
    </xf>
    <xf numFmtId="219" fontId="5" fillId="0" borderId="3" applyFont="0" applyFill="0" applyBorder="0" applyAlignment="0" applyProtection="0">
      <alignment vertical="center"/>
    </xf>
    <xf numFmtId="219" fontId="5" fillId="0" borderId="3" applyFont="0" applyFill="0" applyBorder="0" applyAlignment="0" applyProtection="0">
      <alignment vertical="center"/>
    </xf>
    <xf numFmtId="219" fontId="5" fillId="0" borderId="3" applyFont="0" applyFill="0" applyBorder="0" applyAlignment="0" applyProtection="0">
      <alignment vertical="center"/>
    </xf>
    <xf numFmtId="219" fontId="5" fillId="0" borderId="3" applyFont="0" applyFill="0" applyBorder="0" applyAlignment="0" applyProtection="0">
      <alignment vertical="center"/>
    </xf>
    <xf numFmtId="219" fontId="5" fillId="0" borderId="3" applyFont="0" applyFill="0" applyBorder="0" applyAlignment="0" applyProtection="0">
      <alignment vertical="center"/>
    </xf>
    <xf numFmtId="219" fontId="5" fillId="0" borderId="3" applyFont="0" applyFill="0" applyBorder="0" applyAlignment="0" applyProtection="0">
      <alignment vertical="center"/>
    </xf>
    <xf numFmtId="219" fontId="5" fillId="0" borderId="3" applyFont="0" applyFill="0" applyBorder="0" applyAlignment="0" applyProtection="0">
      <alignment vertical="center"/>
    </xf>
    <xf numFmtId="219" fontId="5" fillId="0" borderId="3" applyFont="0" applyFill="0" applyBorder="0" applyAlignment="0" applyProtection="0">
      <alignment vertical="center"/>
    </xf>
    <xf numFmtId="219" fontId="5" fillId="0" borderId="3" applyFont="0" applyFill="0" applyBorder="0" applyAlignment="0" applyProtection="0">
      <alignment vertical="center"/>
    </xf>
    <xf numFmtId="219" fontId="5" fillId="0" borderId="3" applyFont="0" applyFill="0" applyBorder="0" applyAlignment="0" applyProtection="0">
      <alignment vertical="center"/>
    </xf>
    <xf numFmtId="219" fontId="5" fillId="0" borderId="3" applyFont="0" applyFill="0" applyBorder="0" applyAlignment="0" applyProtection="0">
      <alignment vertical="center"/>
    </xf>
    <xf numFmtId="219" fontId="5" fillId="0" borderId="3" applyFont="0" applyFill="0" applyBorder="0" applyAlignment="0" applyProtection="0">
      <alignment vertical="center"/>
    </xf>
    <xf numFmtId="219" fontId="5" fillId="0" borderId="3" applyFont="0" applyFill="0" applyBorder="0" applyAlignment="0" applyProtection="0">
      <alignment vertical="center"/>
    </xf>
    <xf numFmtId="219" fontId="5" fillId="0" borderId="3" applyFont="0" applyFill="0" applyBorder="0" applyAlignment="0" applyProtection="0">
      <alignment vertical="center"/>
    </xf>
    <xf numFmtId="219" fontId="5" fillId="0" borderId="3" applyFont="0" applyFill="0" applyBorder="0" applyAlignment="0" applyProtection="0">
      <alignment vertical="center"/>
    </xf>
    <xf numFmtId="219" fontId="5" fillId="0" borderId="3" applyFont="0" applyFill="0" applyBorder="0" applyAlignment="0" applyProtection="0">
      <alignment vertical="center"/>
    </xf>
    <xf numFmtId="219" fontId="5" fillId="0" borderId="3" applyFont="0" applyFill="0" applyBorder="0" applyAlignment="0" applyProtection="0">
      <alignment vertical="center"/>
    </xf>
    <xf numFmtId="219" fontId="5" fillId="0" borderId="3" applyFont="0" applyFill="0" applyBorder="0" applyAlignment="0" applyProtection="0">
      <alignment vertical="center"/>
    </xf>
    <xf numFmtId="219" fontId="5" fillId="0" borderId="3" applyFont="0" applyFill="0" applyBorder="0" applyAlignment="0" applyProtection="0">
      <alignment vertical="center"/>
    </xf>
    <xf numFmtId="219" fontId="5" fillId="0" borderId="3" applyFont="0" applyFill="0" applyBorder="0" applyAlignment="0" applyProtection="0">
      <alignment vertical="center"/>
    </xf>
    <xf numFmtId="219" fontId="5" fillId="0" borderId="3" applyFont="0" applyFill="0" applyBorder="0" applyAlignment="0" applyProtection="0">
      <alignment vertical="center"/>
    </xf>
    <xf numFmtId="219" fontId="5" fillId="0" borderId="3" applyFont="0" applyFill="0" applyBorder="0" applyAlignment="0" applyProtection="0">
      <alignment vertical="center"/>
    </xf>
    <xf numFmtId="219" fontId="5" fillId="0" borderId="3" applyFont="0" applyFill="0" applyBorder="0" applyAlignment="0" applyProtection="0">
      <alignment vertical="center"/>
    </xf>
    <xf numFmtId="219" fontId="5" fillId="0" borderId="3" applyFont="0" applyFill="0" applyBorder="0" applyAlignment="0" applyProtection="0">
      <alignment vertical="center"/>
    </xf>
    <xf numFmtId="219" fontId="5" fillId="0" borderId="3" applyFont="0" applyFill="0" applyBorder="0" applyAlignment="0" applyProtection="0">
      <alignment vertical="center"/>
    </xf>
    <xf numFmtId="219" fontId="5" fillId="0" borderId="3" applyFont="0" applyFill="0" applyBorder="0" applyAlignment="0" applyProtection="0">
      <alignment vertical="center"/>
    </xf>
    <xf numFmtId="219" fontId="5" fillId="0" borderId="3" applyFont="0" applyFill="0" applyBorder="0" applyAlignment="0" applyProtection="0">
      <alignment vertical="center"/>
    </xf>
    <xf numFmtId="219" fontId="5" fillId="0" borderId="3" applyFont="0" applyFill="0" applyBorder="0" applyAlignment="0" applyProtection="0">
      <alignment vertical="center"/>
    </xf>
    <xf numFmtId="219" fontId="5" fillId="0" borderId="3" applyFont="0" applyFill="0" applyBorder="0" applyAlignment="0" applyProtection="0">
      <alignment vertical="center"/>
    </xf>
    <xf numFmtId="219" fontId="5" fillId="0" borderId="3" applyFont="0" applyFill="0" applyBorder="0" applyAlignment="0" applyProtection="0">
      <alignment vertical="center"/>
    </xf>
    <xf numFmtId="219" fontId="5" fillId="0" borderId="3" applyFont="0" applyFill="0" applyBorder="0" applyAlignment="0" applyProtection="0">
      <alignment vertical="center"/>
    </xf>
    <xf numFmtId="219" fontId="5" fillId="0" borderId="3" applyFont="0" applyFill="0" applyBorder="0" applyAlignment="0" applyProtection="0">
      <alignment vertical="center"/>
    </xf>
    <xf numFmtId="219" fontId="5" fillId="0" borderId="3" applyFont="0" applyFill="0" applyBorder="0" applyAlignment="0" applyProtection="0">
      <alignment vertical="center"/>
    </xf>
    <xf numFmtId="219" fontId="5" fillId="0" borderId="3" applyFont="0" applyFill="0" applyBorder="0" applyAlignment="0" applyProtection="0">
      <alignment vertical="center"/>
    </xf>
    <xf numFmtId="219" fontId="5" fillId="0" borderId="3" applyFont="0" applyFill="0" applyBorder="0" applyAlignment="0" applyProtection="0">
      <alignment vertical="center"/>
    </xf>
    <xf numFmtId="219" fontId="5" fillId="0" borderId="3" applyFont="0" applyFill="0" applyBorder="0" applyAlignment="0" applyProtection="0">
      <alignment vertical="center"/>
    </xf>
    <xf numFmtId="219" fontId="5" fillId="0" borderId="3" applyFont="0" applyFill="0" applyBorder="0" applyAlignment="0" applyProtection="0">
      <alignment vertical="center"/>
    </xf>
    <xf numFmtId="219" fontId="5" fillId="0" borderId="3" applyFont="0" applyFill="0" applyBorder="0" applyAlignment="0" applyProtection="0">
      <alignment vertical="center"/>
    </xf>
    <xf numFmtId="219" fontId="5" fillId="0" borderId="3" applyFont="0" applyFill="0" applyBorder="0" applyAlignment="0" applyProtection="0">
      <alignment vertical="center"/>
    </xf>
    <xf numFmtId="219" fontId="5" fillId="0" borderId="3" applyFont="0" applyFill="0" applyBorder="0" applyAlignment="0" applyProtection="0">
      <alignment vertical="center"/>
    </xf>
    <xf numFmtId="215" fontId="5" fillId="0" borderId="0" applyFont="0" applyFill="0" applyBorder="0" applyAlignment="0" applyProtection="0"/>
    <xf numFmtId="211" fontId="5" fillId="0" borderId="0" applyFont="0" applyFill="0" applyBorder="0" applyAlignment="0" applyProtection="0"/>
    <xf numFmtId="212" fontId="5" fillId="0" borderId="0" applyFont="0" applyFill="0" applyBorder="0" applyAlignment="0" applyProtection="0"/>
    <xf numFmtId="245" fontId="5" fillId="0" borderId="0" applyFont="0" applyFill="0" applyBorder="0" applyAlignment="0" applyProtection="0"/>
    <xf numFmtId="246" fontId="5" fillId="0" borderId="0" applyFont="0" applyFill="0" applyBorder="0" applyAlignment="0" applyProtection="0"/>
    <xf numFmtId="247" fontId="5" fillId="0" borderId="0" applyFont="0" applyFill="0" applyBorder="0" applyAlignment="0" applyProtection="0"/>
    <xf numFmtId="248" fontId="5" fillId="0" borderId="0" applyFont="0" applyFill="0" applyBorder="0" applyAlignment="0" applyProtection="0"/>
    <xf numFmtId="249" fontId="5" fillId="0" borderId="0" applyFont="0" applyFill="0" applyBorder="0" applyAlignment="0" applyProtection="0"/>
    <xf numFmtId="250" fontId="5" fillId="0" borderId="0" applyFont="0" applyFill="0" applyBorder="0" applyAlignment="0" applyProtection="0"/>
    <xf numFmtId="251" fontId="5" fillId="0" borderId="0" applyFont="0" applyFill="0" applyBorder="0" applyAlignment="0" applyProtection="0"/>
    <xf numFmtId="0" fontId="25" fillId="0" borderId="0"/>
    <xf numFmtId="0" fontId="8" fillId="0" borderId="0"/>
    <xf numFmtId="0" fontId="5" fillId="0" borderId="0" applyFont="0" applyFill="0" applyBorder="0" applyAlignment="0" applyProtection="0"/>
    <xf numFmtId="0" fontId="8" fillId="0" borderId="0"/>
    <xf numFmtId="0" fontId="77" fillId="0" borderId="0"/>
    <xf numFmtId="0" fontId="77" fillId="0" borderId="0"/>
    <xf numFmtId="0" fontId="77" fillId="0" borderId="0"/>
    <xf numFmtId="0" fontId="8" fillId="0" borderId="0"/>
    <xf numFmtId="0" fontId="25" fillId="0" borderId="0"/>
    <xf numFmtId="0" fontId="8" fillId="0" borderId="0"/>
    <xf numFmtId="0" fontId="84" fillId="0" borderId="0"/>
    <xf numFmtId="0" fontId="85" fillId="0" borderId="0" applyNumberFormat="0" applyFill="0" applyBorder="0" applyAlignment="0" applyProtection="0"/>
    <xf numFmtId="0" fontId="8" fillId="0" borderId="0" applyFont="0" applyFill="0" applyBorder="0" applyAlignment="0" applyProtection="0"/>
    <xf numFmtId="0" fontId="86" fillId="0" borderId="0" applyFont="0" applyFill="0" applyBorder="0" applyAlignment="0" applyProtection="0"/>
    <xf numFmtId="0" fontId="87" fillId="0" borderId="0" applyNumberFormat="0" applyFill="0" applyBorder="0" applyAlignment="0" applyProtection="0">
      <alignment vertical="top"/>
      <protection locked="0"/>
    </xf>
    <xf numFmtId="0" fontId="86" fillId="0" borderId="0" applyFont="0" applyFill="0" applyBorder="0" applyAlignment="0" applyProtection="0"/>
    <xf numFmtId="0" fontId="8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5" fillId="0" borderId="0"/>
    <xf numFmtId="0" fontId="17" fillId="0" borderId="0" applyFont="0" applyFill="0" applyBorder="0" applyAlignment="0" applyProtection="0"/>
    <xf numFmtId="0" fontId="8" fillId="0" borderId="0"/>
    <xf numFmtId="0" fontId="8" fillId="0" borderId="0"/>
    <xf numFmtId="0" fontId="89" fillId="0" borderId="0"/>
    <xf numFmtId="0" fontId="77" fillId="0" borderId="0"/>
    <xf numFmtId="0" fontId="25" fillId="0" borderId="0"/>
    <xf numFmtId="0" fontId="8" fillId="0" borderId="0"/>
    <xf numFmtId="0" fontId="90" fillId="0" borderId="0" applyFont="0" applyFill="0" applyBorder="0" applyAlignment="0" applyProtection="0"/>
    <xf numFmtId="0" fontId="91" fillId="0" borderId="0"/>
    <xf numFmtId="0" fontId="8" fillId="0" borderId="0"/>
    <xf numFmtId="0" fontId="90" fillId="0" borderId="0"/>
    <xf numFmtId="0" fontId="8" fillId="0" borderId="0"/>
    <xf numFmtId="179" fontId="90" fillId="0" borderId="0" applyFont="0" applyFill="0" applyBorder="0" applyAlignment="0" applyProtection="0"/>
    <xf numFmtId="9" fontId="90" fillId="0" borderId="0" applyFont="0" applyFill="0" applyBorder="0" applyAlignment="0" applyProtection="0"/>
    <xf numFmtId="0" fontId="8" fillId="0" borderId="0"/>
    <xf numFmtId="0" fontId="8" fillId="0" borderId="0"/>
    <xf numFmtId="0" fontId="25" fillId="0" borderId="0" applyFont="0" applyFill="0" applyBorder="0" applyAlignment="0" applyProtection="0"/>
    <xf numFmtId="177" fontId="92" fillId="0" borderId="0" applyFont="0" applyFill="0" applyBorder="0" applyAlignment="0" applyProtection="0"/>
    <xf numFmtId="0" fontId="25" fillId="0" borderId="0" applyFont="0" applyFill="0" applyBorder="0" applyAlignment="0" applyProtection="0"/>
    <xf numFmtId="177" fontId="92" fillId="0" borderId="0" applyFont="0" applyFill="0" applyBorder="0" applyAlignment="0" applyProtection="0"/>
    <xf numFmtId="0" fontId="25" fillId="0" borderId="0"/>
    <xf numFmtId="0" fontId="8" fillId="0" borderId="0"/>
    <xf numFmtId="0" fontId="8" fillId="0" borderId="0"/>
    <xf numFmtId="177" fontId="92" fillId="0" borderId="0" applyFont="0" applyFill="0" applyBorder="0" applyAlignment="0" applyProtection="0"/>
    <xf numFmtId="0" fontId="8" fillId="0" borderId="0"/>
    <xf numFmtId="0" fontId="25" fillId="0" borderId="0" applyFont="0" applyFill="0" applyBorder="0" applyAlignment="0" applyProtection="0"/>
    <xf numFmtId="177" fontId="92" fillId="0" borderId="0" applyFont="0" applyFill="0" applyBorder="0" applyAlignment="0" applyProtection="0"/>
    <xf numFmtId="0" fontId="77" fillId="0" borderId="0"/>
    <xf numFmtId="0" fontId="25" fillId="0" borderId="0"/>
    <xf numFmtId="0" fontId="77" fillId="0" borderId="0"/>
    <xf numFmtId="0" fontId="25" fillId="0" borderId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/>
    <xf numFmtId="0" fontId="93" fillId="0" borderId="0"/>
    <xf numFmtId="0" fontId="8" fillId="0" borderId="0"/>
    <xf numFmtId="177" fontId="92" fillId="0" borderId="0" applyFont="0" applyFill="0" applyBorder="0" applyAlignment="0" applyProtection="0"/>
    <xf numFmtId="0" fontId="8" fillId="0" borderId="0"/>
    <xf numFmtId="0" fontId="89" fillId="0" borderId="0">
      <alignment vertical="top"/>
    </xf>
    <xf numFmtId="177" fontId="92" fillId="0" borderId="0" applyFont="0" applyFill="0" applyBorder="0" applyAlignment="0" applyProtection="0"/>
    <xf numFmtId="177" fontId="92" fillId="0" borderId="0" applyFont="0" applyFill="0" applyBorder="0" applyAlignment="0" applyProtection="0"/>
    <xf numFmtId="177" fontId="92" fillId="0" borderId="0" applyFont="0" applyFill="0" applyBorder="0" applyAlignment="0" applyProtection="0"/>
    <xf numFmtId="0" fontId="8" fillId="0" borderId="0"/>
    <xf numFmtId="0" fontId="89" fillId="0" borderId="0">
      <alignment vertical="top"/>
    </xf>
    <xf numFmtId="177" fontId="92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 applyNumberFormat="0" applyFill="0" applyBorder="0" applyAlignment="0" applyProtection="0"/>
    <xf numFmtId="0" fontId="8" fillId="0" borderId="0"/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/>
    <xf numFmtId="0" fontId="8" fillId="0" borderId="0"/>
    <xf numFmtId="0" fontId="8" fillId="0" borderId="0"/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 applyFont="0" applyFill="0" applyBorder="0" applyAlignment="0" applyProtection="0"/>
    <xf numFmtId="0" fontId="8" fillId="0" borderId="0"/>
    <xf numFmtId="177" fontId="92" fillId="0" borderId="0" applyFont="0" applyFill="0" applyBorder="0" applyAlignment="0" applyProtection="0"/>
    <xf numFmtId="177" fontId="92" fillId="0" borderId="0" applyFont="0" applyFill="0" applyBorder="0" applyAlignment="0" applyProtection="0"/>
    <xf numFmtId="177" fontId="92" fillId="0" borderId="0" applyFont="0" applyFill="0" applyBorder="0" applyAlignment="0" applyProtection="0"/>
    <xf numFmtId="177" fontId="92" fillId="0" borderId="0" applyFont="0" applyFill="0" applyBorder="0" applyAlignment="0" applyProtection="0"/>
    <xf numFmtId="177" fontId="92" fillId="0" borderId="0" applyFont="0" applyFill="0" applyBorder="0" applyAlignment="0" applyProtection="0"/>
    <xf numFmtId="177" fontId="92" fillId="0" borderId="0" applyFont="0" applyFill="0" applyBorder="0" applyAlignment="0" applyProtection="0"/>
    <xf numFmtId="0" fontId="8" fillId="0" borderId="0"/>
    <xf numFmtId="177" fontId="92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177" fontId="92" fillId="0" borderId="0" applyFont="0" applyFill="0" applyBorder="0" applyAlignment="0" applyProtection="0"/>
    <xf numFmtId="177" fontId="92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7" fontId="92" fillId="0" borderId="0" applyFont="0" applyFill="0" applyBorder="0" applyAlignment="0" applyProtection="0"/>
    <xf numFmtId="177" fontId="92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>
      <alignment vertical="top"/>
    </xf>
    <xf numFmtId="0" fontId="89" fillId="0" borderId="0"/>
    <xf numFmtId="0" fontId="89" fillId="0" borderId="0"/>
    <xf numFmtId="0" fontId="89" fillId="0" borderId="0"/>
    <xf numFmtId="0" fontId="89" fillId="0" borderId="0"/>
    <xf numFmtId="184" fontId="25" fillId="0" borderId="0" applyFont="0" applyFill="0" applyBorder="0" applyAlignment="0" applyProtection="0"/>
    <xf numFmtId="0" fontId="8" fillId="0" borderId="0"/>
    <xf numFmtId="0" fontId="25" fillId="0" borderId="0" applyFont="0" applyFill="0" applyBorder="0" applyAlignment="0" applyProtection="0"/>
    <xf numFmtId="0" fontId="8" fillId="0" borderId="0"/>
    <xf numFmtId="0" fontId="8" fillId="0" borderId="0"/>
    <xf numFmtId="0" fontId="25" fillId="0" borderId="0" applyFont="0" applyFill="0" applyBorder="0" applyAlignment="0" applyProtection="0"/>
    <xf numFmtId="0" fontId="8" fillId="0" borderId="0"/>
    <xf numFmtId="0" fontId="25" fillId="0" borderId="0" applyFont="0" applyFill="0" applyBorder="0" applyAlignment="0" applyProtection="0"/>
    <xf numFmtId="0" fontId="8" fillId="0" borderId="0"/>
    <xf numFmtId="0" fontId="25" fillId="0" borderId="0" applyFont="0" applyFill="0" applyBorder="0" applyAlignment="0" applyProtection="0"/>
    <xf numFmtId="177" fontId="92" fillId="0" borderId="0" applyFont="0" applyFill="0" applyBorder="0" applyAlignment="0" applyProtection="0"/>
    <xf numFmtId="0" fontId="8" fillId="23" borderId="0"/>
    <xf numFmtId="0" fontId="93" fillId="0" borderId="0"/>
    <xf numFmtId="0" fontId="94" fillId="24" borderId="0"/>
    <xf numFmtId="0" fontId="93" fillId="0" borderId="0"/>
    <xf numFmtId="0" fontId="95" fillId="25" borderId="0"/>
    <xf numFmtId="0" fontId="93" fillId="0" borderId="0"/>
    <xf numFmtId="0" fontId="96" fillId="26" borderId="0"/>
    <xf numFmtId="0" fontId="93" fillId="0" borderId="0"/>
    <xf numFmtId="0" fontId="97" fillId="0" borderId="0"/>
    <xf numFmtId="0" fontId="93" fillId="0" borderId="0"/>
    <xf numFmtId="0" fontId="98" fillId="0" borderId="0"/>
    <xf numFmtId="0" fontId="93" fillId="0" borderId="0"/>
    <xf numFmtId="0" fontId="42" fillId="0" borderId="0"/>
    <xf numFmtId="0" fontId="93" fillId="0" borderId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4" fontId="8" fillId="27" borderId="0"/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93" fillId="0" borderId="0"/>
    <xf numFmtId="179" fontId="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8" fillId="0" borderId="0"/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99" fillId="4" borderId="0"/>
    <xf numFmtId="0" fontId="99" fillId="4" borderId="0"/>
    <xf numFmtId="0" fontId="93" fillId="0" borderId="0"/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177" fontId="92" fillId="0" borderId="0" applyFont="0" applyFill="0" applyBorder="0" applyAlignment="0" applyProtection="0"/>
    <xf numFmtId="0" fontId="8" fillId="0" borderId="0"/>
    <xf numFmtId="0" fontId="8" fillId="0" borderId="0">
      <alignment horizontal="left" wrapText="1"/>
    </xf>
    <xf numFmtId="0" fontId="8" fillId="0" borderId="0">
      <alignment vertical="top"/>
    </xf>
    <xf numFmtId="0" fontId="8" fillId="0" borderId="0"/>
    <xf numFmtId="0" fontId="77" fillId="0" borderId="0"/>
    <xf numFmtId="0" fontId="25" fillId="0" borderId="0"/>
    <xf numFmtId="177" fontId="92" fillId="0" borderId="0" applyFont="0" applyFill="0" applyBorder="0" applyAlignment="0" applyProtection="0"/>
    <xf numFmtId="0" fontId="8" fillId="0" borderId="0">
      <alignment vertical="top"/>
    </xf>
    <xf numFmtId="0" fontId="8" fillId="23" borderId="0"/>
    <xf numFmtId="0" fontId="8" fillId="23" borderId="0"/>
    <xf numFmtId="0" fontId="8" fillId="23" borderId="0"/>
    <xf numFmtId="0" fontId="93" fillId="0" borderId="0"/>
    <xf numFmtId="0" fontId="94" fillId="24" borderId="0"/>
    <xf numFmtId="0" fontId="93" fillId="0" borderId="0"/>
    <xf numFmtId="0" fontId="95" fillId="25" borderId="0"/>
    <xf numFmtId="0" fontId="93" fillId="0" borderId="0"/>
    <xf numFmtId="0" fontId="96" fillId="26" borderId="0"/>
    <xf numFmtId="0" fontId="93" fillId="0" borderId="0"/>
    <xf numFmtId="0" fontId="97" fillId="0" borderId="0"/>
    <xf numFmtId="0" fontId="93" fillId="0" borderId="0"/>
    <xf numFmtId="0" fontId="98" fillId="0" borderId="0"/>
    <xf numFmtId="0" fontId="93" fillId="0" borderId="0"/>
    <xf numFmtId="0" fontId="42" fillId="0" borderId="0"/>
    <xf numFmtId="0" fontId="93" fillId="0" borderId="0"/>
    <xf numFmtId="0" fontId="8" fillId="0" borderId="0" applyNumberFormat="0" applyFill="0" applyBorder="0" applyAlignment="0" applyProtection="0"/>
    <xf numFmtId="0" fontId="8" fillId="0" borderId="0">
      <alignment vertical="top"/>
    </xf>
    <xf numFmtId="0" fontId="8" fillId="0" borderId="0"/>
    <xf numFmtId="0" fontId="77" fillId="0" borderId="0"/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177" fontId="92" fillId="0" borderId="0" applyFont="0" applyFill="0" applyBorder="0" applyAlignment="0" applyProtection="0"/>
    <xf numFmtId="177" fontId="92" fillId="0" borderId="0" applyFont="0" applyFill="0" applyBorder="0" applyAlignment="0" applyProtection="0"/>
    <xf numFmtId="0" fontId="8" fillId="0" borderId="0"/>
    <xf numFmtId="177" fontId="92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17" fillId="0" borderId="0" applyFont="0" applyFill="0" applyBorder="0" applyAlignment="0" applyProtection="0"/>
    <xf numFmtId="177" fontId="92" fillId="0" borderId="0" applyFont="0" applyFill="0" applyBorder="0" applyAlignment="0" applyProtection="0"/>
    <xf numFmtId="177" fontId="92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177" fontId="92" fillId="0" borderId="0" applyFont="0" applyFill="0" applyBorder="0" applyAlignment="0" applyProtection="0"/>
    <xf numFmtId="0" fontId="8" fillId="0" borderId="0"/>
    <xf numFmtId="177" fontId="92" fillId="0" borderId="0" applyFont="0" applyFill="0" applyBorder="0" applyAlignment="0" applyProtection="0"/>
    <xf numFmtId="177" fontId="92" fillId="0" borderId="0" applyFont="0" applyFill="0" applyBorder="0" applyAlignment="0" applyProtection="0"/>
    <xf numFmtId="0" fontId="8" fillId="0" borderId="0"/>
    <xf numFmtId="177" fontId="92" fillId="0" borderId="0" applyFont="0" applyFill="0" applyBorder="0" applyAlignment="0" applyProtection="0"/>
    <xf numFmtId="177" fontId="92" fillId="0" borderId="0" applyFont="0" applyFill="0" applyBorder="0" applyAlignment="0" applyProtection="0"/>
    <xf numFmtId="177" fontId="92" fillId="0" borderId="0" applyFont="0" applyFill="0" applyBorder="0" applyAlignment="0" applyProtection="0"/>
    <xf numFmtId="0" fontId="100" fillId="0" borderId="0"/>
    <xf numFmtId="0" fontId="100" fillId="0" borderId="0"/>
    <xf numFmtId="0" fontId="100" fillId="0" borderId="0"/>
    <xf numFmtId="0" fontId="100" fillId="0" borderId="0"/>
    <xf numFmtId="177" fontId="92" fillId="0" borderId="0" applyFont="0" applyFill="0" applyBorder="0" applyAlignment="0" applyProtection="0"/>
    <xf numFmtId="0" fontId="25" fillId="0" borderId="0" applyFont="0" applyFill="0" applyBorder="0" applyAlignment="0" applyProtection="0"/>
    <xf numFmtId="177" fontId="92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/>
    <xf numFmtId="0" fontId="8" fillId="0" borderId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17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25" fillId="0" borderId="0"/>
    <xf numFmtId="0" fontId="8" fillId="0" borderId="0"/>
    <xf numFmtId="0" fontId="89" fillId="0" borderId="0">
      <alignment vertical="top"/>
    </xf>
    <xf numFmtId="177" fontId="92" fillId="0" borderId="0" applyFont="0" applyFill="0" applyBorder="0" applyAlignment="0" applyProtection="0"/>
    <xf numFmtId="177" fontId="92" fillId="0" borderId="0" applyFont="0" applyFill="0" applyBorder="0" applyAlignment="0" applyProtection="0"/>
    <xf numFmtId="0" fontId="8" fillId="0" borderId="0"/>
    <xf numFmtId="177" fontId="92" fillId="0" borderId="0" applyFont="0" applyFill="0" applyBorder="0" applyAlignment="0" applyProtection="0"/>
    <xf numFmtId="177" fontId="92" fillId="0" borderId="0" applyFont="0" applyFill="0" applyBorder="0" applyAlignment="0" applyProtection="0"/>
    <xf numFmtId="177" fontId="92" fillId="0" borderId="0" applyFont="0" applyFill="0" applyBorder="0" applyAlignment="0" applyProtection="0"/>
    <xf numFmtId="177" fontId="92" fillId="0" borderId="0" applyFont="0" applyFill="0" applyBorder="0" applyAlignment="0" applyProtection="0"/>
    <xf numFmtId="177" fontId="92" fillId="0" borderId="0" applyFont="0" applyFill="0" applyBorder="0" applyAlignment="0" applyProtection="0"/>
    <xf numFmtId="0" fontId="8" fillId="0" borderId="0"/>
    <xf numFmtId="177" fontId="92" fillId="0" borderId="0" applyFont="0" applyFill="0" applyBorder="0" applyAlignment="0" applyProtection="0"/>
    <xf numFmtId="0" fontId="8" fillId="0" borderId="0"/>
    <xf numFmtId="177" fontId="92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8" fillId="0" borderId="0"/>
    <xf numFmtId="177" fontId="92" fillId="0" borderId="0" applyFont="0" applyFill="0" applyBorder="0" applyAlignment="0" applyProtection="0"/>
    <xf numFmtId="177" fontId="92" fillId="0" borderId="0" applyFon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/>
    <xf numFmtId="177" fontId="92" fillId="0" borderId="0" applyFont="0" applyFill="0" applyBorder="0" applyAlignment="0" applyProtection="0"/>
    <xf numFmtId="177" fontId="92" fillId="0" borderId="0" applyFont="0" applyFill="0" applyBorder="0" applyAlignment="0" applyProtection="0"/>
    <xf numFmtId="177" fontId="92" fillId="0" borderId="0" applyFont="0" applyFill="0" applyBorder="0" applyAlignment="0" applyProtection="0"/>
    <xf numFmtId="0" fontId="89" fillId="0" borderId="0">
      <alignment vertical="top"/>
    </xf>
    <xf numFmtId="177" fontId="92" fillId="0" borderId="0" applyFont="0" applyFill="0" applyBorder="0" applyAlignment="0" applyProtection="0"/>
    <xf numFmtId="177" fontId="92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8" fillId="0" borderId="0"/>
    <xf numFmtId="0" fontId="8" fillId="0" borderId="0"/>
    <xf numFmtId="177" fontId="92" fillId="0" borderId="0" applyFont="0" applyFill="0" applyBorder="0" applyAlignment="0" applyProtection="0"/>
    <xf numFmtId="0" fontId="8" fillId="0" borderId="0"/>
    <xf numFmtId="0" fontId="8" fillId="0" borderId="0"/>
    <xf numFmtId="177" fontId="92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9" fillId="0" borderId="0"/>
    <xf numFmtId="0" fontId="93" fillId="0" borderId="0"/>
    <xf numFmtId="0" fontId="100" fillId="0" borderId="0"/>
    <xf numFmtId="177" fontId="92" fillId="0" borderId="0" applyFont="0" applyFill="0" applyBorder="0" applyAlignment="0" applyProtection="0"/>
    <xf numFmtId="177" fontId="92" fillId="0" borderId="0" applyFont="0" applyFill="0" applyBorder="0" applyAlignment="0" applyProtection="0"/>
    <xf numFmtId="177" fontId="92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252" fontId="62" fillId="0" borderId="0" applyFont="0" applyFill="0" applyBorder="0" applyAlignment="0" applyProtection="0"/>
    <xf numFmtId="0" fontId="62" fillId="0" borderId="0"/>
    <xf numFmtId="253" fontId="62" fillId="0" borderId="0" applyFont="0" applyFill="0" applyBorder="0" applyAlignment="0" applyProtection="0"/>
    <xf numFmtId="0" fontId="8" fillId="0" borderId="0" applyNumberFormat="0" applyFill="0" applyBorder="0" applyAlignment="0" applyProtection="0"/>
    <xf numFmtId="0" fontId="101" fillId="0" borderId="0">
      <alignment horizontal="centerContinuous"/>
    </xf>
    <xf numFmtId="0" fontId="102" fillId="0" borderId="0"/>
    <xf numFmtId="1" fontId="29" fillId="0" borderId="1">
      <alignment horizontal="center" vertical="center"/>
    </xf>
    <xf numFmtId="1" fontId="29" fillId="0" borderId="1">
      <alignment horizontal="center" vertical="center"/>
    </xf>
    <xf numFmtId="1" fontId="29" fillId="0" borderId="1">
      <alignment horizontal="center" vertical="center"/>
    </xf>
    <xf numFmtId="0" fontId="8" fillId="0" borderId="0" applyNumberFormat="0" applyFill="0" applyBorder="0" applyAlignment="0" applyProtection="0"/>
    <xf numFmtId="185" fontId="28" fillId="0" borderId="0">
      <protection locked="0"/>
    </xf>
    <xf numFmtId="199" fontId="103" fillId="0" borderId="0" applyFont="0" applyFill="0" applyBorder="0" applyAlignment="0" applyProtection="0"/>
    <xf numFmtId="0" fontId="104" fillId="28" borderId="0" applyNumberFormat="0" applyBorder="0" applyAlignment="0" applyProtection="0"/>
    <xf numFmtId="0" fontId="104" fillId="29" borderId="0" applyNumberFormat="0" applyBorder="0" applyAlignment="0" applyProtection="0"/>
    <xf numFmtId="0" fontId="104" fillId="30" borderId="0" applyNumberFormat="0" applyBorder="0" applyAlignment="0" applyProtection="0"/>
    <xf numFmtId="0" fontId="104" fillId="31" borderId="0" applyNumberFormat="0" applyBorder="0" applyAlignment="0" applyProtection="0"/>
    <xf numFmtId="0" fontId="104" fillId="32" borderId="0" applyNumberFormat="0" applyBorder="0" applyAlignment="0" applyProtection="0"/>
    <xf numFmtId="0" fontId="104" fillId="33" borderId="0" applyNumberFormat="0" applyBorder="0" applyAlignment="0" applyProtection="0"/>
    <xf numFmtId="0" fontId="105" fillId="28" borderId="0" applyNumberFormat="0" applyBorder="0" applyAlignment="0" applyProtection="0">
      <alignment vertical="center"/>
    </xf>
    <xf numFmtId="0" fontId="105" fillId="29" borderId="0" applyNumberFormat="0" applyBorder="0" applyAlignment="0" applyProtection="0">
      <alignment vertical="center"/>
    </xf>
    <xf numFmtId="0" fontId="105" fillId="30" borderId="0" applyNumberFormat="0" applyBorder="0" applyAlignment="0" applyProtection="0">
      <alignment vertical="center"/>
    </xf>
    <xf numFmtId="0" fontId="105" fillId="31" borderId="0" applyNumberFormat="0" applyBorder="0" applyAlignment="0" applyProtection="0">
      <alignment vertical="center"/>
    </xf>
    <xf numFmtId="0" fontId="105" fillId="32" borderId="0" applyNumberFormat="0" applyBorder="0" applyAlignment="0" applyProtection="0">
      <alignment vertical="center"/>
    </xf>
    <xf numFmtId="0" fontId="105" fillId="33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19" fillId="34" borderId="0" applyNumberFormat="0" applyBorder="0" applyAlignment="0" applyProtection="0"/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19" fillId="34" borderId="0" applyNumberFormat="0" applyBorder="0" applyAlignment="0" applyProtection="0"/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19" fillId="34" borderId="0" applyNumberFormat="0" applyBorder="0" applyAlignment="0" applyProtection="0"/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19" fillId="34" borderId="0" applyNumberFormat="0" applyBorder="0" applyAlignment="0" applyProtection="0"/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19" fillId="34" borderId="0" applyNumberFormat="0" applyBorder="0" applyAlignment="0" applyProtection="0"/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19" fillId="34" borderId="0" applyNumberFormat="0" applyBorder="0" applyAlignment="0" applyProtection="0"/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19" fillId="34" borderId="0" applyNumberFormat="0" applyBorder="0" applyAlignment="0" applyProtection="0"/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19" fillId="35" borderId="0" applyNumberFormat="0" applyBorder="0" applyAlignment="0" applyProtection="0"/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19" fillId="35" borderId="0" applyNumberFormat="0" applyBorder="0" applyAlignment="0" applyProtection="0"/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19" fillId="35" borderId="0" applyNumberFormat="0" applyBorder="0" applyAlignment="0" applyProtection="0"/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19" fillId="35" borderId="0" applyNumberFormat="0" applyBorder="0" applyAlignment="0" applyProtection="0"/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19" fillId="35" borderId="0" applyNumberFormat="0" applyBorder="0" applyAlignment="0" applyProtection="0"/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19" fillId="35" borderId="0" applyNumberFormat="0" applyBorder="0" applyAlignment="0" applyProtection="0"/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19" fillId="35" borderId="0" applyNumberFormat="0" applyBorder="0" applyAlignment="0" applyProtection="0"/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19" fillId="36" borderId="0" applyNumberFormat="0" applyBorder="0" applyAlignment="0" applyProtection="0"/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19" fillId="36" borderId="0" applyNumberFormat="0" applyBorder="0" applyAlignment="0" applyProtection="0"/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19" fillId="36" borderId="0" applyNumberFormat="0" applyBorder="0" applyAlignment="0" applyProtection="0"/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19" fillId="36" borderId="0" applyNumberFormat="0" applyBorder="0" applyAlignment="0" applyProtection="0"/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19" fillId="36" borderId="0" applyNumberFormat="0" applyBorder="0" applyAlignment="0" applyProtection="0"/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19" fillId="36" borderId="0" applyNumberFormat="0" applyBorder="0" applyAlignment="0" applyProtection="0"/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19" fillId="36" borderId="0" applyNumberFormat="0" applyBorder="0" applyAlignment="0" applyProtection="0"/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19" fillId="37" borderId="0" applyNumberFormat="0" applyBorder="0" applyAlignment="0" applyProtection="0"/>
    <xf numFmtId="0" fontId="4" fillId="17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19" fillId="37" borderId="0" applyNumberFormat="0" applyBorder="0" applyAlignment="0" applyProtection="0"/>
    <xf numFmtId="0" fontId="4" fillId="17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19" fillId="37" borderId="0" applyNumberFormat="0" applyBorder="0" applyAlignment="0" applyProtection="0"/>
    <xf numFmtId="0" fontId="4" fillId="17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19" fillId="37" borderId="0" applyNumberFormat="0" applyBorder="0" applyAlignment="0" applyProtection="0"/>
    <xf numFmtId="0" fontId="4" fillId="17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19" fillId="37" borderId="0" applyNumberFormat="0" applyBorder="0" applyAlignment="0" applyProtection="0"/>
    <xf numFmtId="0" fontId="4" fillId="17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19" fillId="37" borderId="0" applyNumberFormat="0" applyBorder="0" applyAlignment="0" applyProtection="0"/>
    <xf numFmtId="0" fontId="4" fillId="17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19" fillId="37" borderId="0" applyNumberFormat="0" applyBorder="0" applyAlignment="0" applyProtection="0"/>
    <xf numFmtId="0" fontId="4" fillId="17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19" fillId="38" borderId="0" applyNumberFormat="0" applyBorder="0" applyAlignment="0" applyProtection="0"/>
    <xf numFmtId="0" fontId="4" fillId="19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19" fillId="38" borderId="0" applyNumberFormat="0" applyBorder="0" applyAlignment="0" applyProtection="0"/>
    <xf numFmtId="0" fontId="4" fillId="19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19" fillId="38" borderId="0" applyNumberFormat="0" applyBorder="0" applyAlignment="0" applyProtection="0"/>
    <xf numFmtId="0" fontId="4" fillId="19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19" fillId="38" borderId="0" applyNumberFormat="0" applyBorder="0" applyAlignment="0" applyProtection="0"/>
    <xf numFmtId="0" fontId="4" fillId="19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19" fillId="38" borderId="0" applyNumberFormat="0" applyBorder="0" applyAlignment="0" applyProtection="0"/>
    <xf numFmtId="0" fontId="4" fillId="19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19" fillId="38" borderId="0" applyNumberFormat="0" applyBorder="0" applyAlignment="0" applyProtection="0"/>
    <xf numFmtId="0" fontId="4" fillId="19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19" fillId="38" borderId="0" applyNumberFormat="0" applyBorder="0" applyAlignment="0" applyProtection="0"/>
    <xf numFmtId="0" fontId="4" fillId="19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19" fillId="39" borderId="0" applyNumberFormat="0" applyBorder="0" applyAlignment="0" applyProtection="0"/>
    <xf numFmtId="0" fontId="4" fillId="21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19" fillId="39" borderId="0" applyNumberFormat="0" applyBorder="0" applyAlignment="0" applyProtection="0"/>
    <xf numFmtId="0" fontId="4" fillId="21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19" fillId="39" borderId="0" applyNumberFormat="0" applyBorder="0" applyAlignment="0" applyProtection="0"/>
    <xf numFmtId="0" fontId="4" fillId="21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19" fillId="39" borderId="0" applyNumberFormat="0" applyBorder="0" applyAlignment="0" applyProtection="0"/>
    <xf numFmtId="0" fontId="4" fillId="21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19" fillId="39" borderId="0" applyNumberFormat="0" applyBorder="0" applyAlignment="0" applyProtection="0"/>
    <xf numFmtId="0" fontId="4" fillId="21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19" fillId="39" borderId="0" applyNumberFormat="0" applyBorder="0" applyAlignment="0" applyProtection="0"/>
    <xf numFmtId="0" fontId="4" fillId="21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19" fillId="39" borderId="0" applyNumberFormat="0" applyBorder="0" applyAlignment="0" applyProtection="0"/>
    <xf numFmtId="0" fontId="4" fillId="21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8" fillId="0" borderId="0" applyNumberFormat="0" applyFont="0" applyFill="0" applyBorder="0" applyAlignment="0"/>
    <xf numFmtId="0" fontId="104" fillId="40" borderId="0" applyNumberFormat="0" applyBorder="0" applyAlignment="0" applyProtection="0"/>
    <xf numFmtId="0" fontId="104" fillId="41" borderId="0" applyNumberFormat="0" applyBorder="0" applyAlignment="0" applyProtection="0"/>
    <xf numFmtId="0" fontId="104" fillId="42" borderId="0" applyNumberFormat="0" applyBorder="0" applyAlignment="0" applyProtection="0"/>
    <xf numFmtId="0" fontId="104" fillId="31" borderId="0" applyNumberFormat="0" applyBorder="0" applyAlignment="0" applyProtection="0"/>
    <xf numFmtId="0" fontId="104" fillId="40" borderId="0" applyNumberFormat="0" applyBorder="0" applyAlignment="0" applyProtection="0"/>
    <xf numFmtId="0" fontId="104" fillId="43" borderId="0" applyNumberFormat="0" applyBorder="0" applyAlignment="0" applyProtection="0"/>
    <xf numFmtId="0" fontId="105" fillId="40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42" borderId="0" applyNumberFormat="0" applyBorder="0" applyAlignment="0" applyProtection="0">
      <alignment vertical="center"/>
    </xf>
    <xf numFmtId="0" fontId="105" fillId="31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43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19" fillId="44" borderId="0" applyNumberFormat="0" applyBorder="0" applyAlignment="0" applyProtection="0"/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19" fillId="44" borderId="0" applyNumberFormat="0" applyBorder="0" applyAlignment="0" applyProtection="0"/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19" fillId="44" borderId="0" applyNumberFormat="0" applyBorder="0" applyAlignment="0" applyProtection="0"/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19" fillId="44" borderId="0" applyNumberFormat="0" applyBorder="0" applyAlignment="0" applyProtection="0"/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19" fillId="44" borderId="0" applyNumberFormat="0" applyBorder="0" applyAlignment="0" applyProtection="0"/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19" fillId="44" borderId="0" applyNumberFormat="0" applyBorder="0" applyAlignment="0" applyProtection="0"/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19" fillId="44" borderId="0" applyNumberFormat="0" applyBorder="0" applyAlignment="0" applyProtection="0"/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9" fillId="45" borderId="0" applyNumberFormat="0" applyBorder="0" applyAlignment="0" applyProtection="0"/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9" fillId="45" borderId="0" applyNumberFormat="0" applyBorder="0" applyAlignment="0" applyProtection="0"/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9" fillId="45" borderId="0" applyNumberFormat="0" applyBorder="0" applyAlignment="0" applyProtection="0"/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9" fillId="45" borderId="0" applyNumberFormat="0" applyBorder="0" applyAlignment="0" applyProtection="0"/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9" fillId="45" borderId="0" applyNumberFormat="0" applyBorder="0" applyAlignment="0" applyProtection="0"/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9" fillId="45" borderId="0" applyNumberFormat="0" applyBorder="0" applyAlignment="0" applyProtection="0"/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9" fillId="45" borderId="0" applyNumberFormat="0" applyBorder="0" applyAlignment="0" applyProtection="0"/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19" fillId="46" borderId="0" applyNumberFormat="0" applyBorder="0" applyAlignment="0" applyProtection="0"/>
    <xf numFmtId="0" fontId="4" fillId="16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19" fillId="46" borderId="0" applyNumberFormat="0" applyBorder="0" applyAlignment="0" applyProtection="0"/>
    <xf numFmtId="0" fontId="4" fillId="16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19" fillId="46" borderId="0" applyNumberFormat="0" applyBorder="0" applyAlignment="0" applyProtection="0"/>
    <xf numFmtId="0" fontId="4" fillId="16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19" fillId="46" borderId="0" applyNumberFormat="0" applyBorder="0" applyAlignment="0" applyProtection="0"/>
    <xf numFmtId="0" fontId="4" fillId="16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19" fillId="46" borderId="0" applyNumberFormat="0" applyBorder="0" applyAlignment="0" applyProtection="0"/>
    <xf numFmtId="0" fontId="4" fillId="16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19" fillId="46" borderId="0" applyNumberFormat="0" applyBorder="0" applyAlignment="0" applyProtection="0"/>
    <xf numFmtId="0" fontId="4" fillId="16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19" fillId="46" borderId="0" applyNumberFormat="0" applyBorder="0" applyAlignment="0" applyProtection="0"/>
    <xf numFmtId="0" fontId="4" fillId="16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9" fillId="47" borderId="0" applyNumberFormat="0" applyBorder="0" applyAlignment="0" applyProtection="0"/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9" fillId="47" borderId="0" applyNumberFormat="0" applyBorder="0" applyAlignment="0" applyProtection="0"/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9" fillId="47" borderId="0" applyNumberFormat="0" applyBorder="0" applyAlignment="0" applyProtection="0"/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9" fillId="47" borderId="0" applyNumberFormat="0" applyBorder="0" applyAlignment="0" applyProtection="0"/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9" fillId="47" borderId="0" applyNumberFormat="0" applyBorder="0" applyAlignment="0" applyProtection="0"/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9" fillId="47" borderId="0" applyNumberFormat="0" applyBorder="0" applyAlignment="0" applyProtection="0"/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9" fillId="47" borderId="0" applyNumberFormat="0" applyBorder="0" applyAlignment="0" applyProtection="0"/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19" fillId="48" borderId="0" applyNumberFormat="0" applyBorder="0" applyAlignment="0" applyProtection="0"/>
    <xf numFmtId="0" fontId="4" fillId="20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19" fillId="48" borderId="0" applyNumberFormat="0" applyBorder="0" applyAlignment="0" applyProtection="0"/>
    <xf numFmtId="0" fontId="4" fillId="20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19" fillId="48" borderId="0" applyNumberFormat="0" applyBorder="0" applyAlignment="0" applyProtection="0"/>
    <xf numFmtId="0" fontId="4" fillId="20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19" fillId="48" borderId="0" applyNumberFormat="0" applyBorder="0" applyAlignment="0" applyProtection="0"/>
    <xf numFmtId="0" fontId="4" fillId="20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19" fillId="48" borderId="0" applyNumberFormat="0" applyBorder="0" applyAlignment="0" applyProtection="0"/>
    <xf numFmtId="0" fontId="4" fillId="20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19" fillId="48" borderId="0" applyNumberFormat="0" applyBorder="0" applyAlignment="0" applyProtection="0"/>
    <xf numFmtId="0" fontId="4" fillId="20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19" fillId="48" borderId="0" applyNumberFormat="0" applyBorder="0" applyAlignment="0" applyProtection="0"/>
    <xf numFmtId="0" fontId="4" fillId="20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19" fillId="49" borderId="0" applyNumberFormat="0" applyBorder="0" applyAlignment="0" applyProtection="0"/>
    <xf numFmtId="0" fontId="4" fillId="22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19" fillId="49" borderId="0" applyNumberFormat="0" applyBorder="0" applyAlignment="0" applyProtection="0"/>
    <xf numFmtId="0" fontId="4" fillId="22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19" fillId="49" borderId="0" applyNumberFormat="0" applyBorder="0" applyAlignment="0" applyProtection="0"/>
    <xf numFmtId="0" fontId="4" fillId="22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19" fillId="49" borderId="0" applyNumberFormat="0" applyBorder="0" applyAlignment="0" applyProtection="0"/>
    <xf numFmtId="0" fontId="4" fillId="22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19" fillId="49" borderId="0" applyNumberFormat="0" applyBorder="0" applyAlignment="0" applyProtection="0"/>
    <xf numFmtId="0" fontId="4" fillId="22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19" fillId="49" borderId="0" applyNumberFormat="0" applyBorder="0" applyAlignment="0" applyProtection="0"/>
    <xf numFmtId="0" fontId="4" fillId="22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19" fillId="49" borderId="0" applyNumberFormat="0" applyBorder="0" applyAlignment="0" applyProtection="0"/>
    <xf numFmtId="0" fontId="4" fillId="22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106" fillId="50" borderId="0" applyNumberFormat="0" applyBorder="0" applyAlignment="0" applyProtection="0"/>
    <xf numFmtId="0" fontId="106" fillId="41" borderId="0" applyNumberFormat="0" applyBorder="0" applyAlignment="0" applyProtection="0"/>
    <xf numFmtId="0" fontId="106" fillId="42" borderId="0" applyNumberFormat="0" applyBorder="0" applyAlignment="0" applyProtection="0"/>
    <xf numFmtId="0" fontId="106" fillId="51" borderId="0" applyNumberFormat="0" applyBorder="0" applyAlignment="0" applyProtection="0"/>
    <xf numFmtId="0" fontId="106" fillId="52" borderId="0" applyNumberFormat="0" applyBorder="0" applyAlignment="0" applyProtection="0"/>
    <xf numFmtId="0" fontId="106" fillId="53" borderId="0" applyNumberFormat="0" applyBorder="0" applyAlignment="0" applyProtection="0"/>
    <xf numFmtId="0" fontId="107" fillId="50" borderId="0" applyNumberFormat="0" applyBorder="0" applyAlignment="0" applyProtection="0">
      <alignment vertical="center"/>
    </xf>
    <xf numFmtId="0" fontId="107" fillId="41" borderId="0" applyNumberFormat="0" applyBorder="0" applyAlignment="0" applyProtection="0">
      <alignment vertical="center"/>
    </xf>
    <xf numFmtId="0" fontId="107" fillId="42" borderId="0" applyNumberFormat="0" applyBorder="0" applyAlignment="0" applyProtection="0">
      <alignment vertical="center"/>
    </xf>
    <xf numFmtId="0" fontId="107" fillId="51" borderId="0" applyNumberFormat="0" applyBorder="0" applyAlignment="0" applyProtection="0">
      <alignment vertical="center"/>
    </xf>
    <xf numFmtId="0" fontId="107" fillId="52" borderId="0" applyNumberFormat="0" applyBorder="0" applyAlignment="0" applyProtection="0">
      <alignment vertical="center"/>
    </xf>
    <xf numFmtId="0" fontId="107" fillId="53" borderId="0" applyNumberFormat="0" applyBorder="0" applyAlignment="0" applyProtection="0">
      <alignment vertical="center"/>
    </xf>
    <xf numFmtId="0" fontId="108" fillId="50" borderId="0" applyNumberFormat="0" applyBorder="0" applyAlignment="0" applyProtection="0">
      <alignment vertical="center"/>
    </xf>
    <xf numFmtId="0" fontId="108" fillId="41" borderId="0" applyNumberFormat="0" applyBorder="0" applyAlignment="0" applyProtection="0">
      <alignment vertical="center"/>
    </xf>
    <xf numFmtId="0" fontId="108" fillId="42" borderId="0" applyNumberFormat="0" applyBorder="0" applyAlignment="0" applyProtection="0">
      <alignment vertical="center"/>
    </xf>
    <xf numFmtId="0" fontId="108" fillId="51" borderId="0" applyNumberFormat="0" applyBorder="0" applyAlignment="0" applyProtection="0">
      <alignment vertical="center"/>
    </xf>
    <xf numFmtId="0" fontId="108" fillId="52" borderId="0" applyNumberFormat="0" applyBorder="0" applyAlignment="0" applyProtection="0">
      <alignment vertical="center"/>
    </xf>
    <xf numFmtId="0" fontId="108" fillId="53" borderId="0" applyNumberFormat="0" applyBorder="0" applyAlignment="0" applyProtection="0">
      <alignment vertical="center"/>
    </xf>
    <xf numFmtId="9" fontId="8" fillId="0" borderId="0" applyFont="0" applyFill="0" applyBorder="0" applyAlignment="0" applyProtection="0"/>
    <xf numFmtId="0" fontId="109" fillId="0" borderId="0" applyFont="0" applyFill="0" applyBorder="0" applyAlignment="0" applyProtection="0"/>
    <xf numFmtId="0" fontId="109" fillId="0" borderId="0" applyFont="0" applyFill="0" applyBorder="0" applyAlignment="0" applyProtection="0"/>
    <xf numFmtId="199" fontId="110" fillId="0" borderId="0" applyFont="0" applyFill="0" applyBorder="0" applyAlignment="0" applyProtection="0"/>
    <xf numFmtId="201" fontId="110" fillId="0" borderId="0" applyFont="0" applyFill="0" applyBorder="0" applyAlignment="0" applyProtection="0"/>
    <xf numFmtId="3" fontId="29" fillId="0" borderId="0"/>
    <xf numFmtId="0" fontId="106" fillId="54" borderId="0" applyNumberFormat="0" applyBorder="0" applyAlignment="0" applyProtection="0"/>
    <xf numFmtId="0" fontId="106" fillId="55" borderId="0" applyNumberFormat="0" applyBorder="0" applyAlignment="0" applyProtection="0"/>
    <xf numFmtId="0" fontId="106" fillId="56" borderId="0" applyNumberFormat="0" applyBorder="0" applyAlignment="0" applyProtection="0"/>
    <xf numFmtId="0" fontId="106" fillId="51" borderId="0" applyNumberFormat="0" applyBorder="0" applyAlignment="0" applyProtection="0"/>
    <xf numFmtId="0" fontId="106" fillId="52" borderId="0" applyNumberFormat="0" applyBorder="0" applyAlignment="0" applyProtection="0"/>
    <xf numFmtId="0" fontId="106" fillId="57" borderId="0" applyNumberFormat="0" applyBorder="0" applyAlignment="0" applyProtection="0"/>
    <xf numFmtId="0" fontId="5" fillId="58" borderId="34">
      <alignment horizontal="center" vertical="center"/>
    </xf>
    <xf numFmtId="0" fontId="111" fillId="0" borderId="0" applyFont="0" applyFill="0" applyBorder="0" applyAlignment="0" applyProtection="0"/>
    <xf numFmtId="0" fontId="112" fillId="0" borderId="0" applyFont="0" applyFill="0" applyBorder="0" applyAlignment="0" applyProtection="0"/>
    <xf numFmtId="186" fontId="113" fillId="0" borderId="0" applyFont="0" applyFill="0" applyBorder="0" applyAlignment="0" applyProtection="0"/>
    <xf numFmtId="186" fontId="37" fillId="0" borderId="0" applyFont="0" applyFill="0" applyBorder="0" applyAlignment="0" applyProtection="0"/>
    <xf numFmtId="176" fontId="111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112" fillId="0" borderId="0" applyFont="0" applyFill="0" applyBorder="0" applyAlignment="0" applyProtection="0"/>
    <xf numFmtId="0" fontId="114" fillId="0" borderId="0" applyFont="0" applyFill="0" applyBorder="0" applyAlignment="0" applyProtection="0"/>
    <xf numFmtId="0" fontId="112" fillId="0" borderId="0" applyFont="0" applyFill="0" applyBorder="0" applyAlignment="0" applyProtection="0"/>
    <xf numFmtId="0" fontId="33" fillId="0" borderId="0" applyFont="0" applyFill="0" applyBorder="0" applyAlignment="0" applyProtection="0"/>
    <xf numFmtId="0" fontId="115" fillId="0" borderId="0" applyFont="0" applyFill="0" applyBorder="0" applyAlignment="0" applyProtection="0"/>
    <xf numFmtId="0" fontId="11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112" fillId="0" borderId="0" applyFont="0" applyFill="0" applyBorder="0" applyAlignment="0" applyProtection="0"/>
    <xf numFmtId="193" fontId="113" fillId="0" borderId="0" applyFont="0" applyFill="0" applyBorder="0" applyAlignment="0" applyProtection="0"/>
    <xf numFmtId="178" fontId="111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112" fillId="0" borderId="0" applyFont="0" applyFill="0" applyBorder="0" applyAlignment="0" applyProtection="0"/>
    <xf numFmtId="0" fontId="114" fillId="0" borderId="0" applyFont="0" applyFill="0" applyBorder="0" applyAlignment="0" applyProtection="0"/>
    <xf numFmtId="0" fontId="112" fillId="0" borderId="0" applyFont="0" applyFill="0" applyBorder="0" applyAlignment="0" applyProtection="0"/>
    <xf numFmtId="0" fontId="33" fillId="0" borderId="0" applyFont="0" applyFill="0" applyBorder="0" applyAlignment="0" applyProtection="0"/>
    <xf numFmtId="0" fontId="115" fillId="0" borderId="0" applyFont="0" applyFill="0" applyBorder="0" applyAlignment="0" applyProtection="0"/>
    <xf numFmtId="0" fontId="112" fillId="0" borderId="0" applyFont="0" applyFill="0" applyBorder="0" applyAlignment="0" applyProtection="0"/>
    <xf numFmtId="0" fontId="22" fillId="0" borderId="0" applyFont="0" applyFill="0" applyBorder="0" applyAlignment="0" applyProtection="0"/>
    <xf numFmtId="186" fontId="110" fillId="0" borderId="0" applyFont="0" applyFill="0" applyBorder="0" applyAlignment="0" applyProtection="0"/>
    <xf numFmtId="193" fontId="110" fillId="0" borderId="0" applyFont="0" applyFill="0" applyBorder="0" applyAlignment="0" applyProtection="0"/>
    <xf numFmtId="0" fontId="109" fillId="0" borderId="0" applyFont="0" applyFill="0" applyBorder="0" applyAlignment="0" applyProtection="0"/>
    <xf numFmtId="0" fontId="109" fillId="0" borderId="0" applyFont="0" applyFill="0" applyBorder="0" applyAlignment="0" applyProtection="0"/>
    <xf numFmtId="0" fontId="116" fillId="0" borderId="0"/>
    <xf numFmtId="0" fontId="117" fillId="0" borderId="0">
      <alignment horizontal="center" wrapText="1"/>
      <protection locked="0"/>
    </xf>
    <xf numFmtId="0" fontId="111" fillId="0" borderId="0" applyFont="0" applyFill="0" applyBorder="0" applyAlignment="0" applyProtection="0"/>
    <xf numFmtId="199" fontId="37" fillId="0" borderId="0" applyFont="0" applyFill="0" applyBorder="0" applyAlignment="0" applyProtection="0"/>
    <xf numFmtId="177" fontId="111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111" fillId="0" borderId="0" applyFont="0" applyFill="0" applyBorder="0" applyAlignment="0" applyProtection="0"/>
    <xf numFmtId="185" fontId="28" fillId="0" borderId="0">
      <protection locked="0"/>
    </xf>
    <xf numFmtId="0" fontId="22" fillId="0" borderId="0" applyFont="0" applyFill="0" applyBorder="0" applyAlignment="0" applyProtection="0"/>
    <xf numFmtId="179" fontId="111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112" fillId="0" borderId="0" applyFont="0" applyFill="0" applyBorder="0" applyAlignment="0" applyProtection="0"/>
    <xf numFmtId="0" fontId="112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118" fillId="29" borderId="0" applyNumberFormat="0" applyBorder="0" applyAlignment="0" applyProtection="0"/>
    <xf numFmtId="0" fontId="119" fillId="0" borderId="0" applyNumberFormat="0" applyFill="0" applyBorder="0" applyAlignment="0" applyProtection="0"/>
    <xf numFmtId="0" fontId="17" fillId="0" borderId="0"/>
    <xf numFmtId="0" fontId="120" fillId="0" borderId="7" applyNumberFormat="0" applyFill="0" applyAlignment="0" applyProtection="0"/>
    <xf numFmtId="254" fontId="62" fillId="0" borderId="0" applyFont="0" applyFill="0" applyBorder="0" applyAlignment="0" applyProtection="0"/>
    <xf numFmtId="0" fontId="121" fillId="0" borderId="0"/>
    <xf numFmtId="0" fontId="122" fillId="0" borderId="0"/>
    <xf numFmtId="0" fontId="91" fillId="0" borderId="0"/>
    <xf numFmtId="0" fontId="123" fillId="0" borderId="0"/>
    <xf numFmtId="0" fontId="124" fillId="0" borderId="0"/>
    <xf numFmtId="0" fontId="22" fillId="0" borderId="0"/>
    <xf numFmtId="0" fontId="125" fillId="0" borderId="0"/>
    <xf numFmtId="0" fontId="113" fillId="0" borderId="0"/>
    <xf numFmtId="0" fontId="126" fillId="0" borderId="0"/>
    <xf numFmtId="0" fontId="33" fillId="0" borderId="0"/>
    <xf numFmtId="0" fontId="31" fillId="0" borderId="0"/>
    <xf numFmtId="0" fontId="33" fillId="0" borderId="0"/>
    <xf numFmtId="0" fontId="127" fillId="0" borderId="0">
      <alignment vertical="center"/>
    </xf>
    <xf numFmtId="0" fontId="33" fillId="0" borderId="0"/>
    <xf numFmtId="0" fontId="37" fillId="0" borderId="0"/>
    <xf numFmtId="0" fontId="91" fillId="0" borderId="0"/>
    <xf numFmtId="0" fontId="31" fillId="0" borderId="0"/>
    <xf numFmtId="0" fontId="22" fillId="0" borderId="0"/>
    <xf numFmtId="0" fontId="31" fillId="0" borderId="0"/>
    <xf numFmtId="0" fontId="114" fillId="0" borderId="0"/>
    <xf numFmtId="0" fontId="127" fillId="0" borderId="0"/>
    <xf numFmtId="0" fontId="22" fillId="0" borderId="0"/>
    <xf numFmtId="0" fontId="127" fillId="0" borderId="0"/>
    <xf numFmtId="0" fontId="114" fillId="0" borderId="0"/>
    <xf numFmtId="0" fontId="22" fillId="0" borderId="0">
      <alignment vertical="center"/>
    </xf>
    <xf numFmtId="0" fontId="31" fillId="0" borderId="0"/>
    <xf numFmtId="0" fontId="114" fillId="0" borderId="0"/>
    <xf numFmtId="0" fontId="127" fillId="0" borderId="0"/>
    <xf numFmtId="0" fontId="22" fillId="0" borderId="0"/>
    <xf numFmtId="0" fontId="36" fillId="0" borderId="0"/>
    <xf numFmtId="37" fontId="114" fillId="0" borderId="0"/>
    <xf numFmtId="0" fontId="37" fillId="0" borderId="0"/>
    <xf numFmtId="0" fontId="8" fillId="0" borderId="0"/>
    <xf numFmtId="0" fontId="128" fillId="0" borderId="0"/>
    <xf numFmtId="0" fontId="125" fillId="0" borderId="0"/>
    <xf numFmtId="0" fontId="128" fillId="0" borderId="0"/>
    <xf numFmtId="0" fontId="125" fillId="0" borderId="0"/>
    <xf numFmtId="0" fontId="128" fillId="0" borderId="0"/>
    <xf numFmtId="0" fontId="125" fillId="0" borderId="0"/>
    <xf numFmtId="0" fontId="22" fillId="0" borderId="0"/>
    <xf numFmtId="0" fontId="5" fillId="0" borderId="0" applyFill="0" applyBorder="0" applyAlignment="0"/>
    <xf numFmtId="206" fontId="129" fillId="0" borderId="0" applyFill="0" applyBorder="0" applyAlignment="0"/>
    <xf numFmtId="255" fontId="129" fillId="0" borderId="0" applyFill="0" applyBorder="0" applyAlignment="0"/>
    <xf numFmtId="0" fontId="8" fillId="0" borderId="0" applyFill="0" applyBorder="0" applyAlignment="0"/>
    <xf numFmtId="256" fontId="25" fillId="0" borderId="0" applyFill="0" applyBorder="0" applyAlignment="0"/>
    <xf numFmtId="257" fontId="25" fillId="0" borderId="0" applyFill="0" applyBorder="0" applyAlignment="0"/>
    <xf numFmtId="258" fontId="25" fillId="0" borderId="0" applyFill="0" applyBorder="0" applyAlignment="0"/>
    <xf numFmtId="206" fontId="129" fillId="0" borderId="0" applyFill="0" applyBorder="0" applyAlignment="0"/>
    <xf numFmtId="0" fontId="130" fillId="59" borderId="35" applyNumberFormat="0" applyAlignment="0" applyProtection="0"/>
    <xf numFmtId="0" fontId="130" fillId="59" borderId="35" applyNumberFormat="0" applyAlignment="0" applyProtection="0"/>
    <xf numFmtId="0" fontId="130" fillId="59" borderId="35" applyNumberFormat="0" applyAlignment="0" applyProtection="0"/>
    <xf numFmtId="0" fontId="130" fillId="59" borderId="35" applyNumberFormat="0" applyAlignment="0" applyProtection="0"/>
    <xf numFmtId="0" fontId="130" fillId="59" borderId="35" applyNumberFormat="0" applyAlignment="0" applyProtection="0"/>
    <xf numFmtId="0" fontId="130" fillId="59" borderId="35" applyNumberFormat="0" applyAlignment="0" applyProtection="0"/>
    <xf numFmtId="0" fontId="130" fillId="59" borderId="35" applyNumberFormat="0" applyAlignment="0" applyProtection="0"/>
    <xf numFmtId="0" fontId="130" fillId="59" borderId="35" applyNumberFormat="0" applyAlignment="0" applyProtection="0"/>
    <xf numFmtId="0" fontId="130" fillId="59" borderId="35" applyNumberFormat="0" applyAlignment="0" applyProtection="0"/>
    <xf numFmtId="0" fontId="130" fillId="59" borderId="35" applyNumberFormat="0" applyAlignment="0" applyProtection="0"/>
    <xf numFmtId="0" fontId="130" fillId="59" borderId="35" applyNumberFormat="0" applyAlignment="0" applyProtection="0"/>
    <xf numFmtId="0" fontId="130" fillId="59" borderId="35" applyNumberFormat="0" applyAlignment="0" applyProtection="0"/>
    <xf numFmtId="0" fontId="130" fillId="59" borderId="35" applyNumberFormat="0" applyAlignment="0" applyProtection="0"/>
    <xf numFmtId="0" fontId="130" fillId="59" borderId="35" applyNumberFormat="0" applyAlignment="0" applyProtection="0"/>
    <xf numFmtId="0" fontId="130" fillId="59" borderId="35" applyNumberFormat="0" applyAlignment="0" applyProtection="0"/>
    <xf numFmtId="0" fontId="130" fillId="59" borderId="35" applyNumberFormat="0" applyAlignment="0" applyProtection="0"/>
    <xf numFmtId="0" fontId="130" fillId="59" borderId="35" applyNumberFormat="0" applyAlignment="0" applyProtection="0"/>
    <xf numFmtId="0" fontId="130" fillId="59" borderId="35" applyNumberFormat="0" applyAlignment="0" applyProtection="0"/>
    <xf numFmtId="0" fontId="130" fillId="59" borderId="35" applyNumberFormat="0" applyAlignment="0" applyProtection="0"/>
    <xf numFmtId="0" fontId="130" fillId="59" borderId="35" applyNumberFormat="0" applyAlignment="0" applyProtection="0"/>
    <xf numFmtId="0" fontId="130" fillId="59" borderId="35" applyNumberFormat="0" applyAlignment="0" applyProtection="0"/>
    <xf numFmtId="0" fontId="130" fillId="59" borderId="35" applyNumberFormat="0" applyAlignment="0" applyProtection="0"/>
    <xf numFmtId="0" fontId="130" fillId="59" borderId="35" applyNumberFormat="0" applyAlignment="0" applyProtection="0"/>
    <xf numFmtId="0" fontId="130" fillId="59" borderId="35" applyNumberFormat="0" applyAlignment="0" applyProtection="0"/>
    <xf numFmtId="0" fontId="130" fillId="59" borderId="35" applyNumberFormat="0" applyAlignment="0" applyProtection="0"/>
    <xf numFmtId="0" fontId="130" fillId="59" borderId="35" applyNumberFormat="0" applyAlignment="0" applyProtection="0"/>
    <xf numFmtId="0" fontId="130" fillId="59" borderId="35" applyNumberFormat="0" applyAlignment="0" applyProtection="0"/>
    <xf numFmtId="0" fontId="130" fillId="59" borderId="35" applyNumberFormat="0" applyAlignment="0" applyProtection="0"/>
    <xf numFmtId="0" fontId="130" fillId="59" borderId="35" applyNumberFormat="0" applyAlignment="0" applyProtection="0"/>
    <xf numFmtId="0" fontId="130" fillId="59" borderId="35" applyNumberFormat="0" applyAlignment="0" applyProtection="0"/>
    <xf numFmtId="0" fontId="130" fillId="59" borderId="35" applyNumberFormat="0" applyAlignment="0" applyProtection="0"/>
    <xf numFmtId="0" fontId="130" fillId="59" borderId="35" applyNumberFormat="0" applyAlignment="0" applyProtection="0"/>
    <xf numFmtId="0" fontId="130" fillId="59" borderId="35" applyNumberFormat="0" applyAlignment="0" applyProtection="0"/>
    <xf numFmtId="0" fontId="130" fillId="59" borderId="35" applyNumberFormat="0" applyAlignment="0" applyProtection="0"/>
    <xf numFmtId="0" fontId="130" fillId="59" borderId="35" applyNumberFormat="0" applyAlignment="0" applyProtection="0"/>
    <xf numFmtId="0" fontId="130" fillId="59" borderId="35" applyNumberFormat="0" applyAlignment="0" applyProtection="0"/>
    <xf numFmtId="0" fontId="130" fillId="59" borderId="35" applyNumberFormat="0" applyAlignment="0" applyProtection="0"/>
    <xf numFmtId="0" fontId="130" fillId="59" borderId="35" applyNumberFormat="0" applyAlignment="0" applyProtection="0"/>
    <xf numFmtId="0" fontId="130" fillId="59" borderId="35" applyNumberFormat="0" applyAlignment="0" applyProtection="0"/>
    <xf numFmtId="0" fontId="130" fillId="59" borderId="35" applyNumberFormat="0" applyAlignment="0" applyProtection="0"/>
    <xf numFmtId="0" fontId="130" fillId="59" borderId="35" applyNumberFormat="0" applyAlignment="0" applyProtection="0"/>
    <xf numFmtId="0" fontId="130" fillId="59" borderId="35" applyNumberFormat="0" applyAlignment="0" applyProtection="0"/>
    <xf numFmtId="0" fontId="130" fillId="59" borderId="35" applyNumberFormat="0" applyAlignment="0" applyProtection="0"/>
    <xf numFmtId="0" fontId="130" fillId="59" borderId="35" applyNumberFormat="0" applyAlignment="0" applyProtection="0"/>
    <xf numFmtId="0" fontId="130" fillId="59" borderId="35" applyNumberFormat="0" applyAlignment="0" applyProtection="0"/>
    <xf numFmtId="0" fontId="130" fillId="59" borderId="35" applyNumberFormat="0" applyAlignment="0" applyProtection="0"/>
    <xf numFmtId="0" fontId="130" fillId="59" borderId="35" applyNumberFormat="0" applyAlignment="0" applyProtection="0"/>
    <xf numFmtId="0" fontId="130" fillId="59" borderId="35" applyNumberFormat="0" applyAlignment="0" applyProtection="0"/>
    <xf numFmtId="0" fontId="130" fillId="59" borderId="35" applyNumberFormat="0" applyAlignment="0" applyProtection="0"/>
    <xf numFmtId="0" fontId="130" fillId="59" borderId="35" applyNumberFormat="0" applyAlignment="0" applyProtection="0"/>
    <xf numFmtId="0" fontId="130" fillId="59" borderId="35" applyNumberFormat="0" applyAlignment="0" applyProtection="0"/>
    <xf numFmtId="0" fontId="130" fillId="59" borderId="35" applyNumberFormat="0" applyAlignment="0" applyProtection="0"/>
    <xf numFmtId="0" fontId="130" fillId="59" borderId="35" applyNumberFormat="0" applyAlignment="0" applyProtection="0"/>
    <xf numFmtId="0" fontId="130" fillId="59" borderId="35" applyNumberFormat="0" applyAlignment="0" applyProtection="0"/>
    <xf numFmtId="0" fontId="130" fillId="59" borderId="35" applyNumberFormat="0" applyAlignment="0" applyProtection="0"/>
    <xf numFmtId="0" fontId="130" fillId="59" borderId="35" applyNumberFormat="0" applyAlignment="0" applyProtection="0"/>
    <xf numFmtId="0" fontId="130" fillId="59" borderId="35" applyNumberFormat="0" applyAlignment="0" applyProtection="0"/>
    <xf numFmtId="0" fontId="130" fillId="59" borderId="35" applyNumberFormat="0" applyAlignment="0" applyProtection="0"/>
    <xf numFmtId="0" fontId="130" fillId="59" borderId="35" applyNumberFormat="0" applyAlignment="0" applyProtection="0"/>
    <xf numFmtId="0" fontId="130" fillId="59" borderId="35" applyNumberFormat="0" applyAlignment="0" applyProtection="0"/>
    <xf numFmtId="0" fontId="131" fillId="60" borderId="36" applyNumberFormat="0" applyAlignment="0" applyProtection="0"/>
    <xf numFmtId="199" fontId="103" fillId="0" borderId="0" applyFont="0" applyFill="0" applyBorder="0" applyAlignment="0" applyProtection="0"/>
    <xf numFmtId="37" fontId="119" fillId="0" borderId="0"/>
    <xf numFmtId="37" fontId="119" fillId="0" borderId="0"/>
    <xf numFmtId="37" fontId="119" fillId="0" borderId="0"/>
    <xf numFmtId="37" fontId="119" fillId="0" borderId="0"/>
    <xf numFmtId="37" fontId="119" fillId="0" borderId="0"/>
    <xf numFmtId="37" fontId="119" fillId="0" borderId="0"/>
    <xf numFmtId="37" fontId="119" fillId="0" borderId="0"/>
    <xf numFmtId="37" fontId="119" fillId="0" borderId="0"/>
    <xf numFmtId="257" fontId="25" fillId="0" borderId="0" applyFont="0" applyFill="0" applyBorder="0" applyAlignment="0" applyProtection="0"/>
    <xf numFmtId="259" fontId="132" fillId="0" borderId="0" applyFont="0" applyFill="0" applyBorder="0" applyAlignment="0" applyProtection="0">
      <alignment horizontal="right"/>
    </xf>
    <xf numFmtId="260" fontId="132" fillId="0" borderId="0" applyFont="0" applyFill="0" applyBorder="0" applyAlignment="0" applyProtection="0">
      <alignment horizontal="right"/>
    </xf>
    <xf numFmtId="261" fontId="5" fillId="0" borderId="0"/>
    <xf numFmtId="261" fontId="5" fillId="0" borderId="0"/>
    <xf numFmtId="0" fontId="133" fillId="0" borderId="0" applyNumberFormat="0" applyAlignment="0">
      <alignment horizontal="left"/>
    </xf>
    <xf numFmtId="0" fontId="17" fillId="0" borderId="0" applyFont="0" applyFill="0" applyBorder="0" applyAlignment="0" applyProtection="0"/>
    <xf numFmtId="0" fontId="8" fillId="0" borderId="0"/>
    <xf numFmtId="206" fontId="129" fillId="0" borderId="0" applyFont="0" applyFill="0" applyBorder="0" applyAlignment="0" applyProtection="0"/>
    <xf numFmtId="262" fontId="132" fillId="0" borderId="0" applyFont="0" applyFill="0" applyBorder="0" applyAlignment="0" applyProtection="0">
      <alignment horizontal="right"/>
    </xf>
    <xf numFmtId="263" fontId="132" fillId="0" borderId="0" applyFont="0" applyFill="0" applyBorder="0" applyAlignment="0" applyProtection="0">
      <alignment horizontal="right"/>
    </xf>
    <xf numFmtId="180" fontId="25" fillId="0" borderId="3" applyFill="0" applyBorder="0" applyAlignment="0"/>
    <xf numFmtId="180" fontId="25" fillId="0" borderId="3" applyFill="0" applyBorder="0" applyAlignment="0"/>
    <xf numFmtId="180" fontId="25" fillId="0" borderId="3" applyFill="0" applyBorder="0" applyAlignment="0"/>
    <xf numFmtId="180" fontId="25" fillId="0" borderId="3" applyFill="0" applyBorder="0" applyAlignment="0"/>
    <xf numFmtId="180" fontId="25" fillId="0" borderId="3" applyFill="0" applyBorder="0" applyAlignment="0"/>
    <xf numFmtId="180" fontId="25" fillId="0" borderId="3" applyFill="0" applyBorder="0" applyAlignment="0"/>
    <xf numFmtId="180" fontId="25" fillId="0" borderId="3" applyFill="0" applyBorder="0" applyAlignment="0"/>
    <xf numFmtId="180" fontId="25" fillId="0" borderId="3" applyFill="0" applyBorder="0" applyAlignment="0"/>
    <xf numFmtId="180" fontId="25" fillId="0" borderId="3" applyFill="0" applyBorder="0" applyAlignment="0"/>
    <xf numFmtId="180" fontId="25" fillId="0" borderId="3" applyFill="0" applyBorder="0" applyAlignment="0"/>
    <xf numFmtId="180" fontId="25" fillId="0" borderId="3" applyFill="0" applyBorder="0" applyAlignment="0"/>
    <xf numFmtId="180" fontId="25" fillId="0" borderId="3" applyFill="0" applyBorder="0" applyAlignment="0"/>
    <xf numFmtId="180" fontId="25" fillId="0" borderId="3" applyFill="0" applyBorder="0" applyAlignment="0"/>
    <xf numFmtId="180" fontId="25" fillId="0" borderId="3" applyFill="0" applyBorder="0" applyAlignment="0"/>
    <xf numFmtId="180" fontId="25" fillId="0" borderId="3" applyFill="0" applyBorder="0" applyAlignment="0"/>
    <xf numFmtId="180" fontId="25" fillId="0" borderId="3" applyFill="0" applyBorder="0" applyAlignment="0"/>
    <xf numFmtId="180" fontId="25" fillId="0" borderId="3" applyFill="0" applyBorder="0" applyAlignment="0"/>
    <xf numFmtId="180" fontId="25" fillId="0" borderId="3" applyFill="0" applyBorder="0" applyAlignment="0"/>
    <xf numFmtId="180" fontId="25" fillId="0" borderId="3" applyFill="0" applyBorder="0" applyAlignment="0"/>
    <xf numFmtId="180" fontId="25" fillId="0" borderId="3" applyFill="0" applyBorder="0" applyAlignment="0"/>
    <xf numFmtId="180" fontId="25" fillId="0" borderId="3" applyFill="0" applyBorder="0" applyAlignment="0"/>
    <xf numFmtId="180" fontId="25" fillId="0" borderId="3" applyFill="0" applyBorder="0" applyAlignment="0"/>
    <xf numFmtId="180" fontId="25" fillId="0" borderId="3" applyFill="0" applyBorder="0" applyAlignment="0"/>
    <xf numFmtId="180" fontId="25" fillId="0" borderId="3" applyFill="0" applyBorder="0" applyAlignment="0"/>
    <xf numFmtId="180" fontId="25" fillId="0" borderId="3" applyFill="0" applyBorder="0" applyAlignment="0"/>
    <xf numFmtId="180" fontId="25" fillId="0" borderId="3" applyFill="0" applyBorder="0" applyAlignment="0"/>
    <xf numFmtId="180" fontId="25" fillId="0" borderId="3" applyFill="0" applyBorder="0" applyAlignment="0"/>
    <xf numFmtId="180" fontId="25" fillId="0" borderId="3" applyFill="0" applyBorder="0" applyAlignment="0"/>
    <xf numFmtId="180" fontId="25" fillId="0" borderId="3" applyFill="0" applyBorder="0" applyAlignment="0"/>
    <xf numFmtId="180" fontId="25" fillId="0" borderId="3" applyFill="0" applyBorder="0" applyAlignment="0"/>
    <xf numFmtId="180" fontId="25" fillId="0" borderId="3" applyFill="0" applyBorder="0" applyAlignment="0"/>
    <xf numFmtId="180" fontId="25" fillId="0" borderId="3" applyFill="0" applyBorder="0" applyAlignment="0"/>
    <xf numFmtId="180" fontId="25" fillId="0" borderId="3" applyFill="0" applyBorder="0" applyAlignment="0"/>
    <xf numFmtId="180" fontId="25" fillId="0" borderId="3" applyFill="0" applyBorder="0" applyAlignment="0"/>
    <xf numFmtId="180" fontId="25" fillId="0" borderId="3" applyFill="0" applyBorder="0" applyAlignment="0"/>
    <xf numFmtId="180" fontId="25" fillId="0" borderId="3" applyFill="0" applyBorder="0" applyAlignment="0"/>
    <xf numFmtId="180" fontId="25" fillId="0" borderId="3" applyFill="0" applyBorder="0" applyAlignment="0"/>
    <xf numFmtId="180" fontId="25" fillId="0" borderId="3" applyFill="0" applyBorder="0" applyAlignment="0"/>
    <xf numFmtId="180" fontId="25" fillId="0" borderId="3" applyFill="0" applyBorder="0" applyAlignment="0"/>
    <xf numFmtId="180" fontId="25" fillId="0" borderId="3" applyFill="0" applyBorder="0" applyAlignment="0"/>
    <xf numFmtId="180" fontId="25" fillId="0" borderId="3" applyFill="0" applyBorder="0" applyAlignment="0"/>
    <xf numFmtId="180" fontId="25" fillId="0" borderId="3" applyFill="0" applyBorder="0" applyAlignment="0"/>
    <xf numFmtId="180" fontId="25" fillId="0" borderId="3" applyFill="0" applyBorder="0" applyAlignment="0"/>
    <xf numFmtId="180" fontId="25" fillId="0" borderId="3" applyFill="0" applyBorder="0" applyAlignment="0"/>
    <xf numFmtId="264" fontId="5" fillId="0" borderId="0" applyFont="0" applyFill="0" applyBorder="0" applyAlignment="0" applyProtection="0"/>
    <xf numFmtId="215" fontId="5" fillId="0" borderId="0"/>
    <xf numFmtId="215" fontId="5" fillId="0" borderId="0"/>
    <xf numFmtId="0" fontId="134" fillId="0" borderId="0"/>
    <xf numFmtId="265" fontId="62" fillId="0" borderId="0" applyFont="0" applyFill="0" applyBorder="0" applyAlignment="0" applyProtection="0"/>
    <xf numFmtId="266" fontId="132" fillId="0" borderId="0" applyFont="0" applyFill="0" applyBorder="0" applyAlignment="0" applyProtection="0"/>
    <xf numFmtId="14" fontId="89" fillId="0" borderId="0" applyFill="0" applyBorder="0" applyAlignment="0"/>
    <xf numFmtId="267" fontId="7" fillId="0" borderId="0">
      <protection locked="0"/>
    </xf>
    <xf numFmtId="38" fontId="24" fillId="0" borderId="37">
      <alignment vertical="center"/>
    </xf>
    <xf numFmtId="38" fontId="24" fillId="0" borderId="0" applyFont="0" applyFill="0" applyBorder="0" applyAlignment="0" applyProtection="0"/>
    <xf numFmtId="40" fontId="24" fillId="0" borderId="0" applyFont="0" applyFill="0" applyBorder="0" applyAlignment="0" applyProtection="0"/>
    <xf numFmtId="268" fontId="8" fillId="0" borderId="0"/>
    <xf numFmtId="212" fontId="5" fillId="0" borderId="0"/>
    <xf numFmtId="212" fontId="5" fillId="0" borderId="0"/>
    <xf numFmtId="269" fontId="132" fillId="0" borderId="38" applyNumberFormat="0" applyFont="0" applyFill="0" applyAlignment="0" applyProtection="0"/>
    <xf numFmtId="186" fontId="25" fillId="0" borderId="0" applyFont="0" applyFill="0" applyBorder="0" applyAlignment="0" applyProtection="0"/>
    <xf numFmtId="257" fontId="25" fillId="0" borderId="0" applyFill="0" applyBorder="0" applyAlignment="0"/>
    <xf numFmtId="206" fontId="129" fillId="0" borderId="0" applyFill="0" applyBorder="0" applyAlignment="0"/>
    <xf numFmtId="257" fontId="25" fillId="0" borderId="0" applyFill="0" applyBorder="0" applyAlignment="0"/>
    <xf numFmtId="258" fontId="25" fillId="0" borderId="0" applyFill="0" applyBorder="0" applyAlignment="0"/>
    <xf numFmtId="206" fontId="129" fillId="0" borderId="0" applyFill="0" applyBorder="0" applyAlignment="0"/>
    <xf numFmtId="0" fontId="135" fillId="0" borderId="0" applyNumberFormat="0" applyAlignment="0">
      <alignment horizontal="left"/>
    </xf>
    <xf numFmtId="0" fontId="129" fillId="0" borderId="0">
      <alignment horizontal="left"/>
    </xf>
    <xf numFmtId="270" fontId="16" fillId="0" borderId="0" applyFill="0" applyBorder="0" applyAlignment="0" applyProtection="0"/>
    <xf numFmtId="0" fontId="136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39" fillId="0" borderId="0">
      <protection locked="0"/>
    </xf>
    <xf numFmtId="0" fontId="39" fillId="0" borderId="0">
      <protection locked="0"/>
    </xf>
    <xf numFmtId="0" fontId="39" fillId="0" borderId="0">
      <protection locked="0"/>
    </xf>
    <xf numFmtId="0" fontId="39" fillId="0" borderId="0">
      <protection locked="0"/>
    </xf>
    <xf numFmtId="0" fontId="39" fillId="0" borderId="0">
      <protection locked="0"/>
    </xf>
    <xf numFmtId="0" fontId="39" fillId="0" borderId="0">
      <protection locked="0"/>
    </xf>
    <xf numFmtId="0" fontId="39" fillId="0" borderId="0">
      <protection locked="0"/>
    </xf>
    <xf numFmtId="0" fontId="137" fillId="0" borderId="0" applyNumberFormat="0" applyFill="0" applyBorder="0" applyAlignment="0" applyProtection="0">
      <alignment vertical="top"/>
      <protection locked="0"/>
    </xf>
    <xf numFmtId="0" fontId="138" fillId="0" borderId="0" applyFill="0" applyBorder="0" applyProtection="0">
      <alignment horizontal="left"/>
    </xf>
    <xf numFmtId="0" fontId="139" fillId="30" borderId="0" applyNumberFormat="0" applyBorder="0" applyAlignment="0" applyProtection="0"/>
    <xf numFmtId="38" fontId="42" fillId="3" borderId="0" applyNumberFormat="0" applyBorder="0" applyAlignment="0" applyProtection="0"/>
    <xf numFmtId="38" fontId="42" fillId="23" borderId="0" applyNumberFormat="0" applyBorder="0" applyAlignment="0" applyProtection="0"/>
    <xf numFmtId="271" fontId="132" fillId="0" borderId="0" applyFont="0" applyFill="0" applyBorder="0" applyAlignment="0" applyProtection="0">
      <alignment horizontal="right"/>
    </xf>
    <xf numFmtId="0" fontId="44" fillId="0" borderId="0" applyNumberFormat="0" applyBorder="0"/>
    <xf numFmtId="0" fontId="140" fillId="0" borderId="7" applyNumberFormat="0" applyBorder="0"/>
    <xf numFmtId="0" fontId="141" fillId="0" borderId="0"/>
    <xf numFmtId="0" fontId="44" fillId="0" borderId="5">
      <alignment horizontal="left" vertical="center"/>
    </xf>
    <xf numFmtId="0" fontId="44" fillId="0" borderId="5">
      <alignment horizontal="left" vertical="center"/>
    </xf>
    <xf numFmtId="0" fontId="44" fillId="0" borderId="5">
      <alignment horizontal="left" vertical="center"/>
    </xf>
    <xf numFmtId="0" fontId="44" fillId="0" borderId="5">
      <alignment horizontal="left" vertical="center"/>
    </xf>
    <xf numFmtId="0" fontId="44" fillId="0" borderId="5">
      <alignment horizontal="left" vertical="center"/>
    </xf>
    <xf numFmtId="0" fontId="44" fillId="0" borderId="5">
      <alignment horizontal="left" vertical="center"/>
    </xf>
    <xf numFmtId="0" fontId="44" fillId="0" borderId="5">
      <alignment horizontal="left" vertical="center"/>
    </xf>
    <xf numFmtId="0" fontId="44" fillId="0" borderId="5">
      <alignment horizontal="left" vertical="center"/>
    </xf>
    <xf numFmtId="0" fontId="44" fillId="0" borderId="5">
      <alignment horizontal="left" vertical="center"/>
    </xf>
    <xf numFmtId="0" fontId="44" fillId="0" borderId="5">
      <alignment horizontal="left" vertical="center"/>
    </xf>
    <xf numFmtId="0" fontId="44" fillId="0" borderId="5">
      <alignment horizontal="left" vertical="center"/>
    </xf>
    <xf numFmtId="0" fontId="44" fillId="0" borderId="5">
      <alignment horizontal="left" vertical="center"/>
    </xf>
    <xf numFmtId="0" fontId="44" fillId="0" borderId="5">
      <alignment horizontal="left" vertical="center"/>
    </xf>
    <xf numFmtId="0" fontId="44" fillId="0" borderId="5">
      <alignment horizontal="left" vertical="center"/>
    </xf>
    <xf numFmtId="0" fontId="44" fillId="0" borderId="5">
      <alignment horizontal="left" vertical="center"/>
    </xf>
    <xf numFmtId="0" fontId="44" fillId="0" borderId="5">
      <alignment horizontal="left" vertical="center"/>
    </xf>
    <xf numFmtId="0" fontId="44" fillId="0" borderId="5">
      <alignment horizontal="left" vertical="center"/>
    </xf>
    <xf numFmtId="0" fontId="44" fillId="0" borderId="5">
      <alignment horizontal="left" vertical="center"/>
    </xf>
    <xf numFmtId="0" fontId="44" fillId="0" borderId="5">
      <alignment horizontal="left" vertical="center"/>
    </xf>
    <xf numFmtId="0" fontId="44" fillId="0" borderId="5">
      <alignment horizontal="left" vertical="center"/>
    </xf>
    <xf numFmtId="0" fontId="44" fillId="0" borderId="5">
      <alignment horizontal="left" vertical="center"/>
    </xf>
    <xf numFmtId="0" fontId="44" fillId="0" borderId="5">
      <alignment horizontal="left" vertical="center"/>
    </xf>
    <xf numFmtId="0" fontId="44" fillId="0" borderId="5">
      <alignment horizontal="left" vertical="center"/>
    </xf>
    <xf numFmtId="0" fontId="44" fillId="0" borderId="5">
      <alignment horizontal="left" vertical="center"/>
    </xf>
    <xf numFmtId="0" fontId="44" fillId="0" borderId="5">
      <alignment horizontal="left" vertical="center"/>
    </xf>
    <xf numFmtId="0" fontId="44" fillId="0" borderId="5">
      <alignment horizontal="left" vertical="center"/>
    </xf>
    <xf numFmtId="0" fontId="44" fillId="0" borderId="5">
      <alignment horizontal="left" vertical="center"/>
    </xf>
    <xf numFmtId="0" fontId="44" fillId="0" borderId="5">
      <alignment horizontal="left" vertical="center"/>
    </xf>
    <xf numFmtId="0" fontId="44" fillId="0" borderId="5">
      <alignment horizontal="left" vertical="center"/>
    </xf>
    <xf numFmtId="0" fontId="44" fillId="0" borderId="5">
      <alignment horizontal="left" vertical="center"/>
    </xf>
    <xf numFmtId="0" fontId="44" fillId="0" borderId="5">
      <alignment horizontal="left" vertical="center"/>
    </xf>
    <xf numFmtId="0" fontId="44" fillId="0" borderId="5">
      <alignment horizontal="left" vertical="center"/>
    </xf>
    <xf numFmtId="0" fontId="44" fillId="0" borderId="5">
      <alignment horizontal="left" vertical="center"/>
    </xf>
    <xf numFmtId="0" fontId="44" fillId="0" borderId="5">
      <alignment horizontal="left" vertical="center"/>
    </xf>
    <xf numFmtId="0" fontId="44" fillId="0" borderId="5">
      <alignment horizontal="left" vertical="center"/>
    </xf>
    <xf numFmtId="0" fontId="44" fillId="0" borderId="5">
      <alignment horizontal="left" vertical="center"/>
    </xf>
    <xf numFmtId="0" fontId="44" fillId="0" borderId="5">
      <alignment horizontal="left" vertical="center"/>
    </xf>
    <xf numFmtId="0" fontId="44" fillId="0" borderId="5">
      <alignment horizontal="left" vertical="center"/>
    </xf>
    <xf numFmtId="0" fontId="44" fillId="0" borderId="5">
      <alignment horizontal="left" vertical="center"/>
    </xf>
    <xf numFmtId="0" fontId="44" fillId="0" borderId="5">
      <alignment horizontal="left" vertical="center"/>
    </xf>
    <xf numFmtId="0" fontId="44" fillId="0" borderId="5">
      <alignment horizontal="left" vertical="center"/>
    </xf>
    <xf numFmtId="0" fontId="44" fillId="0" borderId="5">
      <alignment horizontal="left" vertical="center"/>
    </xf>
    <xf numFmtId="0" fontId="44" fillId="0" borderId="5">
      <alignment horizontal="left" vertical="center"/>
    </xf>
    <xf numFmtId="0" fontId="44" fillId="0" borderId="5">
      <alignment horizontal="left" vertical="center"/>
    </xf>
    <xf numFmtId="0" fontId="142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143" fillId="0" borderId="0" applyProtection="0">
      <alignment horizontal="left"/>
    </xf>
    <xf numFmtId="0" fontId="144" fillId="0" borderId="0" applyNumberFormat="0" applyFill="0" applyBorder="0" applyAlignment="0" applyProtection="0"/>
    <xf numFmtId="0" fontId="145" fillId="0" borderId="0"/>
    <xf numFmtId="206" fontId="146" fillId="0" borderId="0">
      <alignment horizontal="left"/>
    </xf>
    <xf numFmtId="0" fontId="147" fillId="61" borderId="0"/>
    <xf numFmtId="0" fontId="148" fillId="62" borderId="0" applyFont="0" applyAlignment="0">
      <alignment horizontal="left"/>
    </xf>
    <xf numFmtId="0" fontId="48" fillId="0" borderId="39" applyNumberFormat="0" applyFill="0" applyAlignment="0" applyProtection="0"/>
    <xf numFmtId="0" fontId="87" fillId="0" borderId="0" applyNumberFormat="0" applyFill="0" applyBorder="0" applyAlignment="0" applyProtection="0">
      <alignment vertical="top"/>
      <protection locked="0"/>
    </xf>
    <xf numFmtId="10" fontId="42" fillId="27" borderId="3" applyNumberFormat="0" applyBorder="0" applyAlignment="0" applyProtection="0"/>
    <xf numFmtId="10" fontId="42" fillId="27" borderId="3" applyNumberFormat="0" applyBorder="0" applyAlignment="0" applyProtection="0"/>
    <xf numFmtId="10" fontId="42" fillId="27" borderId="3" applyNumberFormat="0" applyBorder="0" applyAlignment="0" applyProtection="0"/>
    <xf numFmtId="10" fontId="42" fillId="27" borderId="3" applyNumberFormat="0" applyBorder="0" applyAlignment="0" applyProtection="0"/>
    <xf numFmtId="10" fontId="42" fillId="27" borderId="3" applyNumberFormat="0" applyBorder="0" applyAlignment="0" applyProtection="0"/>
    <xf numFmtId="10" fontId="42" fillId="27" borderId="3" applyNumberFormat="0" applyBorder="0" applyAlignment="0" applyProtection="0"/>
    <xf numFmtId="10" fontId="42" fillId="27" borderId="3" applyNumberFormat="0" applyBorder="0" applyAlignment="0" applyProtection="0"/>
    <xf numFmtId="10" fontId="42" fillId="27" borderId="3" applyNumberFormat="0" applyBorder="0" applyAlignment="0" applyProtection="0"/>
    <xf numFmtId="10" fontId="42" fillId="27" borderId="3" applyNumberFormat="0" applyBorder="0" applyAlignment="0" applyProtection="0"/>
    <xf numFmtId="10" fontId="42" fillId="3" borderId="3" applyNumberFormat="0" applyBorder="0" applyAlignment="0" applyProtection="0"/>
    <xf numFmtId="10" fontId="42" fillId="3" borderId="3" applyNumberFormat="0" applyBorder="0" applyAlignment="0" applyProtection="0"/>
    <xf numFmtId="10" fontId="42" fillId="3" borderId="3" applyNumberFormat="0" applyBorder="0" applyAlignment="0" applyProtection="0"/>
    <xf numFmtId="10" fontId="42" fillId="3" borderId="3" applyNumberFormat="0" applyBorder="0" applyAlignment="0" applyProtection="0"/>
    <xf numFmtId="10" fontId="42" fillId="3" borderId="3" applyNumberFormat="0" applyBorder="0" applyAlignment="0" applyProtection="0"/>
    <xf numFmtId="10" fontId="42" fillId="3" borderId="3" applyNumberFormat="0" applyBorder="0" applyAlignment="0" applyProtection="0"/>
    <xf numFmtId="10" fontId="42" fillId="3" borderId="3" applyNumberFormat="0" applyBorder="0" applyAlignment="0" applyProtection="0"/>
    <xf numFmtId="10" fontId="42" fillId="3" borderId="3" applyNumberFormat="0" applyBorder="0" applyAlignment="0" applyProtection="0"/>
    <xf numFmtId="10" fontId="42" fillId="3" borderId="3" applyNumberFormat="0" applyBorder="0" applyAlignment="0" applyProtection="0"/>
    <xf numFmtId="10" fontId="42" fillId="3" borderId="3" applyNumberFormat="0" applyBorder="0" applyAlignment="0" applyProtection="0"/>
    <xf numFmtId="10" fontId="42" fillId="27" borderId="3" applyNumberFormat="0" applyBorder="0" applyAlignment="0" applyProtection="0"/>
    <xf numFmtId="10" fontId="42" fillId="27" borderId="3" applyNumberFormat="0" applyBorder="0" applyAlignment="0" applyProtection="0"/>
    <xf numFmtId="10" fontId="42" fillId="27" borderId="3" applyNumberFormat="0" applyBorder="0" applyAlignment="0" applyProtection="0"/>
    <xf numFmtId="10" fontId="42" fillId="27" borderId="3" applyNumberFormat="0" applyBorder="0" applyAlignment="0" applyProtection="0"/>
    <xf numFmtId="10" fontId="42" fillId="27" borderId="3" applyNumberFormat="0" applyBorder="0" applyAlignment="0" applyProtection="0"/>
    <xf numFmtId="10" fontId="42" fillId="27" borderId="3" applyNumberFormat="0" applyBorder="0" applyAlignment="0" applyProtection="0"/>
    <xf numFmtId="10" fontId="42" fillId="27" borderId="3" applyNumberFormat="0" applyBorder="0" applyAlignment="0" applyProtection="0"/>
    <xf numFmtId="10" fontId="42" fillId="27" borderId="3" applyNumberFormat="0" applyBorder="0" applyAlignment="0" applyProtection="0"/>
    <xf numFmtId="10" fontId="42" fillId="27" borderId="3" applyNumberFormat="0" applyBorder="0" applyAlignment="0" applyProtection="0"/>
    <xf numFmtId="10" fontId="42" fillId="27" borderId="3" applyNumberFormat="0" applyBorder="0" applyAlignment="0" applyProtection="0"/>
    <xf numFmtId="10" fontId="42" fillId="27" borderId="3" applyNumberFormat="0" applyBorder="0" applyAlignment="0" applyProtection="0"/>
    <xf numFmtId="10" fontId="42" fillId="27" borderId="3" applyNumberFormat="0" applyBorder="0" applyAlignment="0" applyProtection="0"/>
    <xf numFmtId="10" fontId="42" fillId="27" borderId="3" applyNumberFormat="0" applyBorder="0" applyAlignment="0" applyProtection="0"/>
    <xf numFmtId="10" fontId="42" fillId="27" borderId="3" applyNumberFormat="0" applyBorder="0" applyAlignment="0" applyProtection="0"/>
    <xf numFmtId="10" fontId="42" fillId="27" borderId="3" applyNumberFormat="0" applyBorder="0" applyAlignment="0" applyProtection="0"/>
    <xf numFmtId="10" fontId="42" fillId="27" borderId="3" applyNumberFormat="0" applyBorder="0" applyAlignment="0" applyProtection="0"/>
    <xf numFmtId="10" fontId="42" fillId="27" borderId="3" applyNumberFormat="0" applyBorder="0" applyAlignment="0" applyProtection="0"/>
    <xf numFmtId="10" fontId="42" fillId="27" borderId="3" applyNumberFormat="0" applyBorder="0" applyAlignment="0" applyProtection="0"/>
    <xf numFmtId="10" fontId="42" fillId="27" borderId="3" applyNumberFormat="0" applyBorder="0" applyAlignment="0" applyProtection="0"/>
    <xf numFmtId="10" fontId="42" fillId="27" borderId="3" applyNumberFormat="0" applyBorder="0" applyAlignment="0" applyProtection="0"/>
    <xf numFmtId="10" fontId="42" fillId="27" borderId="3" applyNumberFormat="0" applyBorder="0" applyAlignment="0" applyProtection="0"/>
    <xf numFmtId="10" fontId="42" fillId="27" borderId="3" applyNumberFormat="0" applyBorder="0" applyAlignment="0" applyProtection="0"/>
    <xf numFmtId="10" fontId="42" fillId="27" borderId="3" applyNumberFormat="0" applyBorder="0" applyAlignment="0" applyProtection="0"/>
    <xf numFmtId="10" fontId="42" fillId="27" borderId="3" applyNumberFormat="0" applyBorder="0" applyAlignment="0" applyProtection="0"/>
    <xf numFmtId="10" fontId="42" fillId="27" borderId="3" applyNumberFormat="0" applyBorder="0" applyAlignment="0" applyProtection="0"/>
    <xf numFmtId="10" fontId="42" fillId="27" borderId="3" applyNumberFormat="0" applyBorder="0" applyAlignment="0" applyProtection="0"/>
    <xf numFmtId="10" fontId="42" fillId="27" borderId="3" applyNumberFormat="0" applyBorder="0" applyAlignment="0" applyProtection="0"/>
    <xf numFmtId="10" fontId="42" fillId="27" borderId="3" applyNumberFormat="0" applyBorder="0" applyAlignment="0" applyProtection="0"/>
    <xf numFmtId="10" fontId="42" fillId="27" borderId="3" applyNumberFormat="0" applyBorder="0" applyAlignment="0" applyProtection="0"/>
    <xf numFmtId="10" fontId="42" fillId="27" borderId="3" applyNumberFormat="0" applyBorder="0" applyAlignment="0" applyProtection="0"/>
    <xf numFmtId="10" fontId="42" fillId="27" borderId="3" applyNumberFormat="0" applyBorder="0" applyAlignment="0" applyProtection="0"/>
    <xf numFmtId="10" fontId="42" fillId="27" borderId="3" applyNumberFormat="0" applyBorder="0" applyAlignment="0" applyProtection="0"/>
    <xf numFmtId="10" fontId="42" fillId="27" borderId="3" applyNumberFormat="0" applyBorder="0" applyAlignment="0" applyProtection="0"/>
    <xf numFmtId="10" fontId="42" fillId="27" borderId="3" applyNumberFormat="0" applyBorder="0" applyAlignment="0" applyProtection="0"/>
    <xf numFmtId="10" fontId="42" fillId="27" borderId="3" applyNumberFormat="0" applyBorder="0" applyAlignment="0" applyProtection="0"/>
    <xf numFmtId="10" fontId="42" fillId="27" borderId="3" applyNumberFormat="0" applyBorder="0" applyAlignment="0" applyProtection="0"/>
    <xf numFmtId="10" fontId="42" fillId="27" borderId="3" applyNumberFormat="0" applyBorder="0" applyAlignment="0" applyProtection="0"/>
    <xf numFmtId="10" fontId="42" fillId="27" borderId="3" applyNumberFormat="0" applyBorder="0" applyAlignment="0" applyProtection="0"/>
    <xf numFmtId="10" fontId="42" fillId="27" borderId="3" applyNumberFormat="0" applyBorder="0" applyAlignment="0" applyProtection="0"/>
    <xf numFmtId="10" fontId="42" fillId="27" borderId="3" applyNumberFormat="0" applyBorder="0" applyAlignment="0" applyProtection="0"/>
    <xf numFmtId="10" fontId="42" fillId="27" borderId="3" applyNumberFormat="0" applyBorder="0" applyAlignment="0" applyProtection="0"/>
    <xf numFmtId="10" fontId="42" fillId="27" borderId="3" applyNumberFormat="0" applyBorder="0" applyAlignment="0" applyProtection="0"/>
    <xf numFmtId="10" fontId="42" fillId="27" borderId="3" applyNumberFormat="0" applyBorder="0" applyAlignment="0" applyProtection="0"/>
    <xf numFmtId="10" fontId="42" fillId="27" borderId="3" applyNumberFormat="0" applyBorder="0" applyAlignment="0" applyProtection="0"/>
    <xf numFmtId="10" fontId="42" fillId="27" borderId="3" applyNumberFormat="0" applyBorder="0" applyAlignment="0" applyProtection="0"/>
    <xf numFmtId="10" fontId="42" fillId="3" borderId="3" applyNumberFormat="0" applyBorder="0" applyAlignment="0" applyProtection="0"/>
    <xf numFmtId="10" fontId="42" fillId="3" borderId="3" applyNumberFormat="0" applyBorder="0" applyAlignment="0" applyProtection="0"/>
    <xf numFmtId="10" fontId="42" fillId="3" borderId="3" applyNumberFormat="0" applyBorder="0" applyAlignment="0" applyProtection="0"/>
    <xf numFmtId="10" fontId="42" fillId="3" borderId="3" applyNumberFormat="0" applyBorder="0" applyAlignment="0" applyProtection="0"/>
    <xf numFmtId="10" fontId="42" fillId="3" borderId="3" applyNumberFormat="0" applyBorder="0" applyAlignment="0" applyProtection="0"/>
    <xf numFmtId="10" fontId="42" fillId="3" borderId="3" applyNumberFormat="0" applyBorder="0" applyAlignment="0" applyProtection="0"/>
    <xf numFmtId="10" fontId="42" fillId="3" borderId="3" applyNumberFormat="0" applyBorder="0" applyAlignment="0" applyProtection="0"/>
    <xf numFmtId="10" fontId="42" fillId="3" borderId="3" applyNumberFormat="0" applyBorder="0" applyAlignment="0" applyProtection="0"/>
    <xf numFmtId="10" fontId="42" fillId="3" borderId="3" applyNumberFormat="0" applyBorder="0" applyAlignment="0" applyProtection="0"/>
    <xf numFmtId="10" fontId="42" fillId="3" borderId="3" applyNumberFormat="0" applyBorder="0" applyAlignment="0" applyProtection="0"/>
    <xf numFmtId="10" fontId="42" fillId="3" borderId="3" applyNumberFormat="0" applyBorder="0" applyAlignment="0" applyProtection="0"/>
    <xf numFmtId="10" fontId="42" fillId="3" borderId="3" applyNumberFormat="0" applyBorder="0" applyAlignment="0" applyProtection="0"/>
    <xf numFmtId="10" fontId="42" fillId="3" borderId="3" applyNumberFormat="0" applyBorder="0" applyAlignment="0" applyProtection="0"/>
    <xf numFmtId="10" fontId="42" fillId="3" borderId="3" applyNumberFormat="0" applyBorder="0" applyAlignment="0" applyProtection="0"/>
    <xf numFmtId="10" fontId="42" fillId="3" borderId="3" applyNumberFormat="0" applyBorder="0" applyAlignment="0" applyProtection="0"/>
    <xf numFmtId="10" fontId="42" fillId="3" borderId="3" applyNumberFormat="0" applyBorder="0" applyAlignment="0" applyProtection="0"/>
    <xf numFmtId="10" fontId="42" fillId="3" borderId="3" applyNumberFormat="0" applyBorder="0" applyAlignment="0" applyProtection="0"/>
    <xf numFmtId="10" fontId="42" fillId="3" borderId="3" applyNumberFormat="0" applyBorder="0" applyAlignment="0" applyProtection="0"/>
    <xf numFmtId="10" fontId="42" fillId="3" borderId="3" applyNumberFormat="0" applyBorder="0" applyAlignment="0" applyProtection="0"/>
    <xf numFmtId="10" fontId="42" fillId="3" borderId="3" applyNumberFormat="0" applyBorder="0" applyAlignment="0" applyProtection="0"/>
    <xf numFmtId="10" fontId="42" fillId="3" borderId="3" applyNumberFormat="0" applyBorder="0" applyAlignment="0" applyProtection="0"/>
    <xf numFmtId="10" fontId="42" fillId="3" borderId="3" applyNumberFormat="0" applyBorder="0" applyAlignment="0" applyProtection="0"/>
    <xf numFmtId="10" fontId="42" fillId="3" borderId="3" applyNumberFormat="0" applyBorder="0" applyAlignment="0" applyProtection="0"/>
    <xf numFmtId="10" fontId="42" fillId="3" borderId="3" applyNumberFormat="0" applyBorder="0" applyAlignment="0" applyProtection="0"/>
    <xf numFmtId="10" fontId="42" fillId="3" borderId="3" applyNumberFormat="0" applyBorder="0" applyAlignment="0" applyProtection="0"/>
    <xf numFmtId="10" fontId="42" fillId="3" borderId="3" applyNumberFormat="0" applyBorder="0" applyAlignment="0" applyProtection="0"/>
    <xf numFmtId="10" fontId="42" fillId="3" borderId="3" applyNumberFormat="0" applyBorder="0" applyAlignment="0" applyProtection="0"/>
    <xf numFmtId="10" fontId="42" fillId="3" borderId="3" applyNumberFormat="0" applyBorder="0" applyAlignment="0" applyProtection="0"/>
    <xf numFmtId="10" fontId="42" fillId="3" borderId="3" applyNumberFormat="0" applyBorder="0" applyAlignment="0" applyProtection="0"/>
    <xf numFmtId="10" fontId="42" fillId="3" borderId="3" applyNumberFormat="0" applyBorder="0" applyAlignment="0" applyProtection="0"/>
    <xf numFmtId="10" fontId="42" fillId="3" borderId="3" applyNumberFormat="0" applyBorder="0" applyAlignment="0" applyProtection="0"/>
    <xf numFmtId="10" fontId="42" fillId="3" borderId="3" applyNumberFormat="0" applyBorder="0" applyAlignment="0" applyProtection="0"/>
    <xf numFmtId="10" fontId="42" fillId="3" borderId="3" applyNumberFormat="0" applyBorder="0" applyAlignment="0" applyProtection="0"/>
    <xf numFmtId="10" fontId="42" fillId="3" borderId="3" applyNumberFormat="0" applyBorder="0" applyAlignment="0" applyProtection="0"/>
    <xf numFmtId="10" fontId="42" fillId="3" borderId="3" applyNumberFormat="0" applyBorder="0" applyAlignment="0" applyProtection="0"/>
    <xf numFmtId="10" fontId="42" fillId="27" borderId="3" applyNumberFormat="0" applyBorder="0" applyAlignment="0" applyProtection="0"/>
    <xf numFmtId="10" fontId="42" fillId="27" borderId="3" applyNumberFormat="0" applyBorder="0" applyAlignment="0" applyProtection="0"/>
    <xf numFmtId="10" fontId="42" fillId="27" borderId="3" applyNumberFormat="0" applyBorder="0" applyAlignment="0" applyProtection="0"/>
    <xf numFmtId="10" fontId="42" fillId="27" borderId="3" applyNumberFormat="0" applyBorder="0" applyAlignment="0" applyProtection="0"/>
    <xf numFmtId="10" fontId="42" fillId="27" borderId="3" applyNumberFormat="0" applyBorder="0" applyAlignment="0" applyProtection="0"/>
    <xf numFmtId="10" fontId="42" fillId="27" borderId="3" applyNumberFormat="0" applyBorder="0" applyAlignment="0" applyProtection="0"/>
    <xf numFmtId="10" fontId="42" fillId="27" borderId="3" applyNumberFormat="0" applyBorder="0" applyAlignment="0" applyProtection="0"/>
    <xf numFmtId="10" fontId="42" fillId="27" borderId="3" applyNumberFormat="0" applyBorder="0" applyAlignment="0" applyProtection="0"/>
    <xf numFmtId="10" fontId="42" fillId="27" borderId="3" applyNumberFormat="0" applyBorder="0" applyAlignment="0" applyProtection="0"/>
    <xf numFmtId="10" fontId="42" fillId="27" borderId="3" applyNumberFormat="0" applyBorder="0" applyAlignment="0" applyProtection="0"/>
    <xf numFmtId="10" fontId="42" fillId="27" borderId="3" applyNumberFormat="0" applyBorder="0" applyAlignment="0" applyProtection="0"/>
    <xf numFmtId="10" fontId="42" fillId="27" borderId="3" applyNumberFormat="0" applyBorder="0" applyAlignment="0" applyProtection="0"/>
    <xf numFmtId="10" fontId="42" fillId="27" borderId="3" applyNumberFormat="0" applyBorder="0" applyAlignment="0" applyProtection="0"/>
    <xf numFmtId="10" fontId="42" fillId="27" borderId="3" applyNumberFormat="0" applyBorder="0" applyAlignment="0" applyProtection="0"/>
    <xf numFmtId="10" fontId="42" fillId="27" borderId="3" applyNumberFormat="0" applyBorder="0" applyAlignment="0" applyProtection="0"/>
    <xf numFmtId="10" fontId="42" fillId="27" borderId="3" applyNumberFormat="0" applyBorder="0" applyAlignment="0" applyProtection="0"/>
    <xf numFmtId="10" fontId="42" fillId="27" borderId="3" applyNumberFormat="0" applyBorder="0" applyAlignment="0" applyProtection="0"/>
    <xf numFmtId="10" fontId="42" fillId="27" borderId="3" applyNumberFormat="0" applyBorder="0" applyAlignment="0" applyProtection="0"/>
    <xf numFmtId="10" fontId="42" fillId="27" borderId="3" applyNumberFormat="0" applyBorder="0" applyAlignment="0" applyProtection="0"/>
    <xf numFmtId="10" fontId="42" fillId="27" borderId="3" applyNumberFormat="0" applyBorder="0" applyAlignment="0" applyProtection="0"/>
    <xf numFmtId="10" fontId="42" fillId="27" borderId="3" applyNumberFormat="0" applyBorder="0" applyAlignment="0" applyProtection="0"/>
    <xf numFmtId="10" fontId="42" fillId="27" borderId="3" applyNumberFormat="0" applyBorder="0" applyAlignment="0" applyProtection="0"/>
    <xf numFmtId="10" fontId="42" fillId="27" borderId="3" applyNumberFormat="0" applyBorder="0" applyAlignment="0" applyProtection="0"/>
    <xf numFmtId="10" fontId="42" fillId="27" borderId="3" applyNumberFormat="0" applyBorder="0" applyAlignment="0" applyProtection="0"/>
    <xf numFmtId="10" fontId="42" fillId="27" borderId="3" applyNumberFormat="0" applyBorder="0" applyAlignment="0" applyProtection="0"/>
    <xf numFmtId="10" fontId="42" fillId="27" borderId="3" applyNumberFormat="0" applyBorder="0" applyAlignment="0" applyProtection="0"/>
    <xf numFmtId="10" fontId="42" fillId="27" borderId="3" applyNumberFormat="0" applyBorder="0" applyAlignment="0" applyProtection="0"/>
    <xf numFmtId="10" fontId="42" fillId="27" borderId="3" applyNumberFormat="0" applyBorder="0" applyAlignment="0" applyProtection="0"/>
    <xf numFmtId="10" fontId="42" fillId="27" borderId="3" applyNumberFormat="0" applyBorder="0" applyAlignment="0" applyProtection="0"/>
    <xf numFmtId="10" fontId="42" fillId="27" borderId="3" applyNumberFormat="0" applyBorder="0" applyAlignment="0" applyProtection="0"/>
    <xf numFmtId="10" fontId="42" fillId="27" borderId="3" applyNumberFormat="0" applyBorder="0" applyAlignment="0" applyProtection="0"/>
    <xf numFmtId="10" fontId="42" fillId="27" borderId="3" applyNumberFormat="0" applyBorder="0" applyAlignment="0" applyProtection="0"/>
    <xf numFmtId="10" fontId="42" fillId="27" borderId="3" applyNumberFormat="0" applyBorder="0" applyAlignment="0" applyProtection="0"/>
    <xf numFmtId="10" fontId="42" fillId="27" borderId="3" applyNumberFormat="0" applyBorder="0" applyAlignment="0" applyProtection="0"/>
    <xf numFmtId="10" fontId="42" fillId="27" borderId="3" applyNumberFormat="0" applyBorder="0" applyAlignment="0" applyProtection="0"/>
    <xf numFmtId="0" fontId="149" fillId="40" borderId="0" applyNumberFormat="0" applyFont="0" applyBorder="0" applyAlignment="0">
      <protection locked="0"/>
    </xf>
    <xf numFmtId="272" fontId="25" fillId="63" borderId="0"/>
    <xf numFmtId="0" fontId="150" fillId="33" borderId="35" applyNumberFormat="0" applyAlignment="0" applyProtection="0"/>
    <xf numFmtId="0" fontId="61" fillId="0" borderId="0" applyNumberFormat="0" applyFill="0" applyBorder="0" applyAlignment="0">
      <protection locked="0"/>
    </xf>
    <xf numFmtId="273" fontId="25" fillId="0" borderId="0">
      <alignment vertical="center"/>
    </xf>
    <xf numFmtId="0" fontId="61" fillId="0" borderId="0" applyNumberFormat="0" applyFont="0" applyFill="0" applyBorder="0" applyProtection="0">
      <alignment horizontal="left" vertical="center"/>
    </xf>
    <xf numFmtId="257" fontId="25" fillId="0" borderId="0" applyFill="0" applyBorder="0" applyAlignment="0"/>
    <xf numFmtId="206" fontId="129" fillId="0" borderId="0" applyFill="0" applyBorder="0" applyAlignment="0"/>
    <xf numFmtId="257" fontId="25" fillId="0" borderId="0" applyFill="0" applyBorder="0" applyAlignment="0"/>
    <xf numFmtId="258" fontId="25" fillId="0" borderId="0" applyFill="0" applyBorder="0" applyAlignment="0"/>
    <xf numFmtId="206" fontId="129" fillId="0" borderId="0" applyFill="0" applyBorder="0" applyAlignment="0"/>
    <xf numFmtId="0" fontId="151" fillId="0" borderId="40" applyNumberFormat="0" applyFill="0" applyAlignment="0" applyProtection="0"/>
    <xf numFmtId="274" fontId="152" fillId="0" borderId="0">
      <alignment horizontal="left" wrapText="1"/>
    </xf>
    <xf numFmtId="38" fontId="153" fillId="64" borderId="0">
      <alignment horizontal="left" indent="1"/>
    </xf>
    <xf numFmtId="199" fontId="25" fillId="0" borderId="0" applyFont="0" applyFill="0" applyBorder="0" applyAlignment="0" applyProtection="0"/>
    <xf numFmtId="275" fontId="132" fillId="0" borderId="0" applyFont="0" applyFill="0" applyBorder="0" applyAlignment="0" applyProtection="0"/>
    <xf numFmtId="258" fontId="132" fillId="0" borderId="0" applyFont="0" applyFill="0" applyBorder="0" applyAlignment="0" applyProtection="0"/>
    <xf numFmtId="38" fontId="24" fillId="0" borderId="0" applyFont="0" applyFill="0" applyBorder="0" applyAlignment="0" applyProtection="0"/>
    <xf numFmtId="40" fontId="24" fillId="0" borderId="0" applyFont="0" applyFill="0" applyBorder="0" applyAlignment="0" applyProtection="0"/>
    <xf numFmtId="0" fontId="49" fillId="3" borderId="8">
      <alignment horizontal="left" vertical="top" indent="2"/>
    </xf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276" fontId="5" fillId="0" borderId="0" applyFont="0" applyFill="0" applyBorder="0" applyAlignment="0" applyProtection="0"/>
    <xf numFmtId="277" fontId="5" fillId="0" borderId="0" applyFont="0" applyFill="0" applyBorder="0" applyAlignment="0" applyProtection="0"/>
    <xf numFmtId="199" fontId="103" fillId="0" borderId="0" applyFont="0" applyFill="0" applyBorder="0" applyAlignment="0" applyProtection="0"/>
    <xf numFmtId="278" fontId="132" fillId="0" borderId="0" applyFont="0" applyFill="0" applyBorder="0" applyAlignment="0" applyProtection="0">
      <alignment horizontal="right"/>
    </xf>
    <xf numFmtId="279" fontId="132" fillId="0" borderId="0" applyFont="0" applyFill="0" applyBorder="0" applyAlignment="0" applyProtection="0">
      <alignment horizontal="right"/>
    </xf>
    <xf numFmtId="0" fontId="154" fillId="25" borderId="7"/>
    <xf numFmtId="0" fontId="155" fillId="65" borderId="0" applyNumberFormat="0" applyBorder="0" applyAlignment="0" applyProtection="0"/>
    <xf numFmtId="0" fontId="25" fillId="0" borderId="0"/>
    <xf numFmtId="280" fontId="156" fillId="0" borderId="0"/>
    <xf numFmtId="0" fontId="52" fillId="0" borderId="0"/>
    <xf numFmtId="0" fontId="25" fillId="0" borderId="0"/>
    <xf numFmtId="0" fontId="157" fillId="0" borderId="0" applyFont="0" applyFill="0" applyBorder="0" applyAlignment="0" applyProtection="0">
      <alignment horizontal="centerContinuous"/>
    </xf>
    <xf numFmtId="0" fontId="61" fillId="0" borderId="0" applyFont="0" applyFill="0" applyBorder="0" applyAlignment="0" applyProtection="0">
      <alignment horizontal="centerContinuous"/>
    </xf>
    <xf numFmtId="0" fontId="61" fillId="0" borderId="0" applyFont="0" applyFill="0" applyBorder="0" applyAlignment="0" applyProtection="0">
      <alignment horizontal="centerContinuous"/>
    </xf>
    <xf numFmtId="0" fontId="29" fillId="0" borderId="0" applyFont="0" applyFill="0" applyBorder="0" applyAlignment="0" applyProtection="0">
      <alignment horizontal="centerContinuous"/>
    </xf>
    <xf numFmtId="281" fontId="5" fillId="0" borderId="0"/>
    <xf numFmtId="0" fontId="158" fillId="0" borderId="41">
      <alignment vertical="top" wrapText="1"/>
    </xf>
    <xf numFmtId="0" fontId="158" fillId="0" borderId="42">
      <alignment vertical="top" wrapText="1"/>
    </xf>
    <xf numFmtId="199" fontId="25" fillId="0" borderId="0" applyFont="0" applyFill="0" applyBorder="0" applyAlignment="0" applyProtection="0"/>
    <xf numFmtId="0" fontId="30" fillId="0" borderId="0" applyFont="0" applyFill="0" applyBorder="0" applyAlignment="0" applyProtection="0"/>
    <xf numFmtId="40" fontId="159" fillId="0" borderId="0" applyFont="0" applyFill="0" applyBorder="0" applyAlignment="0" applyProtection="0"/>
    <xf numFmtId="38" fontId="159" fillId="0" borderId="0" applyFont="0" applyFill="0" applyBorder="0" applyAlignment="0" applyProtection="0"/>
    <xf numFmtId="0" fontId="8" fillId="0" borderId="0"/>
    <xf numFmtId="9" fontId="5" fillId="0" borderId="0" applyFont="0" applyFill="0" applyBorder="0" applyAlignment="0" applyProtection="0"/>
    <xf numFmtId="0" fontId="160" fillId="59" borderId="43" applyNumberFormat="0" applyAlignment="0" applyProtection="0"/>
    <xf numFmtId="0" fontId="160" fillId="59" borderId="43" applyNumberFormat="0" applyAlignment="0" applyProtection="0"/>
    <xf numFmtId="0" fontId="160" fillId="59" borderId="43" applyNumberFormat="0" applyAlignment="0" applyProtection="0"/>
    <xf numFmtId="0" fontId="160" fillId="59" borderId="43" applyNumberFormat="0" applyAlignment="0" applyProtection="0"/>
    <xf numFmtId="0" fontId="160" fillId="59" borderId="43" applyNumberFormat="0" applyAlignment="0" applyProtection="0"/>
    <xf numFmtId="0" fontId="160" fillId="59" borderId="43" applyNumberFormat="0" applyAlignment="0" applyProtection="0"/>
    <xf numFmtId="0" fontId="160" fillId="59" borderId="43" applyNumberFormat="0" applyAlignment="0" applyProtection="0"/>
    <xf numFmtId="0" fontId="160" fillId="59" borderId="43" applyNumberFormat="0" applyAlignment="0" applyProtection="0"/>
    <xf numFmtId="0" fontId="160" fillId="59" borderId="43" applyNumberFormat="0" applyAlignment="0" applyProtection="0"/>
    <xf numFmtId="0" fontId="160" fillId="59" borderId="43" applyNumberFormat="0" applyAlignment="0" applyProtection="0"/>
    <xf numFmtId="0" fontId="160" fillId="59" borderId="43" applyNumberFormat="0" applyAlignment="0" applyProtection="0"/>
    <xf numFmtId="0" fontId="160" fillId="59" borderId="43" applyNumberFormat="0" applyAlignment="0" applyProtection="0"/>
    <xf numFmtId="0" fontId="160" fillId="59" borderId="43" applyNumberFormat="0" applyAlignment="0" applyProtection="0"/>
    <xf numFmtId="0" fontId="160" fillId="59" borderId="43" applyNumberFormat="0" applyAlignment="0" applyProtection="0"/>
    <xf numFmtId="0" fontId="160" fillId="59" borderId="43" applyNumberFormat="0" applyAlignment="0" applyProtection="0"/>
    <xf numFmtId="0" fontId="160" fillId="59" borderId="43" applyNumberFormat="0" applyAlignment="0" applyProtection="0"/>
    <xf numFmtId="0" fontId="160" fillId="59" borderId="43" applyNumberFormat="0" applyAlignment="0" applyProtection="0"/>
    <xf numFmtId="0" fontId="160" fillId="59" borderId="43" applyNumberFormat="0" applyAlignment="0" applyProtection="0"/>
    <xf numFmtId="0" fontId="160" fillId="59" borderId="43" applyNumberFormat="0" applyAlignment="0" applyProtection="0"/>
    <xf numFmtId="0" fontId="160" fillId="59" borderId="43" applyNumberFormat="0" applyAlignment="0" applyProtection="0"/>
    <xf numFmtId="0" fontId="160" fillId="59" borderId="43" applyNumberFormat="0" applyAlignment="0" applyProtection="0"/>
    <xf numFmtId="0" fontId="160" fillId="59" borderId="43" applyNumberFormat="0" applyAlignment="0" applyProtection="0"/>
    <xf numFmtId="0" fontId="160" fillId="59" borderId="43" applyNumberFormat="0" applyAlignment="0" applyProtection="0"/>
    <xf numFmtId="0" fontId="160" fillId="59" borderId="43" applyNumberFormat="0" applyAlignment="0" applyProtection="0"/>
    <xf numFmtId="0" fontId="160" fillId="59" borderId="43" applyNumberFormat="0" applyAlignment="0" applyProtection="0"/>
    <xf numFmtId="0" fontId="160" fillId="59" borderId="43" applyNumberFormat="0" applyAlignment="0" applyProtection="0"/>
    <xf numFmtId="0" fontId="160" fillId="59" borderId="43" applyNumberFormat="0" applyAlignment="0" applyProtection="0"/>
    <xf numFmtId="0" fontId="160" fillId="59" borderId="43" applyNumberFormat="0" applyAlignment="0" applyProtection="0"/>
    <xf numFmtId="0" fontId="160" fillId="59" borderId="43" applyNumberFormat="0" applyAlignment="0" applyProtection="0"/>
    <xf numFmtId="0" fontId="160" fillId="59" borderId="43" applyNumberFormat="0" applyAlignment="0" applyProtection="0"/>
    <xf numFmtId="0" fontId="160" fillId="59" borderId="43" applyNumberFormat="0" applyAlignment="0" applyProtection="0"/>
    <xf numFmtId="0" fontId="160" fillId="59" borderId="43" applyNumberFormat="0" applyAlignment="0" applyProtection="0"/>
    <xf numFmtId="0" fontId="160" fillId="59" borderId="43" applyNumberFormat="0" applyAlignment="0" applyProtection="0"/>
    <xf numFmtId="0" fontId="160" fillId="59" borderId="43" applyNumberFormat="0" applyAlignment="0" applyProtection="0"/>
    <xf numFmtId="0" fontId="160" fillId="59" borderId="43" applyNumberFormat="0" applyAlignment="0" applyProtection="0"/>
    <xf numFmtId="0" fontId="160" fillId="59" borderId="43" applyNumberFormat="0" applyAlignment="0" applyProtection="0"/>
    <xf numFmtId="0" fontId="160" fillId="59" borderId="43" applyNumberFormat="0" applyAlignment="0" applyProtection="0"/>
    <xf numFmtId="0" fontId="160" fillId="59" borderId="43" applyNumberFormat="0" applyAlignment="0" applyProtection="0"/>
    <xf numFmtId="0" fontId="160" fillId="59" borderId="43" applyNumberFormat="0" applyAlignment="0" applyProtection="0"/>
    <xf numFmtId="0" fontId="160" fillId="59" borderId="43" applyNumberFormat="0" applyAlignment="0" applyProtection="0"/>
    <xf numFmtId="0" fontId="160" fillId="59" borderId="43" applyNumberFormat="0" applyAlignment="0" applyProtection="0"/>
    <xf numFmtId="0" fontId="160" fillId="59" borderId="43" applyNumberFormat="0" applyAlignment="0" applyProtection="0"/>
    <xf numFmtId="0" fontId="160" fillId="59" borderId="43" applyNumberFormat="0" applyAlignment="0" applyProtection="0"/>
    <xf numFmtId="0" fontId="160" fillId="59" borderId="43" applyNumberFormat="0" applyAlignment="0" applyProtection="0"/>
    <xf numFmtId="0" fontId="160" fillId="59" borderId="43" applyNumberFormat="0" applyAlignment="0" applyProtection="0"/>
    <xf numFmtId="0" fontId="160" fillId="59" borderId="43" applyNumberFormat="0" applyAlignment="0" applyProtection="0"/>
    <xf numFmtId="0" fontId="160" fillId="59" borderId="43" applyNumberFormat="0" applyAlignment="0" applyProtection="0"/>
    <xf numFmtId="0" fontId="160" fillId="59" borderId="43" applyNumberFormat="0" applyAlignment="0" applyProtection="0"/>
    <xf numFmtId="0" fontId="160" fillId="59" borderId="43" applyNumberFormat="0" applyAlignment="0" applyProtection="0"/>
    <xf numFmtId="0" fontId="160" fillId="59" borderId="43" applyNumberFormat="0" applyAlignment="0" applyProtection="0"/>
    <xf numFmtId="0" fontId="160" fillId="59" borderId="43" applyNumberFormat="0" applyAlignment="0" applyProtection="0"/>
    <xf numFmtId="0" fontId="160" fillId="59" borderId="43" applyNumberFormat="0" applyAlignment="0" applyProtection="0"/>
    <xf numFmtId="0" fontId="160" fillId="59" borderId="43" applyNumberFormat="0" applyAlignment="0" applyProtection="0"/>
    <xf numFmtId="0" fontId="160" fillId="59" borderId="43" applyNumberFormat="0" applyAlignment="0" applyProtection="0"/>
    <xf numFmtId="0" fontId="160" fillId="59" borderId="43" applyNumberFormat="0" applyAlignment="0" applyProtection="0"/>
    <xf numFmtId="0" fontId="160" fillId="59" borderId="43" applyNumberFormat="0" applyAlignment="0" applyProtection="0"/>
    <xf numFmtId="0" fontId="160" fillId="59" borderId="43" applyNumberFormat="0" applyAlignment="0" applyProtection="0"/>
    <xf numFmtId="0" fontId="160" fillId="59" borderId="43" applyNumberFormat="0" applyAlignment="0" applyProtection="0"/>
    <xf numFmtId="0" fontId="160" fillId="59" borderId="43" applyNumberFormat="0" applyAlignment="0" applyProtection="0"/>
    <xf numFmtId="0" fontId="160" fillId="59" borderId="43" applyNumberFormat="0" applyAlignment="0" applyProtection="0"/>
    <xf numFmtId="0" fontId="160" fillId="59" borderId="43" applyNumberFormat="0" applyAlignment="0" applyProtection="0"/>
    <xf numFmtId="1" fontId="161" fillId="0" borderId="0" applyProtection="0">
      <alignment horizontal="right" vertical="center"/>
    </xf>
    <xf numFmtId="14" fontId="117" fillId="0" borderId="0">
      <alignment horizontal="center" wrapText="1"/>
      <protection locked="0"/>
    </xf>
    <xf numFmtId="282" fontId="5" fillId="0" borderId="0">
      <protection locked="0"/>
    </xf>
    <xf numFmtId="9" fontId="24" fillId="0" borderId="29" applyNumberFormat="0" applyBorder="0"/>
    <xf numFmtId="9" fontId="24" fillId="0" borderId="29" applyNumberFormat="0" applyBorder="0"/>
    <xf numFmtId="0" fontId="8" fillId="0" borderId="0">
      <protection locked="0"/>
    </xf>
    <xf numFmtId="0" fontId="162" fillId="0" borderId="0">
      <protection locked="0"/>
    </xf>
    <xf numFmtId="0" fontId="8" fillId="0" borderId="0">
      <protection locked="0"/>
    </xf>
    <xf numFmtId="0" fontId="45" fillId="0" borderId="0">
      <protection locked="0"/>
    </xf>
    <xf numFmtId="0" fontId="10" fillId="0" borderId="0" applyFill="0" applyBorder="0" applyAlignment="0"/>
    <xf numFmtId="4" fontId="129" fillId="0" borderId="0">
      <alignment horizontal="right"/>
    </xf>
    <xf numFmtId="283" fontId="163" fillId="0" borderId="0"/>
    <xf numFmtId="0" fontId="164" fillId="27" borderId="44"/>
    <xf numFmtId="201" fontId="25" fillId="0" borderId="0" applyFont="0" applyFill="0" applyBorder="0" applyAlignment="0" applyProtection="0"/>
    <xf numFmtId="0" fontId="24" fillId="0" borderId="0" applyNumberFormat="0" applyFont="0" applyFill="0" applyBorder="0" applyAlignment="0" applyProtection="0">
      <alignment horizontal="left"/>
    </xf>
    <xf numFmtId="15" fontId="24" fillId="0" borderId="0" applyFont="0" applyFill="0" applyBorder="0" applyAlignment="0" applyProtection="0"/>
    <xf numFmtId="4" fontId="24" fillId="0" borderId="0" applyFont="0" applyFill="0" applyBorder="0" applyAlignment="0" applyProtection="0"/>
    <xf numFmtId="0" fontId="23" fillId="0" borderId="2">
      <alignment horizontal="center"/>
    </xf>
    <xf numFmtId="3" fontId="24" fillId="0" borderId="0" applyFont="0" applyFill="0" applyBorder="0" applyAlignment="0" applyProtection="0"/>
    <xf numFmtId="4" fontId="165" fillId="0" borderId="0">
      <alignment horizontal="right"/>
    </xf>
    <xf numFmtId="284" fontId="8" fillId="0" borderId="0" applyNumberFormat="0" applyFill="0" applyBorder="0" applyAlignment="0" applyProtection="0">
      <alignment horizontal="left"/>
    </xf>
    <xf numFmtId="199" fontId="25" fillId="0" borderId="0" applyFont="0" applyFill="0" applyBorder="0" applyAlignment="0" applyProtection="0"/>
    <xf numFmtId="0" fontId="8" fillId="0" borderId="0"/>
    <xf numFmtId="0" fontId="8" fillId="0" borderId="0"/>
    <xf numFmtId="285" fontId="149" fillId="0" borderId="0"/>
    <xf numFmtId="0" fontId="149" fillId="0" borderId="26">
      <protection locked="0"/>
    </xf>
    <xf numFmtId="0" fontId="166" fillId="0" borderId="0">
      <alignment horizontal="left"/>
    </xf>
    <xf numFmtId="0" fontId="24" fillId="0" borderId="0" applyFill="0"/>
    <xf numFmtId="0" fontId="45" fillId="0" borderId="45"/>
    <xf numFmtId="0" fontId="45" fillId="0" borderId="45"/>
    <xf numFmtId="0" fontId="45" fillId="0" borderId="45"/>
    <xf numFmtId="0" fontId="45" fillId="0" borderId="45"/>
    <xf numFmtId="0" fontId="45" fillId="0" borderId="45"/>
    <xf numFmtId="0" fontId="45" fillId="0" borderId="45"/>
    <xf numFmtId="0" fontId="45" fillId="0" borderId="45"/>
    <xf numFmtId="0" fontId="45" fillId="0" borderId="45"/>
    <xf numFmtId="0" fontId="45" fillId="0" borderId="45"/>
    <xf numFmtId="0" fontId="45" fillId="0" borderId="45"/>
    <xf numFmtId="0" fontId="45" fillId="0" borderId="45"/>
    <xf numFmtId="0" fontId="45" fillId="0" borderId="45"/>
    <xf numFmtId="0" fontId="45" fillId="0" borderId="45"/>
    <xf numFmtId="0" fontId="45" fillId="0" borderId="45"/>
    <xf numFmtId="0" fontId="45" fillId="0" borderId="45"/>
    <xf numFmtId="0" fontId="45" fillId="0" borderId="45"/>
    <xf numFmtId="0" fontId="45" fillId="0" borderId="45"/>
    <xf numFmtId="0" fontId="45" fillId="0" borderId="45"/>
    <xf numFmtId="0" fontId="45" fillId="0" borderId="45"/>
    <xf numFmtId="0" fontId="45" fillId="0" borderId="45"/>
    <xf numFmtId="0" fontId="45" fillId="0" borderId="45"/>
    <xf numFmtId="0" fontId="45" fillId="0" borderId="45"/>
    <xf numFmtId="0" fontId="45" fillId="0" borderId="45"/>
    <xf numFmtId="0" fontId="45" fillId="0" borderId="45"/>
    <xf numFmtId="0" fontId="45" fillId="0" borderId="45"/>
    <xf numFmtId="0" fontId="45" fillId="0" borderId="45"/>
    <xf numFmtId="0" fontId="45" fillId="0" borderId="45"/>
    <xf numFmtId="0" fontId="45" fillId="0" borderId="45"/>
    <xf numFmtId="0" fontId="45" fillId="0" borderId="45"/>
    <xf numFmtId="0" fontId="45" fillId="0" borderId="45"/>
    <xf numFmtId="0" fontId="45" fillId="0" borderId="45"/>
    <xf numFmtId="0" fontId="45" fillId="0" borderId="45"/>
    <xf numFmtId="0" fontId="45" fillId="0" borderId="45"/>
    <xf numFmtId="0" fontId="45" fillId="0" borderId="45"/>
    <xf numFmtId="0" fontId="45" fillId="0" borderId="45"/>
    <xf numFmtId="0" fontId="45" fillId="0" borderId="45"/>
    <xf numFmtId="0" fontId="45" fillId="0" borderId="45"/>
    <xf numFmtId="0" fontId="45" fillId="0" borderId="45"/>
    <xf numFmtId="0" fontId="45" fillId="0" borderId="45"/>
    <xf numFmtId="0" fontId="45" fillId="0" borderId="45"/>
    <xf numFmtId="0" fontId="45" fillId="0" borderId="45"/>
    <xf numFmtId="0" fontId="45" fillId="0" borderId="45"/>
    <xf numFmtId="0" fontId="45" fillId="0" borderId="45"/>
    <xf numFmtId="0" fontId="45" fillId="0" borderId="45"/>
    <xf numFmtId="0" fontId="45" fillId="0" borderId="45"/>
    <xf numFmtId="0" fontId="45" fillId="0" borderId="45"/>
    <xf numFmtId="0" fontId="45" fillId="0" borderId="45"/>
    <xf numFmtId="0" fontId="45" fillId="0" borderId="45"/>
    <xf numFmtId="0" fontId="45" fillId="0" borderId="45"/>
    <xf numFmtId="0" fontId="45" fillId="0" borderId="45"/>
    <xf numFmtId="0" fontId="45" fillId="0" borderId="45"/>
    <xf numFmtId="0" fontId="45" fillId="0" borderId="45"/>
    <xf numFmtId="0" fontId="45" fillId="0" borderId="45"/>
    <xf numFmtId="0" fontId="45" fillId="0" borderId="45"/>
    <xf numFmtId="0" fontId="45" fillId="0" borderId="45"/>
    <xf numFmtId="0" fontId="45" fillId="0" borderId="45"/>
    <xf numFmtId="0" fontId="45" fillId="0" borderId="45"/>
    <xf numFmtId="0" fontId="45" fillId="0" borderId="45"/>
    <xf numFmtId="0" fontId="45" fillId="0" borderId="45"/>
    <xf numFmtId="0" fontId="45" fillId="0" borderId="45"/>
    <xf numFmtId="0" fontId="167" fillId="0" borderId="0">
      <alignment horizontal="left" indent="1"/>
    </xf>
    <xf numFmtId="0" fontId="8" fillId="0" borderId="0">
      <alignment vertical="top"/>
    </xf>
    <xf numFmtId="0" fontId="168" fillId="66" borderId="46" applyNumberFormat="0" applyProtection="0">
      <alignment horizontal="center" wrapText="1"/>
    </xf>
    <xf numFmtId="0" fontId="168" fillId="66" borderId="46" applyNumberFormat="0" applyProtection="0">
      <alignment horizontal="center" wrapText="1"/>
    </xf>
    <xf numFmtId="0" fontId="168" fillId="66" borderId="46" applyNumberFormat="0" applyProtection="0">
      <alignment horizontal="center" wrapText="1"/>
    </xf>
    <xf numFmtId="0" fontId="168" fillId="66" borderId="46" applyNumberFormat="0" applyProtection="0">
      <alignment horizontal="center" wrapText="1"/>
    </xf>
    <xf numFmtId="0" fontId="168" fillId="66" borderId="46" applyNumberFormat="0" applyProtection="0">
      <alignment horizontal="center" wrapText="1"/>
    </xf>
    <xf numFmtId="0" fontId="168" fillId="66" borderId="46" applyNumberFormat="0" applyProtection="0">
      <alignment horizontal="center" wrapText="1"/>
    </xf>
    <xf numFmtId="0" fontId="168" fillId="66" borderId="46" applyNumberFormat="0" applyProtection="0">
      <alignment horizontal="center" wrapText="1"/>
    </xf>
    <xf numFmtId="0" fontId="168" fillId="66" borderId="46" applyNumberFormat="0" applyProtection="0">
      <alignment horizontal="center" wrapText="1"/>
    </xf>
    <xf numFmtId="0" fontId="168" fillId="66" borderId="46" applyNumberFormat="0" applyProtection="0">
      <alignment horizontal="center" wrapText="1"/>
    </xf>
    <xf numFmtId="0" fontId="168" fillId="66" borderId="46" applyNumberFormat="0" applyProtection="0">
      <alignment horizontal="center" wrapText="1"/>
    </xf>
    <xf numFmtId="0" fontId="168" fillId="66" borderId="46" applyNumberFormat="0" applyProtection="0">
      <alignment horizontal="center" wrapText="1"/>
    </xf>
    <xf numFmtId="0" fontId="168" fillId="66" borderId="46" applyNumberFormat="0" applyProtection="0">
      <alignment horizontal="center" wrapText="1"/>
    </xf>
    <xf numFmtId="0" fontId="168" fillId="66" borderId="46" applyNumberFormat="0" applyProtection="0">
      <alignment horizontal="center" wrapText="1"/>
    </xf>
    <xf numFmtId="0" fontId="168" fillId="66" borderId="46" applyNumberFormat="0" applyProtection="0">
      <alignment horizontal="center" wrapText="1"/>
    </xf>
    <xf numFmtId="0" fontId="168" fillId="66" borderId="46" applyNumberFormat="0" applyProtection="0">
      <alignment horizontal="center" wrapText="1"/>
    </xf>
    <xf numFmtId="0" fontId="168" fillId="66" borderId="46" applyNumberFormat="0" applyProtection="0">
      <alignment horizontal="center" wrapText="1"/>
    </xf>
    <xf numFmtId="0" fontId="168" fillId="66" borderId="46" applyNumberFormat="0" applyProtection="0">
      <alignment horizontal="center" wrapText="1"/>
    </xf>
    <xf numFmtId="0" fontId="168" fillId="66" borderId="46" applyNumberFormat="0" applyProtection="0">
      <alignment horizontal="center" wrapText="1"/>
    </xf>
    <xf numFmtId="0" fontId="168" fillId="66" borderId="46" applyNumberFormat="0" applyProtection="0">
      <alignment horizontal="center" wrapText="1"/>
    </xf>
    <xf numFmtId="0" fontId="168" fillId="66" borderId="46" applyNumberFormat="0" applyProtection="0">
      <alignment horizontal="center" wrapText="1"/>
    </xf>
    <xf numFmtId="0" fontId="168" fillId="66" borderId="46" applyNumberFormat="0" applyProtection="0">
      <alignment horizontal="center" wrapText="1"/>
    </xf>
    <xf numFmtId="0" fontId="168" fillId="66" borderId="46" applyNumberFormat="0" applyProtection="0">
      <alignment horizontal="center" wrapText="1"/>
    </xf>
    <xf numFmtId="0" fontId="168" fillId="66" borderId="46" applyNumberFormat="0" applyProtection="0">
      <alignment horizontal="center" wrapText="1"/>
    </xf>
    <xf numFmtId="0" fontId="168" fillId="66" borderId="46" applyNumberFormat="0" applyProtection="0">
      <alignment horizontal="center" wrapText="1"/>
    </xf>
    <xf numFmtId="0" fontId="168" fillId="66" borderId="46" applyNumberFormat="0" applyProtection="0">
      <alignment horizontal="center" wrapText="1"/>
    </xf>
    <xf numFmtId="0" fontId="168" fillId="66" borderId="46" applyNumberFormat="0" applyProtection="0">
      <alignment horizontal="center" wrapText="1"/>
    </xf>
    <xf numFmtId="0" fontId="168" fillId="66" borderId="46" applyNumberFormat="0" applyProtection="0">
      <alignment horizontal="center" wrapText="1"/>
    </xf>
    <xf numFmtId="0" fontId="168" fillId="66" borderId="46" applyNumberFormat="0" applyProtection="0">
      <alignment horizontal="center" wrapText="1"/>
    </xf>
    <xf numFmtId="0" fontId="168" fillId="66" borderId="46" applyNumberFormat="0" applyProtection="0">
      <alignment horizontal="center" wrapText="1"/>
    </xf>
    <xf numFmtId="0" fontId="168" fillId="66" borderId="46" applyNumberFormat="0" applyProtection="0">
      <alignment horizontal="center" wrapText="1"/>
    </xf>
    <xf numFmtId="0" fontId="168" fillId="66" borderId="46" applyNumberFormat="0" applyProtection="0">
      <alignment horizontal="center" wrapText="1"/>
    </xf>
    <xf numFmtId="0" fontId="168" fillId="66" borderId="46" applyNumberFormat="0" applyProtection="0">
      <alignment horizontal="center" wrapText="1"/>
    </xf>
    <xf numFmtId="0" fontId="168" fillId="66" borderId="46" applyNumberFormat="0" applyProtection="0">
      <alignment horizontal="center" wrapText="1"/>
    </xf>
    <xf numFmtId="0" fontId="168" fillId="66" borderId="46" applyNumberFormat="0" applyProtection="0">
      <alignment horizontal="center" wrapText="1"/>
    </xf>
    <xf numFmtId="0" fontId="168" fillId="66" borderId="46" applyNumberFormat="0" applyProtection="0">
      <alignment horizontal="center" wrapText="1"/>
    </xf>
    <xf numFmtId="0" fontId="168" fillId="66" borderId="46" applyNumberFormat="0" applyProtection="0">
      <alignment horizontal="center" wrapText="1"/>
    </xf>
    <xf numFmtId="0" fontId="168" fillId="66" borderId="46" applyNumberFormat="0" applyProtection="0">
      <alignment horizontal="center" wrapText="1"/>
    </xf>
    <xf numFmtId="0" fontId="168" fillId="66" borderId="46" applyNumberFormat="0" applyProtection="0">
      <alignment horizontal="center" wrapText="1"/>
    </xf>
    <xf numFmtId="0" fontId="168" fillId="66" borderId="46" applyNumberFormat="0" applyProtection="0">
      <alignment horizontal="center" wrapText="1"/>
    </xf>
    <xf numFmtId="0" fontId="168" fillId="66" borderId="46" applyNumberFormat="0" applyProtection="0">
      <alignment horizontal="center" wrapText="1"/>
    </xf>
    <xf numFmtId="0" fontId="168" fillId="66" borderId="46" applyNumberFormat="0" applyProtection="0">
      <alignment horizontal="center" wrapText="1"/>
    </xf>
    <xf numFmtId="0" fontId="168" fillId="66" borderId="46" applyNumberFormat="0" applyProtection="0">
      <alignment horizontal="center" wrapText="1"/>
    </xf>
    <xf numFmtId="0" fontId="168" fillId="66" borderId="46" applyNumberFormat="0" applyProtection="0">
      <alignment horizontal="center" wrapText="1"/>
    </xf>
    <xf numFmtId="0" fontId="168" fillId="66" borderId="46" applyNumberFormat="0" applyProtection="0">
      <alignment horizontal="center" wrapText="1"/>
    </xf>
    <xf numFmtId="0" fontId="168" fillId="66" borderId="46" applyNumberFormat="0" applyProtection="0">
      <alignment horizontal="center" wrapText="1"/>
    </xf>
    <xf numFmtId="0" fontId="168" fillId="66" borderId="46" applyNumberFormat="0" applyProtection="0">
      <alignment horizontal="center" wrapText="1"/>
    </xf>
    <xf numFmtId="0" fontId="168" fillId="66" borderId="46" applyNumberFormat="0" applyProtection="0">
      <alignment horizontal="center" wrapText="1"/>
    </xf>
    <xf numFmtId="0" fontId="168" fillId="66" borderId="46" applyNumberFormat="0" applyProtection="0">
      <alignment horizontal="center" wrapText="1"/>
    </xf>
    <xf numFmtId="0" fontId="168" fillId="66" borderId="46" applyNumberFormat="0" applyProtection="0">
      <alignment horizontal="center" wrapText="1"/>
    </xf>
    <xf numFmtId="0" fontId="168" fillId="66" borderId="46" applyNumberFormat="0" applyProtection="0">
      <alignment horizontal="center" wrapText="1"/>
    </xf>
    <xf numFmtId="0" fontId="168" fillId="66" borderId="46" applyNumberFormat="0" applyProtection="0">
      <alignment horizontal="center" wrapText="1"/>
    </xf>
    <xf numFmtId="0" fontId="168" fillId="66" borderId="46" applyNumberFormat="0" applyProtection="0">
      <alignment horizontal="center" wrapText="1"/>
    </xf>
    <xf numFmtId="0" fontId="168" fillId="66" borderId="46" applyNumberFormat="0" applyProtection="0">
      <alignment horizontal="center" wrapText="1"/>
    </xf>
    <xf numFmtId="0" fontId="168" fillId="66" borderId="46" applyNumberFormat="0" applyProtection="0">
      <alignment horizontal="center" wrapText="1"/>
    </xf>
    <xf numFmtId="0" fontId="168" fillId="66" borderId="46" applyNumberFormat="0" applyProtection="0">
      <alignment horizontal="center" wrapText="1"/>
    </xf>
    <xf numFmtId="0" fontId="168" fillId="66" borderId="46" applyNumberFormat="0" applyProtection="0">
      <alignment horizontal="center" wrapText="1"/>
    </xf>
    <xf numFmtId="0" fontId="168" fillId="66" borderId="46" applyNumberFormat="0" applyProtection="0">
      <alignment horizontal="center" wrapText="1"/>
    </xf>
    <xf numFmtId="0" fontId="168" fillId="66" borderId="46" applyNumberFormat="0" applyProtection="0">
      <alignment horizontal="center" wrapText="1"/>
    </xf>
    <xf numFmtId="0" fontId="168" fillId="66" borderId="46" applyNumberFormat="0" applyProtection="0">
      <alignment horizontal="center" wrapText="1"/>
    </xf>
    <xf numFmtId="0" fontId="168" fillId="66" borderId="46" applyNumberFormat="0" applyProtection="0">
      <alignment horizontal="center" wrapText="1"/>
    </xf>
    <xf numFmtId="4" fontId="8" fillId="3" borderId="3" applyFont="0" applyFill="0" applyAlignment="0" applyProtection="0"/>
    <xf numFmtId="4" fontId="8" fillId="3" borderId="3" applyFont="0" applyFill="0" applyAlignment="0" applyProtection="0"/>
    <xf numFmtId="4" fontId="8" fillId="3" borderId="3" applyFont="0" applyFill="0" applyAlignment="0" applyProtection="0"/>
    <xf numFmtId="4" fontId="8" fillId="3" borderId="3" applyFont="0" applyFill="0" applyAlignment="0" applyProtection="0"/>
    <xf numFmtId="4" fontId="8" fillId="3" borderId="3" applyFont="0" applyFill="0" applyAlignment="0" applyProtection="0"/>
    <xf numFmtId="4" fontId="8" fillId="3" borderId="3" applyFont="0" applyFill="0" applyAlignment="0" applyProtection="0"/>
    <xf numFmtId="4" fontId="8" fillId="3" borderId="3" applyFont="0" applyFill="0" applyAlignment="0" applyProtection="0"/>
    <xf numFmtId="4" fontId="8" fillId="3" borderId="3" applyFont="0" applyFill="0" applyAlignment="0" applyProtection="0"/>
    <xf numFmtId="4" fontId="8" fillId="3" borderId="3" applyFont="0" applyFill="0" applyAlignment="0" applyProtection="0"/>
    <xf numFmtId="4" fontId="8" fillId="3" borderId="3" applyFont="0" applyFill="0" applyAlignment="0" applyProtection="0"/>
    <xf numFmtId="4" fontId="8" fillId="3" borderId="3" applyFont="0" applyFill="0" applyAlignment="0" applyProtection="0"/>
    <xf numFmtId="4" fontId="8" fillId="3" borderId="3" applyFont="0" applyFill="0" applyAlignment="0" applyProtection="0"/>
    <xf numFmtId="4" fontId="8" fillId="3" borderId="3" applyFont="0" applyFill="0" applyAlignment="0" applyProtection="0"/>
    <xf numFmtId="4" fontId="8" fillId="3" borderId="3" applyFont="0" applyFill="0" applyAlignment="0" applyProtection="0"/>
    <xf numFmtId="4" fontId="8" fillId="3" borderId="3" applyFont="0" applyFill="0" applyAlignment="0" applyProtection="0"/>
    <xf numFmtId="4" fontId="8" fillId="3" borderId="3" applyFont="0" applyFill="0" applyAlignment="0" applyProtection="0"/>
    <xf numFmtId="4" fontId="8" fillId="3" borderId="3" applyFont="0" applyFill="0" applyAlignment="0" applyProtection="0"/>
    <xf numFmtId="4" fontId="8" fillId="3" borderId="3" applyFont="0" applyFill="0" applyAlignment="0" applyProtection="0"/>
    <xf numFmtId="4" fontId="8" fillId="3" borderId="3" applyFont="0" applyFill="0" applyAlignment="0" applyProtection="0"/>
    <xf numFmtId="4" fontId="8" fillId="3" borderId="3" applyFont="0" applyFill="0" applyAlignment="0" applyProtection="0"/>
    <xf numFmtId="4" fontId="8" fillId="3" borderId="3" applyFont="0" applyFill="0" applyAlignment="0" applyProtection="0"/>
    <xf numFmtId="4" fontId="8" fillId="3" borderId="3" applyFont="0" applyFill="0" applyAlignment="0" applyProtection="0"/>
    <xf numFmtId="4" fontId="8" fillId="3" borderId="3" applyFont="0" applyFill="0" applyAlignment="0" applyProtection="0"/>
    <xf numFmtId="4" fontId="8" fillId="3" borderId="3" applyFont="0" applyFill="0" applyAlignment="0" applyProtection="0"/>
    <xf numFmtId="4" fontId="8" fillId="3" borderId="3" applyFont="0" applyFill="0" applyAlignment="0" applyProtection="0"/>
    <xf numFmtId="4" fontId="8" fillId="3" borderId="3" applyFont="0" applyFill="0" applyAlignment="0" applyProtection="0"/>
    <xf numFmtId="4" fontId="8" fillId="3" borderId="3" applyFont="0" applyFill="0" applyAlignment="0" applyProtection="0"/>
    <xf numFmtId="4" fontId="8" fillId="3" borderId="3" applyFont="0" applyFill="0" applyAlignment="0" applyProtection="0"/>
    <xf numFmtId="4" fontId="8" fillId="3" borderId="3" applyFont="0" applyFill="0" applyAlignment="0" applyProtection="0"/>
    <xf numFmtId="4" fontId="8" fillId="3" borderId="3" applyFont="0" applyFill="0" applyAlignment="0" applyProtection="0"/>
    <xf numFmtId="4" fontId="8" fillId="3" borderId="3" applyFont="0" applyFill="0" applyAlignment="0" applyProtection="0"/>
    <xf numFmtId="4" fontId="8" fillId="3" borderId="3" applyFont="0" applyFill="0" applyAlignment="0" applyProtection="0"/>
    <xf numFmtId="4" fontId="8" fillId="3" borderId="3" applyFont="0" applyFill="0" applyAlignment="0" applyProtection="0"/>
    <xf numFmtId="4" fontId="8" fillId="3" borderId="3" applyFont="0" applyFill="0" applyAlignment="0" applyProtection="0"/>
    <xf numFmtId="4" fontId="8" fillId="3" borderId="3" applyFont="0" applyFill="0" applyAlignment="0" applyProtection="0"/>
    <xf numFmtId="4" fontId="8" fillId="3" borderId="3" applyFont="0" applyFill="0" applyAlignment="0" applyProtection="0"/>
    <xf numFmtId="4" fontId="8" fillId="3" borderId="3" applyFont="0" applyFill="0" applyAlignment="0" applyProtection="0"/>
    <xf numFmtId="4" fontId="8" fillId="3" borderId="3" applyFont="0" applyFill="0" applyAlignment="0" applyProtection="0"/>
    <xf numFmtId="4" fontId="8" fillId="3" borderId="3" applyFont="0" applyFill="0" applyAlignment="0" applyProtection="0"/>
    <xf numFmtId="4" fontId="8" fillId="3" borderId="3" applyFont="0" applyFill="0" applyAlignment="0" applyProtection="0"/>
    <xf numFmtId="4" fontId="8" fillId="3" borderId="3" applyFont="0" applyFill="0" applyAlignment="0" applyProtection="0"/>
    <xf numFmtId="4" fontId="8" fillId="3" borderId="3" applyFont="0" applyFill="0" applyAlignment="0" applyProtection="0"/>
    <xf numFmtId="4" fontId="8" fillId="3" borderId="3" applyFont="0" applyFill="0" applyAlignment="0" applyProtection="0"/>
    <xf numFmtId="4" fontId="8" fillId="3" borderId="3" applyFont="0" applyFill="0" applyAlignment="0" applyProtection="0"/>
    <xf numFmtId="4" fontId="8" fillId="3" borderId="3" applyFont="0" applyFill="0" applyAlignment="0" applyProtection="0"/>
    <xf numFmtId="0" fontId="169" fillId="0" borderId="0" applyFill="0" applyAlignment="0" applyProtection="0"/>
    <xf numFmtId="40" fontId="170" fillId="0" borderId="0" applyBorder="0">
      <alignment horizontal="right"/>
    </xf>
    <xf numFmtId="0" fontId="171" fillId="0" borderId="0" applyBorder="0" applyProtection="0">
      <alignment vertical="center"/>
    </xf>
    <xf numFmtId="269" fontId="171" fillId="0" borderId="47" applyBorder="0" applyProtection="0">
      <alignment horizontal="right" vertical="center"/>
    </xf>
    <xf numFmtId="0" fontId="172" fillId="67" borderId="0" applyBorder="0" applyProtection="0">
      <alignment horizontal="centerContinuous" vertical="center"/>
    </xf>
    <xf numFmtId="0" fontId="172" fillId="62" borderId="47" applyBorder="0" applyProtection="0">
      <alignment horizontal="centerContinuous" vertical="center"/>
    </xf>
    <xf numFmtId="0" fontId="173" fillId="0" borderId="0" applyFill="0" applyBorder="0" applyProtection="0">
      <alignment horizontal="left"/>
    </xf>
    <xf numFmtId="0" fontId="138" fillId="0" borderId="21" applyFill="0" applyBorder="0" applyProtection="0">
      <alignment horizontal="left" vertical="top"/>
    </xf>
    <xf numFmtId="0" fontId="174" fillId="68" borderId="0"/>
    <xf numFmtId="49" fontId="89" fillId="0" borderId="0" applyFill="0" applyBorder="0" applyAlignment="0"/>
    <xf numFmtId="0" fontId="10" fillId="0" borderId="0" applyFill="0" applyBorder="0" applyAlignment="0"/>
    <xf numFmtId="0" fontId="114" fillId="0" borderId="0"/>
    <xf numFmtId="286" fontId="8" fillId="0" borderId="0" applyFont="0" applyFill="0" applyBorder="0" applyAlignment="0" applyProtection="0"/>
    <xf numFmtId="40" fontId="175" fillId="0" borderId="0"/>
    <xf numFmtId="0" fontId="176" fillId="0" borderId="0">
      <alignment horizontal="center"/>
    </xf>
    <xf numFmtId="215" fontId="40" fillId="0" borderId="10">
      <protection locked="0"/>
    </xf>
    <xf numFmtId="215" fontId="40" fillId="0" borderId="10">
      <protection locked="0"/>
    </xf>
    <xf numFmtId="215" fontId="40" fillId="0" borderId="10">
      <protection locked="0"/>
    </xf>
    <xf numFmtId="215" fontId="40" fillId="0" borderId="10">
      <protection locked="0"/>
    </xf>
    <xf numFmtId="215" fontId="40" fillId="0" borderId="10">
      <protection locked="0"/>
    </xf>
    <xf numFmtId="215" fontId="40" fillId="0" borderId="10">
      <protection locked="0"/>
    </xf>
    <xf numFmtId="215" fontId="40" fillId="0" borderId="10">
      <protection locked="0"/>
    </xf>
    <xf numFmtId="215" fontId="40" fillId="0" borderId="10">
      <protection locked="0"/>
    </xf>
    <xf numFmtId="215" fontId="40" fillId="0" borderId="10">
      <protection locked="0"/>
    </xf>
    <xf numFmtId="215" fontId="40" fillId="0" borderId="10">
      <protection locked="0"/>
    </xf>
    <xf numFmtId="215" fontId="40" fillId="0" borderId="10">
      <protection locked="0"/>
    </xf>
    <xf numFmtId="215" fontId="40" fillId="0" borderId="10">
      <protection locked="0"/>
    </xf>
    <xf numFmtId="215" fontId="40" fillId="0" borderId="10">
      <protection locked="0"/>
    </xf>
    <xf numFmtId="215" fontId="40" fillId="0" borderId="10">
      <protection locked="0"/>
    </xf>
    <xf numFmtId="215" fontId="40" fillId="0" borderId="10">
      <protection locked="0"/>
    </xf>
    <xf numFmtId="215" fontId="40" fillId="0" borderId="10">
      <protection locked="0"/>
    </xf>
    <xf numFmtId="215" fontId="40" fillId="0" borderId="10">
      <protection locked="0"/>
    </xf>
    <xf numFmtId="215" fontId="40" fillId="0" borderId="10">
      <protection locked="0"/>
    </xf>
    <xf numFmtId="215" fontId="40" fillId="0" borderId="10">
      <protection locked="0"/>
    </xf>
    <xf numFmtId="215" fontId="40" fillId="0" borderId="10">
      <protection locked="0"/>
    </xf>
    <xf numFmtId="215" fontId="40" fillId="0" borderId="10">
      <protection locked="0"/>
    </xf>
    <xf numFmtId="215" fontId="40" fillId="0" borderId="10">
      <protection locked="0"/>
    </xf>
    <xf numFmtId="215" fontId="40" fillId="0" borderId="10">
      <protection locked="0"/>
    </xf>
    <xf numFmtId="215" fontId="40" fillId="0" borderId="10">
      <protection locked="0"/>
    </xf>
    <xf numFmtId="215" fontId="40" fillId="0" borderId="10">
      <protection locked="0"/>
    </xf>
    <xf numFmtId="215" fontId="40" fillId="0" borderId="10">
      <protection locked="0"/>
    </xf>
    <xf numFmtId="215" fontId="40" fillId="0" borderId="10">
      <protection locked="0"/>
    </xf>
    <xf numFmtId="215" fontId="40" fillId="0" borderId="10">
      <protection locked="0"/>
    </xf>
    <xf numFmtId="215" fontId="40" fillId="0" borderId="10">
      <protection locked="0"/>
    </xf>
    <xf numFmtId="215" fontId="40" fillId="0" borderId="10">
      <protection locked="0"/>
    </xf>
    <xf numFmtId="215" fontId="40" fillId="0" borderId="10">
      <protection locked="0"/>
    </xf>
    <xf numFmtId="215" fontId="40" fillId="0" borderId="10">
      <protection locked="0"/>
    </xf>
    <xf numFmtId="215" fontId="40" fillId="0" borderId="10">
      <protection locked="0"/>
    </xf>
    <xf numFmtId="215" fontId="40" fillId="0" borderId="10">
      <protection locked="0"/>
    </xf>
    <xf numFmtId="215" fontId="40" fillId="0" borderId="10">
      <protection locked="0"/>
    </xf>
    <xf numFmtId="215" fontId="40" fillId="0" borderId="10">
      <protection locked="0"/>
    </xf>
    <xf numFmtId="215" fontId="40" fillId="0" borderId="10">
      <protection locked="0"/>
    </xf>
    <xf numFmtId="215" fontId="40" fillId="0" borderId="10">
      <protection locked="0"/>
    </xf>
    <xf numFmtId="215" fontId="40" fillId="0" borderId="10">
      <protection locked="0"/>
    </xf>
    <xf numFmtId="215" fontId="40" fillId="0" borderId="10">
      <protection locked="0"/>
    </xf>
    <xf numFmtId="215" fontId="40" fillId="0" borderId="10">
      <protection locked="0"/>
    </xf>
    <xf numFmtId="215" fontId="40" fillId="0" borderId="10">
      <protection locked="0"/>
    </xf>
    <xf numFmtId="215" fontId="40" fillId="0" borderId="10">
      <protection locked="0"/>
    </xf>
    <xf numFmtId="215" fontId="40" fillId="0" borderId="10">
      <protection locked="0"/>
    </xf>
    <xf numFmtId="215" fontId="40" fillId="0" borderId="10">
      <protection locked="0"/>
    </xf>
    <xf numFmtId="215" fontId="40" fillId="0" borderId="10">
      <protection locked="0"/>
    </xf>
    <xf numFmtId="215" fontId="40" fillId="0" borderId="10">
      <protection locked="0"/>
    </xf>
    <xf numFmtId="215" fontId="40" fillId="0" borderId="10">
      <protection locked="0"/>
    </xf>
    <xf numFmtId="215" fontId="40" fillId="0" borderId="10">
      <protection locked="0"/>
    </xf>
    <xf numFmtId="0" fontId="177" fillId="0" borderId="0">
      <alignment horizontal="fill"/>
    </xf>
    <xf numFmtId="37" fontId="42" fillId="69" borderId="0" applyNumberFormat="0" applyBorder="0" applyAlignment="0" applyProtection="0"/>
    <xf numFmtId="37" fontId="42" fillId="0" borderId="0"/>
    <xf numFmtId="3" fontId="178" fillId="0" borderId="39" applyProtection="0"/>
    <xf numFmtId="196" fontId="5" fillId="0" borderId="0" applyFont="0" applyFill="0" applyBorder="0" applyAlignment="0" applyProtection="0"/>
    <xf numFmtId="190" fontId="5" fillId="0" borderId="0" applyFont="0" applyFill="0" applyBorder="0" applyAlignment="0" applyProtection="0"/>
    <xf numFmtId="0" fontId="179" fillId="0" borderId="0" applyNumberFormat="0" applyFill="0" applyBorder="0" applyAlignment="0" applyProtection="0"/>
    <xf numFmtId="0" fontId="32" fillId="0" borderId="0" applyNumberFormat="0" applyFont="0" applyFill="0" applyBorder="0" applyProtection="0">
      <alignment horizontal="center" vertical="center" wrapText="1"/>
    </xf>
    <xf numFmtId="9" fontId="180" fillId="0" borderId="0" applyFont="0" applyFill="0" applyBorder="0" applyAlignment="0" applyProtection="0"/>
    <xf numFmtId="3" fontId="181" fillId="0" borderId="9" applyFont="0" applyFill="0" applyProtection="0">
      <alignment vertical="center"/>
    </xf>
    <xf numFmtId="218" fontId="5" fillId="0" borderId="0" applyFont="0" applyFill="0" applyBorder="0" applyAlignment="0" applyProtection="0"/>
    <xf numFmtId="186" fontId="180" fillId="0" borderId="0" applyFont="0" applyFill="0" applyBorder="0" applyAlignment="0" applyProtection="0"/>
    <xf numFmtId="193" fontId="180" fillId="0" borderId="0" applyFont="0" applyFill="0" applyBorder="0" applyAlignment="0" applyProtection="0"/>
    <xf numFmtId="0" fontId="180" fillId="0" borderId="0"/>
    <xf numFmtId="0" fontId="182" fillId="0" borderId="0"/>
    <xf numFmtId="0" fontId="107" fillId="54" borderId="0" applyNumberFormat="0" applyBorder="0" applyAlignment="0" applyProtection="0">
      <alignment vertical="center"/>
    </xf>
    <xf numFmtId="0" fontId="107" fillId="55" borderId="0" applyNumberFormat="0" applyBorder="0" applyAlignment="0" applyProtection="0">
      <alignment vertical="center"/>
    </xf>
    <xf numFmtId="0" fontId="107" fillId="56" borderId="0" applyNumberFormat="0" applyBorder="0" applyAlignment="0" applyProtection="0">
      <alignment vertical="center"/>
    </xf>
    <xf numFmtId="0" fontId="107" fillId="51" borderId="0" applyNumberFormat="0" applyBorder="0" applyAlignment="0" applyProtection="0">
      <alignment vertical="center"/>
    </xf>
    <xf numFmtId="0" fontId="107" fillId="52" borderId="0" applyNumberFormat="0" applyBorder="0" applyAlignment="0" applyProtection="0">
      <alignment vertical="center"/>
    </xf>
    <xf numFmtId="0" fontId="107" fillId="57" borderId="0" applyNumberFormat="0" applyBorder="0" applyAlignment="0" applyProtection="0">
      <alignment vertical="center"/>
    </xf>
    <xf numFmtId="0" fontId="108" fillId="54" borderId="0" applyNumberFormat="0" applyBorder="0" applyAlignment="0" applyProtection="0">
      <alignment vertical="center"/>
    </xf>
    <xf numFmtId="0" fontId="108" fillId="55" borderId="0" applyNumberFormat="0" applyBorder="0" applyAlignment="0" applyProtection="0">
      <alignment vertical="center"/>
    </xf>
    <xf numFmtId="0" fontId="108" fillId="56" borderId="0" applyNumberFormat="0" applyBorder="0" applyAlignment="0" applyProtection="0">
      <alignment vertical="center"/>
    </xf>
    <xf numFmtId="0" fontId="108" fillId="51" borderId="0" applyNumberFormat="0" applyBorder="0" applyAlignment="0" applyProtection="0">
      <alignment vertical="center"/>
    </xf>
    <xf numFmtId="0" fontId="108" fillId="52" borderId="0" applyNumberFormat="0" applyBorder="0" applyAlignment="0" applyProtection="0">
      <alignment vertical="center"/>
    </xf>
    <xf numFmtId="0" fontId="108" fillId="57" borderId="0" applyNumberFormat="0" applyBorder="0" applyAlignment="0" applyProtection="0">
      <alignment vertical="center"/>
    </xf>
    <xf numFmtId="0" fontId="183" fillId="60" borderId="36" applyNumberFormat="0" applyAlignment="0" applyProtection="0">
      <alignment vertical="center"/>
    </xf>
    <xf numFmtId="0" fontId="184" fillId="0" borderId="0" applyNumberFormat="0" applyFill="0" applyBorder="0" applyAlignment="0" applyProtection="0">
      <alignment vertical="center"/>
    </xf>
    <xf numFmtId="0" fontId="185" fillId="0" borderId="0" applyNumberFormat="0" applyFill="0" applyBorder="0" applyAlignment="0" applyProtection="0">
      <alignment vertical="center"/>
    </xf>
    <xf numFmtId="0" fontId="186" fillId="59" borderId="35" applyNumberFormat="0" applyAlignment="0" applyProtection="0">
      <alignment vertical="center"/>
    </xf>
    <xf numFmtId="0" fontId="186" fillId="59" borderId="35" applyNumberFormat="0" applyAlignment="0" applyProtection="0">
      <alignment vertical="center"/>
    </xf>
    <xf numFmtId="0" fontId="186" fillId="59" borderId="35" applyNumberFormat="0" applyAlignment="0" applyProtection="0">
      <alignment vertical="center"/>
    </xf>
    <xf numFmtId="0" fontId="186" fillId="59" borderId="35" applyNumberFormat="0" applyAlignment="0" applyProtection="0">
      <alignment vertical="center"/>
    </xf>
    <xf numFmtId="0" fontId="186" fillId="59" borderId="35" applyNumberFormat="0" applyAlignment="0" applyProtection="0">
      <alignment vertical="center"/>
    </xf>
    <xf numFmtId="0" fontId="186" fillId="59" borderId="35" applyNumberFormat="0" applyAlignment="0" applyProtection="0">
      <alignment vertical="center"/>
    </xf>
    <xf numFmtId="0" fontId="186" fillId="59" borderId="35" applyNumberFormat="0" applyAlignment="0" applyProtection="0">
      <alignment vertical="center"/>
    </xf>
    <xf numFmtId="0" fontId="186" fillId="59" borderId="35" applyNumberFormat="0" applyAlignment="0" applyProtection="0">
      <alignment vertical="center"/>
    </xf>
    <xf numFmtId="0" fontId="186" fillId="59" borderId="35" applyNumberFormat="0" applyAlignment="0" applyProtection="0">
      <alignment vertical="center"/>
    </xf>
    <xf numFmtId="0" fontId="186" fillId="59" borderId="35" applyNumberFormat="0" applyAlignment="0" applyProtection="0">
      <alignment vertical="center"/>
    </xf>
    <xf numFmtId="0" fontId="186" fillId="59" borderId="35" applyNumberFormat="0" applyAlignment="0" applyProtection="0">
      <alignment vertical="center"/>
    </xf>
    <xf numFmtId="0" fontId="186" fillId="59" borderId="35" applyNumberFormat="0" applyAlignment="0" applyProtection="0">
      <alignment vertical="center"/>
    </xf>
    <xf numFmtId="0" fontId="186" fillId="59" borderId="35" applyNumberFormat="0" applyAlignment="0" applyProtection="0">
      <alignment vertical="center"/>
    </xf>
    <xf numFmtId="0" fontId="186" fillId="59" borderId="35" applyNumberFormat="0" applyAlignment="0" applyProtection="0">
      <alignment vertical="center"/>
    </xf>
    <xf numFmtId="0" fontId="186" fillId="59" borderId="35" applyNumberFormat="0" applyAlignment="0" applyProtection="0">
      <alignment vertical="center"/>
    </xf>
    <xf numFmtId="0" fontId="186" fillId="59" borderId="35" applyNumberFormat="0" applyAlignment="0" applyProtection="0">
      <alignment vertical="center"/>
    </xf>
    <xf numFmtId="0" fontId="186" fillId="59" borderId="35" applyNumberFormat="0" applyAlignment="0" applyProtection="0">
      <alignment vertical="center"/>
    </xf>
    <xf numFmtId="0" fontId="186" fillId="59" borderId="35" applyNumberFormat="0" applyAlignment="0" applyProtection="0">
      <alignment vertical="center"/>
    </xf>
    <xf numFmtId="0" fontId="186" fillId="59" borderId="35" applyNumberFormat="0" applyAlignment="0" applyProtection="0">
      <alignment vertical="center"/>
    </xf>
    <xf numFmtId="0" fontId="186" fillId="59" borderId="35" applyNumberFormat="0" applyAlignment="0" applyProtection="0">
      <alignment vertical="center"/>
    </xf>
    <xf numFmtId="0" fontId="186" fillId="59" borderId="35" applyNumberFormat="0" applyAlignment="0" applyProtection="0">
      <alignment vertical="center"/>
    </xf>
    <xf numFmtId="0" fontId="186" fillId="59" borderId="35" applyNumberFormat="0" applyAlignment="0" applyProtection="0">
      <alignment vertical="center"/>
    </xf>
    <xf numFmtId="0" fontId="186" fillId="59" borderId="35" applyNumberFormat="0" applyAlignment="0" applyProtection="0">
      <alignment vertical="center"/>
    </xf>
    <xf numFmtId="0" fontId="186" fillId="59" borderId="35" applyNumberFormat="0" applyAlignment="0" applyProtection="0">
      <alignment vertical="center"/>
    </xf>
    <xf numFmtId="0" fontId="186" fillId="59" borderId="35" applyNumberFormat="0" applyAlignment="0" applyProtection="0">
      <alignment vertical="center"/>
    </xf>
    <xf numFmtId="0" fontId="186" fillId="59" borderId="35" applyNumberFormat="0" applyAlignment="0" applyProtection="0">
      <alignment vertical="center"/>
    </xf>
    <xf numFmtId="0" fontId="186" fillId="59" borderId="35" applyNumberFormat="0" applyAlignment="0" applyProtection="0">
      <alignment vertical="center"/>
    </xf>
    <xf numFmtId="0" fontId="186" fillId="59" borderId="35" applyNumberFormat="0" applyAlignment="0" applyProtection="0">
      <alignment vertical="center"/>
    </xf>
    <xf numFmtId="0" fontId="186" fillId="59" borderId="35" applyNumberFormat="0" applyAlignment="0" applyProtection="0">
      <alignment vertical="center"/>
    </xf>
    <xf numFmtId="0" fontId="186" fillId="59" borderId="35" applyNumberFormat="0" applyAlignment="0" applyProtection="0">
      <alignment vertical="center"/>
    </xf>
    <xf numFmtId="0" fontId="187" fillId="59" borderId="35" applyNumberFormat="0" applyAlignment="0" applyProtection="0">
      <alignment vertical="center"/>
    </xf>
    <xf numFmtId="0" fontId="186" fillId="59" borderId="35" applyNumberFormat="0" applyAlignment="0" applyProtection="0">
      <alignment vertical="center"/>
    </xf>
    <xf numFmtId="0" fontId="187" fillId="59" borderId="35" applyNumberFormat="0" applyAlignment="0" applyProtection="0">
      <alignment vertical="center"/>
    </xf>
    <xf numFmtId="0" fontId="187" fillId="59" borderId="35" applyNumberFormat="0" applyAlignment="0" applyProtection="0">
      <alignment vertical="center"/>
    </xf>
    <xf numFmtId="0" fontId="187" fillId="59" borderId="35" applyNumberFormat="0" applyAlignment="0" applyProtection="0">
      <alignment vertical="center"/>
    </xf>
    <xf numFmtId="0" fontId="187" fillId="59" borderId="35" applyNumberFormat="0" applyAlignment="0" applyProtection="0">
      <alignment vertical="center"/>
    </xf>
    <xf numFmtId="0" fontId="187" fillId="59" borderId="35" applyNumberFormat="0" applyAlignment="0" applyProtection="0">
      <alignment vertical="center"/>
    </xf>
    <xf numFmtId="0" fontId="187" fillId="59" borderId="35" applyNumberFormat="0" applyAlignment="0" applyProtection="0">
      <alignment vertical="center"/>
    </xf>
    <xf numFmtId="0" fontId="187" fillId="59" borderId="35" applyNumberFormat="0" applyAlignment="0" applyProtection="0">
      <alignment vertical="center"/>
    </xf>
    <xf numFmtId="0" fontId="187" fillId="59" borderId="35" applyNumberFormat="0" applyAlignment="0" applyProtection="0">
      <alignment vertical="center"/>
    </xf>
    <xf numFmtId="0" fontId="187" fillId="59" borderId="35" applyNumberFormat="0" applyAlignment="0" applyProtection="0">
      <alignment vertical="center"/>
    </xf>
    <xf numFmtId="0" fontId="187" fillId="59" borderId="35" applyNumberFormat="0" applyAlignment="0" applyProtection="0">
      <alignment vertical="center"/>
    </xf>
    <xf numFmtId="0" fontId="187" fillId="59" borderId="35" applyNumberFormat="0" applyAlignment="0" applyProtection="0">
      <alignment vertical="center"/>
    </xf>
    <xf numFmtId="0" fontId="187" fillId="59" borderId="35" applyNumberFormat="0" applyAlignment="0" applyProtection="0">
      <alignment vertical="center"/>
    </xf>
    <xf numFmtId="0" fontId="187" fillId="59" borderId="35" applyNumberFormat="0" applyAlignment="0" applyProtection="0">
      <alignment vertical="center"/>
    </xf>
    <xf numFmtId="0" fontId="187" fillId="59" borderId="35" applyNumberFormat="0" applyAlignment="0" applyProtection="0">
      <alignment vertical="center"/>
    </xf>
    <xf numFmtId="0" fontId="187" fillId="59" borderId="35" applyNumberFormat="0" applyAlignment="0" applyProtection="0">
      <alignment vertical="center"/>
    </xf>
    <xf numFmtId="0" fontId="187" fillId="59" borderId="35" applyNumberFormat="0" applyAlignment="0" applyProtection="0">
      <alignment vertical="center"/>
    </xf>
    <xf numFmtId="0" fontId="187" fillId="59" borderId="35" applyNumberFormat="0" applyAlignment="0" applyProtection="0">
      <alignment vertical="center"/>
    </xf>
    <xf numFmtId="0" fontId="187" fillId="59" borderId="35" applyNumberFormat="0" applyAlignment="0" applyProtection="0">
      <alignment vertical="center"/>
    </xf>
    <xf numFmtId="0" fontId="187" fillId="59" borderId="35" applyNumberFormat="0" applyAlignment="0" applyProtection="0">
      <alignment vertical="center"/>
    </xf>
    <xf numFmtId="0" fontId="187" fillId="59" borderId="35" applyNumberFormat="0" applyAlignment="0" applyProtection="0">
      <alignment vertical="center"/>
    </xf>
    <xf numFmtId="0" fontId="187" fillId="59" borderId="35" applyNumberFormat="0" applyAlignment="0" applyProtection="0">
      <alignment vertical="center"/>
    </xf>
    <xf numFmtId="0" fontId="187" fillId="59" borderId="35" applyNumberFormat="0" applyAlignment="0" applyProtection="0">
      <alignment vertical="center"/>
    </xf>
    <xf numFmtId="0" fontId="187" fillId="59" borderId="35" applyNumberFormat="0" applyAlignment="0" applyProtection="0">
      <alignment vertical="center"/>
    </xf>
    <xf numFmtId="0" fontId="187" fillId="59" borderId="35" applyNumberFormat="0" applyAlignment="0" applyProtection="0">
      <alignment vertical="center"/>
    </xf>
    <xf numFmtId="0" fontId="187" fillId="59" borderId="35" applyNumberFormat="0" applyAlignment="0" applyProtection="0">
      <alignment vertical="center"/>
    </xf>
    <xf numFmtId="0" fontId="187" fillId="59" borderId="35" applyNumberFormat="0" applyAlignment="0" applyProtection="0">
      <alignment vertical="center"/>
    </xf>
    <xf numFmtId="0" fontId="187" fillId="59" borderId="35" applyNumberFormat="0" applyAlignment="0" applyProtection="0">
      <alignment vertical="center"/>
    </xf>
    <xf numFmtId="0" fontId="187" fillId="59" borderId="35" applyNumberFormat="0" applyAlignment="0" applyProtection="0">
      <alignment vertical="center"/>
    </xf>
    <xf numFmtId="0" fontId="187" fillId="59" borderId="35" applyNumberFormat="0" applyAlignment="0" applyProtection="0">
      <alignment vertical="center"/>
    </xf>
    <xf numFmtId="0" fontId="187" fillId="59" borderId="35" applyNumberFormat="0" applyAlignment="0" applyProtection="0">
      <alignment vertical="center"/>
    </xf>
    <xf numFmtId="0" fontId="187" fillId="59" borderId="35" applyNumberFormat="0" applyAlignment="0" applyProtection="0">
      <alignment vertical="center"/>
    </xf>
    <xf numFmtId="0" fontId="187" fillId="59" borderId="35" applyNumberFormat="0" applyAlignment="0" applyProtection="0">
      <alignment vertical="center"/>
    </xf>
    <xf numFmtId="0" fontId="187" fillId="59" borderId="35" applyNumberFormat="0" applyAlignment="0" applyProtection="0">
      <alignment vertical="center"/>
    </xf>
    <xf numFmtId="0" fontId="187" fillId="59" borderId="35" applyNumberFormat="0" applyAlignment="0" applyProtection="0">
      <alignment vertical="center"/>
    </xf>
    <xf numFmtId="0" fontId="187" fillId="59" borderId="35" applyNumberFormat="0" applyAlignment="0" applyProtection="0">
      <alignment vertical="center"/>
    </xf>
    <xf numFmtId="0" fontId="187" fillId="59" borderId="35" applyNumberFormat="0" applyAlignment="0" applyProtection="0">
      <alignment vertical="center"/>
    </xf>
    <xf numFmtId="0" fontId="187" fillId="59" borderId="35" applyNumberFormat="0" applyAlignment="0" applyProtection="0">
      <alignment vertical="center"/>
    </xf>
    <xf numFmtId="0" fontId="187" fillId="59" borderId="35" applyNumberFormat="0" applyAlignment="0" applyProtection="0">
      <alignment vertical="center"/>
    </xf>
    <xf numFmtId="0" fontId="187" fillId="59" borderId="35" applyNumberFormat="0" applyAlignment="0" applyProtection="0">
      <alignment vertical="center"/>
    </xf>
    <xf numFmtId="0" fontId="186" fillId="59" borderId="35" applyNumberFormat="0" applyAlignment="0" applyProtection="0">
      <alignment vertical="center"/>
    </xf>
    <xf numFmtId="0" fontId="187" fillId="59" borderId="35" applyNumberFormat="0" applyAlignment="0" applyProtection="0">
      <alignment vertical="center"/>
    </xf>
    <xf numFmtId="0" fontId="187" fillId="59" borderId="35" applyNumberFormat="0" applyAlignment="0" applyProtection="0">
      <alignment vertical="center"/>
    </xf>
    <xf numFmtId="0" fontId="187" fillId="59" borderId="35" applyNumberFormat="0" applyAlignment="0" applyProtection="0">
      <alignment vertical="center"/>
    </xf>
    <xf numFmtId="0" fontId="187" fillId="59" borderId="35" applyNumberFormat="0" applyAlignment="0" applyProtection="0">
      <alignment vertical="center"/>
    </xf>
    <xf numFmtId="0" fontId="187" fillId="59" borderId="35" applyNumberFormat="0" applyAlignment="0" applyProtection="0">
      <alignment vertical="center"/>
    </xf>
    <xf numFmtId="0" fontId="187" fillId="59" borderId="35" applyNumberFormat="0" applyAlignment="0" applyProtection="0">
      <alignment vertical="center"/>
    </xf>
    <xf numFmtId="0" fontId="186" fillId="59" borderId="35" applyNumberFormat="0" applyAlignment="0" applyProtection="0">
      <alignment vertical="center"/>
    </xf>
    <xf numFmtId="0" fontId="187" fillId="59" borderId="35" applyNumberFormat="0" applyAlignment="0" applyProtection="0">
      <alignment vertical="center"/>
    </xf>
    <xf numFmtId="0" fontId="187" fillId="59" borderId="35" applyNumberFormat="0" applyAlignment="0" applyProtection="0">
      <alignment vertical="center"/>
    </xf>
    <xf numFmtId="0" fontId="187" fillId="59" borderId="35" applyNumberFormat="0" applyAlignment="0" applyProtection="0">
      <alignment vertical="center"/>
    </xf>
    <xf numFmtId="0" fontId="187" fillId="59" borderId="35" applyNumberFormat="0" applyAlignment="0" applyProtection="0">
      <alignment vertical="center"/>
    </xf>
    <xf numFmtId="0" fontId="187" fillId="59" borderId="35" applyNumberFormat="0" applyAlignment="0" applyProtection="0">
      <alignment vertical="center"/>
    </xf>
    <xf numFmtId="0" fontId="186" fillId="59" borderId="35" applyNumberFormat="0" applyAlignment="0" applyProtection="0">
      <alignment vertical="center"/>
    </xf>
    <xf numFmtId="0" fontId="187" fillId="59" borderId="35" applyNumberFormat="0" applyAlignment="0" applyProtection="0">
      <alignment vertical="center"/>
    </xf>
    <xf numFmtId="0" fontId="187" fillId="59" borderId="35" applyNumberFormat="0" applyAlignment="0" applyProtection="0">
      <alignment vertical="center"/>
    </xf>
    <xf numFmtId="0" fontId="187" fillId="59" borderId="35" applyNumberFormat="0" applyAlignment="0" applyProtection="0">
      <alignment vertical="center"/>
    </xf>
    <xf numFmtId="0" fontId="187" fillId="59" borderId="35" applyNumberFormat="0" applyAlignment="0" applyProtection="0">
      <alignment vertical="center"/>
    </xf>
    <xf numFmtId="0" fontId="187" fillId="59" borderId="35" applyNumberFormat="0" applyAlignment="0" applyProtection="0">
      <alignment vertical="center"/>
    </xf>
    <xf numFmtId="0" fontId="186" fillId="59" borderId="35" applyNumberFormat="0" applyAlignment="0" applyProtection="0">
      <alignment vertical="center"/>
    </xf>
    <xf numFmtId="0" fontId="187" fillId="59" borderId="35" applyNumberFormat="0" applyAlignment="0" applyProtection="0">
      <alignment vertical="center"/>
    </xf>
    <xf numFmtId="0" fontId="187" fillId="59" borderId="35" applyNumberFormat="0" applyAlignment="0" applyProtection="0">
      <alignment vertical="center"/>
    </xf>
    <xf numFmtId="0" fontId="187" fillId="59" borderId="35" applyNumberFormat="0" applyAlignment="0" applyProtection="0">
      <alignment vertical="center"/>
    </xf>
    <xf numFmtId="0" fontId="187" fillId="59" borderId="35" applyNumberFormat="0" applyAlignment="0" applyProtection="0">
      <alignment vertical="center"/>
    </xf>
    <xf numFmtId="0" fontId="187" fillId="59" borderId="35" applyNumberFormat="0" applyAlignment="0" applyProtection="0">
      <alignment vertical="center"/>
    </xf>
    <xf numFmtId="0" fontId="187" fillId="59" borderId="35" applyNumberFormat="0" applyAlignment="0" applyProtection="0">
      <alignment vertical="center"/>
    </xf>
    <xf numFmtId="0" fontId="187" fillId="59" borderId="35" applyNumberFormat="0" applyAlignment="0" applyProtection="0">
      <alignment vertical="center"/>
    </xf>
    <xf numFmtId="0" fontId="187" fillId="59" borderId="35" applyNumberFormat="0" applyAlignment="0" applyProtection="0">
      <alignment vertical="center"/>
    </xf>
    <xf numFmtId="0" fontId="187" fillId="59" borderId="35" applyNumberFormat="0" applyAlignment="0" applyProtection="0">
      <alignment vertical="center"/>
    </xf>
    <xf numFmtId="0" fontId="187" fillId="59" borderId="35" applyNumberFormat="0" applyAlignment="0" applyProtection="0">
      <alignment vertical="center"/>
    </xf>
    <xf numFmtId="0" fontId="187" fillId="59" borderId="35" applyNumberFormat="0" applyAlignment="0" applyProtection="0">
      <alignment vertical="center"/>
    </xf>
    <xf numFmtId="0" fontId="187" fillId="59" borderId="35" applyNumberFormat="0" applyAlignment="0" applyProtection="0">
      <alignment vertical="center"/>
    </xf>
    <xf numFmtId="0" fontId="187" fillId="59" borderId="35" applyNumberFormat="0" applyAlignment="0" applyProtection="0">
      <alignment vertical="center"/>
    </xf>
    <xf numFmtId="0" fontId="187" fillId="59" borderId="35" applyNumberFormat="0" applyAlignment="0" applyProtection="0">
      <alignment vertical="center"/>
    </xf>
    <xf numFmtId="0" fontId="187" fillId="59" borderId="35" applyNumberFormat="0" applyAlignment="0" applyProtection="0">
      <alignment vertical="center"/>
    </xf>
    <xf numFmtId="0" fontId="187" fillId="59" borderId="35" applyNumberFormat="0" applyAlignment="0" applyProtection="0">
      <alignment vertical="center"/>
    </xf>
    <xf numFmtId="0" fontId="187" fillId="59" borderId="35" applyNumberFormat="0" applyAlignment="0" applyProtection="0">
      <alignment vertical="center"/>
    </xf>
    <xf numFmtId="0" fontId="187" fillId="59" borderId="35" applyNumberFormat="0" applyAlignment="0" applyProtection="0">
      <alignment vertical="center"/>
    </xf>
    <xf numFmtId="0" fontId="187" fillId="59" borderId="35" applyNumberFormat="0" applyAlignment="0" applyProtection="0">
      <alignment vertical="center"/>
    </xf>
    <xf numFmtId="0" fontId="187" fillId="59" borderId="35" applyNumberFormat="0" applyAlignment="0" applyProtection="0">
      <alignment vertical="center"/>
    </xf>
    <xf numFmtId="0" fontId="187" fillId="59" borderId="35" applyNumberFormat="0" applyAlignment="0" applyProtection="0">
      <alignment vertical="center"/>
    </xf>
    <xf numFmtId="0" fontId="187" fillId="59" borderId="35" applyNumberFormat="0" applyAlignment="0" applyProtection="0">
      <alignment vertical="center"/>
    </xf>
    <xf numFmtId="0" fontId="187" fillId="59" borderId="35" applyNumberFormat="0" applyAlignment="0" applyProtection="0">
      <alignment vertical="center"/>
    </xf>
    <xf numFmtId="0" fontId="187" fillId="59" borderId="35" applyNumberFormat="0" applyAlignment="0" applyProtection="0">
      <alignment vertical="center"/>
    </xf>
    <xf numFmtId="0" fontId="186" fillId="59" borderId="35" applyNumberFormat="0" applyAlignment="0" applyProtection="0">
      <alignment vertical="center"/>
    </xf>
    <xf numFmtId="0" fontId="186" fillId="59" borderId="35" applyNumberFormat="0" applyAlignment="0" applyProtection="0">
      <alignment vertical="center"/>
    </xf>
    <xf numFmtId="0" fontId="186" fillId="59" borderId="35" applyNumberFormat="0" applyAlignment="0" applyProtection="0">
      <alignment vertical="center"/>
    </xf>
    <xf numFmtId="0" fontId="186" fillId="59" borderId="35" applyNumberFormat="0" applyAlignment="0" applyProtection="0">
      <alignment vertical="center"/>
    </xf>
    <xf numFmtId="0" fontId="186" fillId="59" borderId="35" applyNumberFormat="0" applyAlignment="0" applyProtection="0">
      <alignment vertical="center"/>
    </xf>
    <xf numFmtId="0" fontId="186" fillId="59" borderId="35" applyNumberFormat="0" applyAlignment="0" applyProtection="0">
      <alignment vertical="center"/>
    </xf>
    <xf numFmtId="0" fontId="186" fillId="59" borderId="35" applyNumberFormat="0" applyAlignment="0" applyProtection="0">
      <alignment vertical="center"/>
    </xf>
    <xf numFmtId="0" fontId="186" fillId="59" borderId="35" applyNumberFormat="0" applyAlignment="0" applyProtection="0">
      <alignment vertical="center"/>
    </xf>
    <xf numFmtId="0" fontId="186" fillId="59" borderId="35" applyNumberFormat="0" applyAlignment="0" applyProtection="0">
      <alignment vertical="center"/>
    </xf>
    <xf numFmtId="0" fontId="186" fillId="59" borderId="35" applyNumberFormat="0" applyAlignment="0" applyProtection="0">
      <alignment vertical="center"/>
    </xf>
    <xf numFmtId="0" fontId="186" fillId="59" borderId="35" applyNumberFormat="0" applyAlignment="0" applyProtection="0">
      <alignment vertical="center"/>
    </xf>
    <xf numFmtId="0" fontId="186" fillId="59" borderId="35" applyNumberFormat="0" applyAlignment="0" applyProtection="0">
      <alignment vertical="center"/>
    </xf>
    <xf numFmtId="0" fontId="186" fillId="59" borderId="35" applyNumberFormat="0" applyAlignment="0" applyProtection="0">
      <alignment vertical="center"/>
    </xf>
    <xf numFmtId="0" fontId="186" fillId="59" borderId="35" applyNumberFormat="0" applyAlignment="0" applyProtection="0">
      <alignment vertical="center"/>
    </xf>
    <xf numFmtId="0" fontId="186" fillId="59" borderId="35" applyNumberFormat="0" applyAlignment="0" applyProtection="0">
      <alignment vertical="center"/>
    </xf>
    <xf numFmtId="0" fontId="186" fillId="59" borderId="35" applyNumberFormat="0" applyAlignment="0" applyProtection="0">
      <alignment vertical="center"/>
    </xf>
    <xf numFmtId="0" fontId="186" fillId="59" borderId="35" applyNumberFormat="0" applyAlignment="0" applyProtection="0">
      <alignment vertical="center"/>
    </xf>
    <xf numFmtId="0" fontId="186" fillId="59" borderId="35" applyNumberFormat="0" applyAlignment="0" applyProtection="0">
      <alignment vertical="center"/>
    </xf>
    <xf numFmtId="0" fontId="186" fillId="59" borderId="35" applyNumberFormat="0" applyAlignment="0" applyProtection="0">
      <alignment vertical="center"/>
    </xf>
    <xf numFmtId="0" fontId="186" fillId="59" borderId="35" applyNumberFormat="0" applyAlignment="0" applyProtection="0">
      <alignment vertical="center"/>
    </xf>
    <xf numFmtId="0" fontId="186" fillId="59" borderId="35" applyNumberFormat="0" applyAlignment="0" applyProtection="0">
      <alignment vertical="center"/>
    </xf>
    <xf numFmtId="0" fontId="186" fillId="59" borderId="35" applyNumberFormat="0" applyAlignment="0" applyProtection="0">
      <alignment vertical="center"/>
    </xf>
    <xf numFmtId="0" fontId="186" fillId="59" borderId="35" applyNumberFormat="0" applyAlignment="0" applyProtection="0">
      <alignment vertical="center"/>
    </xf>
    <xf numFmtId="0" fontId="186" fillId="59" borderId="35" applyNumberFormat="0" applyAlignment="0" applyProtection="0">
      <alignment vertical="center"/>
    </xf>
    <xf numFmtId="0" fontId="186" fillId="59" borderId="35" applyNumberFormat="0" applyAlignment="0" applyProtection="0">
      <alignment vertical="center"/>
    </xf>
    <xf numFmtId="0" fontId="186" fillId="59" borderId="35" applyNumberFormat="0" applyAlignment="0" applyProtection="0">
      <alignment vertical="center"/>
    </xf>
    <xf numFmtId="0" fontId="186" fillId="59" borderId="35" applyNumberFormat="0" applyAlignment="0" applyProtection="0">
      <alignment vertical="center"/>
    </xf>
    <xf numFmtId="0" fontId="186" fillId="59" borderId="35" applyNumberFormat="0" applyAlignment="0" applyProtection="0">
      <alignment vertical="center"/>
    </xf>
    <xf numFmtId="0" fontId="186" fillId="59" borderId="35" applyNumberFormat="0" applyAlignment="0" applyProtection="0">
      <alignment vertical="center"/>
    </xf>
    <xf numFmtId="0" fontId="186" fillId="59" borderId="35" applyNumberFormat="0" applyAlignment="0" applyProtection="0">
      <alignment vertical="center"/>
    </xf>
    <xf numFmtId="0" fontId="186" fillId="59" borderId="35" applyNumberFormat="0" applyAlignment="0" applyProtection="0">
      <alignment vertical="center"/>
    </xf>
    <xf numFmtId="0" fontId="186" fillId="59" borderId="35" applyNumberFormat="0" applyAlignment="0" applyProtection="0">
      <alignment vertical="center"/>
    </xf>
    <xf numFmtId="0" fontId="186" fillId="59" borderId="35" applyNumberFormat="0" applyAlignment="0" applyProtection="0">
      <alignment vertical="center"/>
    </xf>
    <xf numFmtId="0" fontId="186" fillId="59" borderId="35" applyNumberFormat="0" applyAlignment="0" applyProtection="0">
      <alignment vertical="center"/>
    </xf>
    <xf numFmtId="0" fontId="186" fillId="59" borderId="35" applyNumberFormat="0" applyAlignment="0" applyProtection="0">
      <alignment vertical="center"/>
    </xf>
    <xf numFmtId="0" fontId="25" fillId="0" borderId="0">
      <protection locked="0"/>
    </xf>
    <xf numFmtId="287" fontId="25" fillId="0" borderId="0"/>
    <xf numFmtId="0" fontId="188" fillId="65" borderId="0" applyNumberFormat="0" applyBorder="0" applyAlignment="0" applyProtection="0">
      <alignment vertical="center"/>
    </xf>
    <xf numFmtId="225" fontId="8" fillId="0" borderId="3">
      <alignment horizontal="right" vertical="center" shrinkToFit="1"/>
    </xf>
    <xf numFmtId="225" fontId="8" fillId="0" borderId="3">
      <alignment horizontal="right" vertical="center" shrinkToFit="1"/>
    </xf>
    <xf numFmtId="225" fontId="8" fillId="0" borderId="3">
      <alignment horizontal="right" vertical="center" shrinkToFit="1"/>
    </xf>
    <xf numFmtId="225" fontId="8" fillId="0" borderId="3">
      <alignment horizontal="right" vertical="center" shrinkToFit="1"/>
    </xf>
    <xf numFmtId="225" fontId="8" fillId="0" borderId="3">
      <alignment horizontal="right" vertical="center" shrinkToFit="1"/>
    </xf>
    <xf numFmtId="225" fontId="8" fillId="0" borderId="3">
      <alignment horizontal="right" vertical="center" shrinkToFit="1"/>
    </xf>
    <xf numFmtId="225" fontId="8" fillId="0" borderId="3">
      <alignment horizontal="right" vertical="center" shrinkToFit="1"/>
    </xf>
    <xf numFmtId="225" fontId="8" fillId="0" borderId="3">
      <alignment horizontal="right" vertical="center" shrinkToFit="1"/>
    </xf>
    <xf numFmtId="225" fontId="8" fillId="0" borderId="3">
      <alignment horizontal="right" vertical="center" shrinkToFit="1"/>
    </xf>
    <xf numFmtId="225" fontId="8" fillId="0" borderId="3">
      <alignment horizontal="right" vertical="center" shrinkToFit="1"/>
    </xf>
    <xf numFmtId="225" fontId="8" fillId="0" borderId="3">
      <alignment horizontal="right" vertical="center" shrinkToFit="1"/>
    </xf>
    <xf numFmtId="225" fontId="8" fillId="0" borderId="3">
      <alignment horizontal="right" vertical="center" shrinkToFit="1"/>
    </xf>
    <xf numFmtId="225" fontId="8" fillId="0" borderId="3">
      <alignment horizontal="right" vertical="center" shrinkToFit="1"/>
    </xf>
    <xf numFmtId="225" fontId="8" fillId="0" borderId="3">
      <alignment horizontal="right" vertical="center" shrinkToFit="1"/>
    </xf>
    <xf numFmtId="225" fontId="8" fillId="0" borderId="3">
      <alignment horizontal="right" vertical="center" shrinkToFit="1"/>
    </xf>
    <xf numFmtId="225" fontId="8" fillId="0" borderId="3">
      <alignment horizontal="right" vertical="center" shrinkToFit="1"/>
    </xf>
    <xf numFmtId="225" fontId="8" fillId="0" borderId="3">
      <alignment horizontal="right" vertical="center" shrinkToFit="1"/>
    </xf>
    <xf numFmtId="225" fontId="8" fillId="0" borderId="3">
      <alignment horizontal="right" vertical="center" shrinkToFit="1"/>
    </xf>
    <xf numFmtId="225" fontId="8" fillId="0" borderId="3">
      <alignment horizontal="right" vertical="center" shrinkToFit="1"/>
    </xf>
    <xf numFmtId="225" fontId="8" fillId="0" borderId="3">
      <alignment horizontal="right" vertical="center" shrinkToFit="1"/>
    </xf>
    <xf numFmtId="225" fontId="8" fillId="0" borderId="3">
      <alignment horizontal="right" vertical="center" shrinkToFit="1"/>
    </xf>
    <xf numFmtId="225" fontId="8" fillId="0" borderId="3">
      <alignment horizontal="right" vertical="center" shrinkToFit="1"/>
    </xf>
    <xf numFmtId="225" fontId="8" fillId="0" borderId="3">
      <alignment horizontal="right" vertical="center" shrinkToFit="1"/>
    </xf>
    <xf numFmtId="225" fontId="8" fillId="0" borderId="3">
      <alignment horizontal="right" vertical="center" shrinkToFit="1"/>
    </xf>
    <xf numFmtId="225" fontId="8" fillId="0" borderId="3">
      <alignment horizontal="right" vertical="center" shrinkToFit="1"/>
    </xf>
    <xf numFmtId="225" fontId="8" fillId="0" borderId="3">
      <alignment horizontal="right" vertical="center" shrinkToFit="1"/>
    </xf>
    <xf numFmtId="225" fontId="8" fillId="0" borderId="3">
      <alignment horizontal="right" vertical="center" shrinkToFit="1"/>
    </xf>
    <xf numFmtId="225" fontId="8" fillId="0" borderId="3">
      <alignment horizontal="right" vertical="center" shrinkToFit="1"/>
    </xf>
    <xf numFmtId="225" fontId="8" fillId="0" borderId="3">
      <alignment horizontal="right" vertical="center" shrinkToFit="1"/>
    </xf>
    <xf numFmtId="225" fontId="8" fillId="0" borderId="3">
      <alignment horizontal="right" vertical="center" shrinkToFit="1"/>
    </xf>
    <xf numFmtId="225" fontId="8" fillId="0" borderId="3">
      <alignment horizontal="right" vertical="center" shrinkToFit="1"/>
    </xf>
    <xf numFmtId="225" fontId="8" fillId="0" borderId="3">
      <alignment horizontal="right" vertical="center" shrinkToFit="1"/>
    </xf>
    <xf numFmtId="225" fontId="8" fillId="0" borderId="3">
      <alignment horizontal="right" vertical="center" shrinkToFit="1"/>
    </xf>
    <xf numFmtId="225" fontId="8" fillId="0" borderId="3">
      <alignment horizontal="right" vertical="center" shrinkToFit="1"/>
    </xf>
    <xf numFmtId="225" fontId="8" fillId="0" borderId="3">
      <alignment horizontal="right" vertical="center" shrinkToFit="1"/>
    </xf>
    <xf numFmtId="225" fontId="8" fillId="0" borderId="3">
      <alignment horizontal="right" vertical="center" shrinkToFit="1"/>
    </xf>
    <xf numFmtId="225" fontId="8" fillId="0" borderId="3">
      <alignment horizontal="right" vertical="center" shrinkToFit="1"/>
    </xf>
    <xf numFmtId="225" fontId="8" fillId="0" borderId="3">
      <alignment horizontal="right" vertical="center" shrinkToFit="1"/>
    </xf>
    <xf numFmtId="225" fontId="8" fillId="0" borderId="3">
      <alignment horizontal="right" vertical="center" shrinkToFit="1"/>
    </xf>
    <xf numFmtId="225" fontId="8" fillId="0" borderId="3">
      <alignment horizontal="right" vertical="center" shrinkToFit="1"/>
    </xf>
    <xf numFmtId="225" fontId="8" fillId="0" borderId="3">
      <alignment horizontal="right" vertical="center" shrinkToFit="1"/>
    </xf>
    <xf numFmtId="225" fontId="8" fillId="0" borderId="3">
      <alignment horizontal="right" vertical="center" shrinkToFit="1"/>
    </xf>
    <xf numFmtId="225" fontId="8" fillId="0" borderId="3">
      <alignment horizontal="right" vertical="center" shrinkToFit="1"/>
    </xf>
    <xf numFmtId="225" fontId="8" fillId="0" borderId="3">
      <alignment horizontal="right" vertical="center" shrinkToFit="1"/>
    </xf>
    <xf numFmtId="288" fontId="27" fillId="0" borderId="20"/>
    <xf numFmtId="0" fontId="189" fillId="29" borderId="0" applyNumberFormat="0" applyBorder="0" applyAlignment="0" applyProtection="0">
      <alignment vertical="center"/>
    </xf>
    <xf numFmtId="289" fontId="190" fillId="0" borderId="0" applyFill="0" applyBorder="0" applyProtection="0">
      <alignment vertical="center"/>
    </xf>
    <xf numFmtId="0" fontId="191" fillId="0" borderId="0">
      <alignment horizontal="centerContinuous" vertical="center"/>
    </xf>
    <xf numFmtId="1" fontId="17" fillId="0" borderId="3" applyFill="0" applyBorder="0">
      <alignment horizontal="center"/>
    </xf>
    <xf numFmtId="1" fontId="17" fillId="0" borderId="3" applyFill="0" applyBorder="0">
      <alignment horizontal="center"/>
    </xf>
    <xf numFmtId="1" fontId="17" fillId="0" borderId="3" applyFill="0" applyBorder="0">
      <alignment horizontal="center"/>
    </xf>
    <xf numFmtId="1" fontId="17" fillId="0" borderId="3" applyFill="0" applyBorder="0">
      <alignment horizontal="center"/>
    </xf>
    <xf numFmtId="1" fontId="17" fillId="0" borderId="3" applyFill="0" applyBorder="0">
      <alignment horizontal="center"/>
    </xf>
    <xf numFmtId="1" fontId="17" fillId="0" borderId="3" applyFill="0" applyBorder="0">
      <alignment horizontal="center"/>
    </xf>
    <xf numFmtId="1" fontId="17" fillId="0" borderId="3" applyFill="0" applyBorder="0">
      <alignment horizontal="center"/>
    </xf>
    <xf numFmtId="1" fontId="17" fillId="0" borderId="3" applyFill="0" applyBorder="0">
      <alignment horizontal="center"/>
    </xf>
    <xf numFmtId="1" fontId="17" fillId="0" borderId="3" applyFill="0" applyBorder="0">
      <alignment horizontal="center"/>
    </xf>
    <xf numFmtId="1" fontId="17" fillId="0" borderId="3" applyFill="0" applyBorder="0">
      <alignment horizontal="center"/>
    </xf>
    <xf numFmtId="1" fontId="17" fillId="0" borderId="3" applyFill="0" applyBorder="0">
      <alignment horizontal="center"/>
    </xf>
    <xf numFmtId="1" fontId="17" fillId="0" borderId="3" applyFill="0" applyBorder="0">
      <alignment horizontal="center"/>
    </xf>
    <xf numFmtId="1" fontId="17" fillId="0" borderId="3" applyFill="0" applyBorder="0">
      <alignment horizontal="center"/>
    </xf>
    <xf numFmtId="1" fontId="17" fillId="0" borderId="3" applyFill="0" applyBorder="0">
      <alignment horizontal="center"/>
    </xf>
    <xf numFmtId="1" fontId="17" fillId="0" borderId="3" applyFill="0" applyBorder="0">
      <alignment horizontal="center"/>
    </xf>
    <xf numFmtId="1" fontId="17" fillId="0" borderId="3" applyFill="0" applyBorder="0">
      <alignment horizontal="center"/>
    </xf>
    <xf numFmtId="1" fontId="17" fillId="0" borderId="3" applyFill="0" applyBorder="0">
      <alignment horizontal="center"/>
    </xf>
    <xf numFmtId="1" fontId="17" fillId="0" borderId="3" applyFill="0" applyBorder="0">
      <alignment horizontal="center"/>
    </xf>
    <xf numFmtId="1" fontId="17" fillId="0" borderId="3" applyFill="0" applyBorder="0">
      <alignment horizontal="center"/>
    </xf>
    <xf numFmtId="1" fontId="17" fillId="0" borderId="3" applyFill="0" applyBorder="0">
      <alignment horizontal="center"/>
    </xf>
    <xf numFmtId="1" fontId="17" fillId="0" borderId="3" applyFill="0" applyBorder="0">
      <alignment horizontal="center"/>
    </xf>
    <xf numFmtId="1" fontId="17" fillId="0" borderId="3" applyFill="0" applyBorder="0">
      <alignment horizontal="center"/>
    </xf>
    <xf numFmtId="1" fontId="17" fillId="0" borderId="3" applyFill="0" applyBorder="0">
      <alignment horizontal="center"/>
    </xf>
    <xf numFmtId="1" fontId="17" fillId="0" borderId="3" applyFill="0" applyBorder="0">
      <alignment horizontal="center"/>
    </xf>
    <xf numFmtId="1" fontId="17" fillId="0" borderId="3" applyFill="0" applyBorder="0">
      <alignment horizontal="center"/>
    </xf>
    <xf numFmtId="1" fontId="17" fillId="0" borderId="3" applyFill="0" applyBorder="0">
      <alignment horizontal="center"/>
    </xf>
    <xf numFmtId="1" fontId="17" fillId="0" borderId="3" applyFill="0" applyBorder="0">
      <alignment horizontal="center"/>
    </xf>
    <xf numFmtId="1" fontId="17" fillId="0" borderId="3" applyFill="0" applyBorder="0">
      <alignment horizontal="center"/>
    </xf>
    <xf numFmtId="1" fontId="17" fillId="0" borderId="3" applyFill="0" applyBorder="0">
      <alignment horizontal="center"/>
    </xf>
    <xf numFmtId="1" fontId="17" fillId="0" borderId="3" applyFill="0" applyBorder="0">
      <alignment horizontal="center"/>
    </xf>
    <xf numFmtId="1" fontId="17" fillId="0" borderId="3" applyFill="0" applyBorder="0">
      <alignment horizontal="center"/>
    </xf>
    <xf numFmtId="1" fontId="17" fillId="0" borderId="3" applyFill="0" applyBorder="0">
      <alignment horizontal="center"/>
    </xf>
    <xf numFmtId="1" fontId="17" fillId="0" borderId="3" applyFill="0" applyBorder="0">
      <alignment horizontal="center"/>
    </xf>
    <xf numFmtId="1" fontId="17" fillId="0" borderId="3" applyFill="0" applyBorder="0">
      <alignment horizontal="center"/>
    </xf>
    <xf numFmtId="1" fontId="17" fillId="0" borderId="3" applyFill="0" applyBorder="0">
      <alignment horizontal="center"/>
    </xf>
    <xf numFmtId="1" fontId="17" fillId="0" borderId="3" applyFill="0" applyBorder="0">
      <alignment horizontal="center"/>
    </xf>
    <xf numFmtId="1" fontId="17" fillId="0" borderId="3" applyFill="0" applyBorder="0">
      <alignment horizontal="center"/>
    </xf>
    <xf numFmtId="1" fontId="17" fillId="0" borderId="3" applyFill="0" applyBorder="0">
      <alignment horizontal="center"/>
    </xf>
    <xf numFmtId="1" fontId="17" fillId="0" borderId="3" applyFill="0" applyBorder="0">
      <alignment horizontal="center"/>
    </xf>
    <xf numFmtId="1" fontId="17" fillId="0" borderId="3" applyFill="0" applyBorder="0">
      <alignment horizontal="center"/>
    </xf>
    <xf numFmtId="1" fontId="17" fillId="0" borderId="3" applyFill="0" applyBorder="0">
      <alignment horizontal="center"/>
    </xf>
    <xf numFmtId="1" fontId="17" fillId="0" borderId="3" applyFill="0" applyBorder="0">
      <alignment horizontal="center"/>
    </xf>
    <xf numFmtId="1" fontId="17" fillId="0" borderId="3" applyFill="0" applyBorder="0">
      <alignment horizontal="center"/>
    </xf>
    <xf numFmtId="1" fontId="17" fillId="0" borderId="3" applyFill="0" applyBorder="0">
      <alignment horizontal="center"/>
    </xf>
    <xf numFmtId="1" fontId="17" fillId="0" borderId="3" applyFill="0" applyBorder="0">
      <alignment horizontal="center"/>
    </xf>
    <xf numFmtId="0" fontId="66" fillId="0" borderId="0" applyNumberFormat="0" applyFill="0" applyBorder="0" applyAlignment="0" applyProtection="0">
      <alignment vertical="top"/>
      <protection locked="0"/>
    </xf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192" fillId="0" borderId="40" applyNumberFormat="0" applyFill="0" applyAlignment="0" applyProtection="0">
      <alignment vertical="center"/>
    </xf>
    <xf numFmtId="0" fontId="4" fillId="10" borderId="32" applyNumberFormat="0" applyFont="0" applyAlignment="0" applyProtection="0">
      <alignment vertical="center"/>
    </xf>
    <xf numFmtId="0" fontId="193" fillId="70" borderId="48" applyNumberFormat="0" applyFont="0" applyAlignment="0" applyProtection="0">
      <alignment vertical="center"/>
    </xf>
    <xf numFmtId="0" fontId="193" fillId="70" borderId="48" applyNumberFormat="0" applyFont="0" applyAlignment="0" applyProtection="0">
      <alignment vertical="center"/>
    </xf>
    <xf numFmtId="0" fontId="193" fillId="70" borderId="48" applyNumberFormat="0" applyFont="0" applyAlignment="0" applyProtection="0">
      <alignment vertical="center"/>
    </xf>
    <xf numFmtId="0" fontId="193" fillId="70" borderId="48" applyNumberFormat="0" applyFont="0" applyAlignment="0" applyProtection="0">
      <alignment vertical="center"/>
    </xf>
    <xf numFmtId="0" fontId="193" fillId="70" borderId="48" applyNumberFormat="0" applyFont="0" applyAlignment="0" applyProtection="0">
      <alignment vertical="center"/>
    </xf>
    <xf numFmtId="0" fontId="193" fillId="70" borderId="48" applyNumberFormat="0" applyFont="0" applyAlignment="0" applyProtection="0">
      <alignment vertical="center"/>
    </xf>
    <xf numFmtId="0" fontId="193" fillId="70" borderId="48" applyNumberFormat="0" applyFont="0" applyAlignment="0" applyProtection="0">
      <alignment vertical="center"/>
    </xf>
    <xf numFmtId="0" fontId="193" fillId="70" borderId="48" applyNumberFormat="0" applyFont="0" applyAlignment="0" applyProtection="0">
      <alignment vertical="center"/>
    </xf>
    <xf numFmtId="0" fontId="193" fillId="70" borderId="48" applyNumberFormat="0" applyFont="0" applyAlignment="0" applyProtection="0">
      <alignment vertical="center"/>
    </xf>
    <xf numFmtId="0" fontId="193" fillId="70" borderId="48" applyNumberFormat="0" applyFont="0" applyAlignment="0" applyProtection="0">
      <alignment vertical="center"/>
    </xf>
    <xf numFmtId="0" fontId="193" fillId="70" borderId="48" applyNumberFormat="0" applyFont="0" applyAlignment="0" applyProtection="0">
      <alignment vertical="center"/>
    </xf>
    <xf numFmtId="0" fontId="193" fillId="70" borderId="48" applyNumberFormat="0" applyFont="0" applyAlignment="0" applyProtection="0">
      <alignment vertical="center"/>
    </xf>
    <xf numFmtId="0" fontId="193" fillId="70" borderId="48" applyNumberFormat="0" applyFont="0" applyAlignment="0" applyProtection="0">
      <alignment vertical="center"/>
    </xf>
    <xf numFmtId="0" fontId="193" fillId="70" borderId="48" applyNumberFormat="0" applyFont="0" applyAlignment="0" applyProtection="0">
      <alignment vertical="center"/>
    </xf>
    <xf numFmtId="0" fontId="193" fillId="70" borderId="48" applyNumberFormat="0" applyFont="0" applyAlignment="0" applyProtection="0">
      <alignment vertical="center"/>
    </xf>
    <xf numFmtId="0" fontId="193" fillId="70" borderId="48" applyNumberFormat="0" applyFont="0" applyAlignment="0" applyProtection="0">
      <alignment vertical="center"/>
    </xf>
    <xf numFmtId="0" fontId="193" fillId="70" borderId="48" applyNumberFormat="0" applyFont="0" applyAlignment="0" applyProtection="0">
      <alignment vertical="center"/>
    </xf>
    <xf numFmtId="0" fontId="193" fillId="70" borderId="48" applyNumberFormat="0" applyFont="0" applyAlignment="0" applyProtection="0">
      <alignment vertical="center"/>
    </xf>
    <xf numFmtId="0" fontId="193" fillId="70" borderId="48" applyNumberFormat="0" applyFont="0" applyAlignment="0" applyProtection="0">
      <alignment vertical="center"/>
    </xf>
    <xf numFmtId="0" fontId="4" fillId="10" borderId="32" applyNumberFormat="0" applyFont="0" applyAlignment="0" applyProtection="0">
      <alignment vertical="center"/>
    </xf>
    <xf numFmtId="0" fontId="4" fillId="10" borderId="32" applyNumberFormat="0" applyFont="0" applyAlignment="0" applyProtection="0">
      <alignment vertical="center"/>
    </xf>
    <xf numFmtId="0" fontId="4" fillId="10" borderId="32" applyNumberFormat="0" applyFont="0" applyAlignment="0" applyProtection="0">
      <alignment vertical="center"/>
    </xf>
    <xf numFmtId="0" fontId="4" fillId="10" borderId="32" applyNumberFormat="0" applyFont="0" applyAlignment="0" applyProtection="0">
      <alignment vertical="center"/>
    </xf>
    <xf numFmtId="0" fontId="16" fillId="71" borderId="49" applyNumberFormat="0" applyAlignment="0" applyProtection="0"/>
    <xf numFmtId="0" fontId="4" fillId="10" borderId="32" applyNumberFormat="0" applyFont="0" applyAlignment="0" applyProtection="0">
      <alignment vertical="center"/>
    </xf>
    <xf numFmtId="0" fontId="4" fillId="10" borderId="32" applyNumberFormat="0" applyFont="0" applyAlignment="0" applyProtection="0">
      <alignment vertical="center"/>
    </xf>
    <xf numFmtId="0" fontId="4" fillId="10" borderId="32" applyNumberFormat="0" applyFont="0" applyAlignment="0" applyProtection="0">
      <alignment vertical="center"/>
    </xf>
    <xf numFmtId="0" fontId="16" fillId="71" borderId="49" applyNumberFormat="0" applyAlignment="0" applyProtection="0"/>
    <xf numFmtId="0" fontId="4" fillId="10" borderId="32" applyNumberFormat="0" applyFont="0" applyAlignment="0" applyProtection="0">
      <alignment vertical="center"/>
    </xf>
    <xf numFmtId="0" fontId="4" fillId="10" borderId="32" applyNumberFormat="0" applyFont="0" applyAlignment="0" applyProtection="0">
      <alignment vertical="center"/>
    </xf>
    <xf numFmtId="0" fontId="4" fillId="10" borderId="32" applyNumberFormat="0" applyFont="0" applyAlignment="0" applyProtection="0">
      <alignment vertical="center"/>
    </xf>
    <xf numFmtId="0" fontId="4" fillId="10" borderId="32" applyNumberFormat="0" applyFont="0" applyAlignment="0" applyProtection="0">
      <alignment vertical="center"/>
    </xf>
    <xf numFmtId="0" fontId="16" fillId="71" borderId="49" applyNumberFormat="0" applyAlignment="0" applyProtection="0"/>
    <xf numFmtId="0" fontId="4" fillId="10" borderId="32" applyNumberFormat="0" applyFont="0" applyAlignment="0" applyProtection="0">
      <alignment vertical="center"/>
    </xf>
    <xf numFmtId="0" fontId="193" fillId="70" borderId="48" applyNumberFormat="0" applyFont="0" applyAlignment="0" applyProtection="0">
      <alignment vertical="center"/>
    </xf>
    <xf numFmtId="0" fontId="4" fillId="10" borderId="32" applyNumberFormat="0" applyFont="0" applyAlignment="0" applyProtection="0">
      <alignment vertical="center"/>
    </xf>
    <xf numFmtId="0" fontId="4" fillId="10" borderId="32" applyNumberFormat="0" applyFont="0" applyAlignment="0" applyProtection="0">
      <alignment vertical="center"/>
    </xf>
    <xf numFmtId="0" fontId="193" fillId="70" borderId="48" applyNumberFormat="0" applyFont="0" applyAlignment="0" applyProtection="0">
      <alignment vertical="center"/>
    </xf>
    <xf numFmtId="0" fontId="193" fillId="70" borderId="48" applyNumberFormat="0" applyFont="0" applyAlignment="0" applyProtection="0">
      <alignment vertical="center"/>
    </xf>
    <xf numFmtId="0" fontId="193" fillId="70" borderId="48" applyNumberFormat="0" applyFont="0" applyAlignment="0" applyProtection="0">
      <alignment vertical="center"/>
    </xf>
    <xf numFmtId="0" fontId="16" fillId="71" borderId="49" applyNumberFormat="0" applyAlignment="0" applyProtection="0"/>
    <xf numFmtId="0" fontId="193" fillId="70" borderId="48" applyNumberFormat="0" applyFont="0" applyAlignment="0" applyProtection="0">
      <alignment vertical="center"/>
    </xf>
    <xf numFmtId="0" fontId="193" fillId="70" borderId="48" applyNumberFormat="0" applyFont="0" applyAlignment="0" applyProtection="0">
      <alignment vertical="center"/>
    </xf>
    <xf numFmtId="0" fontId="193" fillId="70" borderId="48" applyNumberFormat="0" applyFont="0" applyAlignment="0" applyProtection="0">
      <alignment vertical="center"/>
    </xf>
    <xf numFmtId="0" fontId="193" fillId="70" borderId="48" applyNumberFormat="0" applyFont="0" applyAlignment="0" applyProtection="0">
      <alignment vertical="center"/>
    </xf>
    <xf numFmtId="0" fontId="4" fillId="10" borderId="32" applyNumberFormat="0" applyFont="0" applyAlignment="0" applyProtection="0">
      <alignment vertical="center"/>
    </xf>
    <xf numFmtId="0" fontId="193" fillId="70" borderId="48" applyNumberFormat="0" applyFont="0" applyAlignment="0" applyProtection="0">
      <alignment vertical="center"/>
    </xf>
    <xf numFmtId="0" fontId="193" fillId="70" borderId="48" applyNumberFormat="0" applyFont="0" applyAlignment="0" applyProtection="0">
      <alignment vertical="center"/>
    </xf>
    <xf numFmtId="0" fontId="193" fillId="70" borderId="48" applyNumberFormat="0" applyFont="0" applyAlignment="0" applyProtection="0">
      <alignment vertical="center"/>
    </xf>
    <xf numFmtId="0" fontId="193" fillId="70" borderId="48" applyNumberFormat="0" applyFont="0" applyAlignment="0" applyProtection="0">
      <alignment vertical="center"/>
    </xf>
    <xf numFmtId="0" fontId="193" fillId="70" borderId="48" applyNumberFormat="0" applyFont="0" applyAlignment="0" applyProtection="0">
      <alignment vertical="center"/>
    </xf>
    <xf numFmtId="0" fontId="193" fillId="70" borderId="48" applyNumberFormat="0" applyFont="0" applyAlignment="0" applyProtection="0">
      <alignment vertical="center"/>
    </xf>
    <xf numFmtId="0" fontId="193" fillId="70" borderId="48" applyNumberFormat="0" applyFont="0" applyAlignment="0" applyProtection="0">
      <alignment vertical="center"/>
    </xf>
    <xf numFmtId="0" fontId="193" fillId="70" borderId="48" applyNumberFormat="0" applyFont="0" applyAlignment="0" applyProtection="0">
      <alignment vertical="center"/>
    </xf>
    <xf numFmtId="0" fontId="193" fillId="70" borderId="48" applyNumberFormat="0" applyFont="0" applyAlignment="0" applyProtection="0">
      <alignment vertical="center"/>
    </xf>
    <xf numFmtId="0" fontId="193" fillId="70" borderId="48" applyNumberFormat="0" applyFont="0" applyAlignment="0" applyProtection="0">
      <alignment vertical="center"/>
    </xf>
    <xf numFmtId="0" fontId="193" fillId="70" borderId="48" applyNumberFormat="0" applyFont="0" applyAlignment="0" applyProtection="0">
      <alignment vertical="center"/>
    </xf>
    <xf numFmtId="0" fontId="193" fillId="70" borderId="48" applyNumberFormat="0" applyFont="0" applyAlignment="0" applyProtection="0">
      <alignment vertical="center"/>
    </xf>
    <xf numFmtId="0" fontId="193" fillId="70" borderId="48" applyNumberFormat="0" applyFont="0" applyAlignment="0" applyProtection="0">
      <alignment vertical="center"/>
    </xf>
    <xf numFmtId="0" fontId="193" fillId="70" borderId="48" applyNumberFormat="0" applyFont="0" applyAlignment="0" applyProtection="0">
      <alignment vertical="center"/>
    </xf>
    <xf numFmtId="0" fontId="193" fillId="70" borderId="48" applyNumberFormat="0" applyFont="0" applyAlignment="0" applyProtection="0">
      <alignment vertical="center"/>
    </xf>
    <xf numFmtId="0" fontId="193" fillId="70" borderId="48" applyNumberFormat="0" applyFont="0" applyAlignment="0" applyProtection="0">
      <alignment vertical="center"/>
    </xf>
    <xf numFmtId="0" fontId="193" fillId="70" borderId="48" applyNumberFormat="0" applyFont="0" applyAlignment="0" applyProtection="0">
      <alignment vertical="center"/>
    </xf>
    <xf numFmtId="0" fontId="193" fillId="70" borderId="48" applyNumberFormat="0" applyFont="0" applyAlignment="0" applyProtection="0">
      <alignment vertical="center"/>
    </xf>
    <xf numFmtId="0" fontId="193" fillId="70" borderId="48" applyNumberFormat="0" applyFont="0" applyAlignment="0" applyProtection="0">
      <alignment vertical="center"/>
    </xf>
    <xf numFmtId="0" fontId="4" fillId="10" borderId="32" applyNumberFormat="0" applyFont="0" applyAlignment="0" applyProtection="0">
      <alignment vertical="center"/>
    </xf>
    <xf numFmtId="0" fontId="19" fillId="70" borderId="48" applyNumberFormat="0" applyFont="0" applyAlignment="0" applyProtection="0">
      <alignment vertical="center"/>
    </xf>
    <xf numFmtId="0" fontId="19" fillId="70" borderId="48" applyNumberFormat="0" applyFont="0" applyAlignment="0" applyProtection="0">
      <alignment vertical="center"/>
    </xf>
    <xf numFmtId="0" fontId="19" fillId="70" borderId="48" applyNumberFormat="0" applyFont="0" applyAlignment="0" applyProtection="0">
      <alignment vertical="center"/>
    </xf>
    <xf numFmtId="0" fontId="19" fillId="70" borderId="48" applyNumberFormat="0" applyFont="0" applyAlignment="0" applyProtection="0">
      <alignment vertical="center"/>
    </xf>
    <xf numFmtId="0" fontId="19" fillId="70" borderId="48" applyNumberFormat="0" applyFont="0" applyAlignment="0" applyProtection="0">
      <alignment vertical="center"/>
    </xf>
    <xf numFmtId="0" fontId="19" fillId="70" borderId="48" applyNumberFormat="0" applyFont="0" applyAlignment="0" applyProtection="0">
      <alignment vertical="center"/>
    </xf>
    <xf numFmtId="0" fontId="19" fillId="70" borderId="48" applyNumberFormat="0" applyFont="0" applyAlignment="0" applyProtection="0">
      <alignment vertical="center"/>
    </xf>
    <xf numFmtId="0" fontId="19" fillId="70" borderId="48" applyNumberFormat="0" applyFont="0" applyAlignment="0" applyProtection="0">
      <alignment vertical="center"/>
    </xf>
    <xf numFmtId="0" fontId="19" fillId="70" borderId="48" applyNumberFormat="0" applyFont="0" applyAlignment="0" applyProtection="0">
      <alignment vertical="center"/>
    </xf>
    <xf numFmtId="0" fontId="19" fillId="70" borderId="48" applyNumberFormat="0" applyFont="0" applyAlignment="0" applyProtection="0">
      <alignment vertical="center"/>
    </xf>
    <xf numFmtId="0" fontId="19" fillId="70" borderId="48" applyNumberFormat="0" applyFont="0" applyAlignment="0" applyProtection="0">
      <alignment vertical="center"/>
    </xf>
    <xf numFmtId="0" fontId="19" fillId="70" borderId="48" applyNumberFormat="0" applyFont="0" applyAlignment="0" applyProtection="0">
      <alignment vertical="center"/>
    </xf>
    <xf numFmtId="0" fontId="19" fillId="70" borderId="48" applyNumberFormat="0" applyFont="0" applyAlignment="0" applyProtection="0">
      <alignment vertical="center"/>
    </xf>
    <xf numFmtId="0" fontId="19" fillId="70" borderId="48" applyNumberFormat="0" applyFont="0" applyAlignment="0" applyProtection="0">
      <alignment vertical="center"/>
    </xf>
    <xf numFmtId="0" fontId="19" fillId="70" borderId="48" applyNumberFormat="0" applyFont="0" applyAlignment="0" applyProtection="0">
      <alignment vertical="center"/>
    </xf>
    <xf numFmtId="0" fontId="19" fillId="70" borderId="48" applyNumberFormat="0" applyFont="0" applyAlignment="0" applyProtection="0">
      <alignment vertical="center"/>
    </xf>
    <xf numFmtId="0" fontId="19" fillId="70" borderId="48" applyNumberFormat="0" applyFont="0" applyAlignment="0" applyProtection="0">
      <alignment vertical="center"/>
    </xf>
    <xf numFmtId="0" fontId="19" fillId="70" borderId="48" applyNumberFormat="0" applyFont="0" applyAlignment="0" applyProtection="0">
      <alignment vertical="center"/>
    </xf>
    <xf numFmtId="0" fontId="19" fillId="70" borderId="48" applyNumberFormat="0" applyFont="0" applyAlignment="0" applyProtection="0">
      <alignment vertical="center"/>
    </xf>
    <xf numFmtId="0" fontId="4" fillId="10" borderId="32" applyNumberFormat="0" applyFont="0" applyAlignment="0" applyProtection="0">
      <alignment vertical="center"/>
    </xf>
    <xf numFmtId="0" fontId="4" fillId="10" borderId="32" applyNumberFormat="0" applyFont="0" applyAlignment="0" applyProtection="0">
      <alignment vertical="center"/>
    </xf>
    <xf numFmtId="0" fontId="4" fillId="10" borderId="32" applyNumberFormat="0" applyFont="0" applyAlignment="0" applyProtection="0">
      <alignment vertical="center"/>
    </xf>
    <xf numFmtId="0" fontId="16" fillId="71" borderId="49" applyNumberFormat="0" applyAlignment="0" applyProtection="0"/>
    <xf numFmtId="0" fontId="4" fillId="10" borderId="32" applyNumberFormat="0" applyFont="0" applyAlignment="0" applyProtection="0">
      <alignment vertical="center"/>
    </xf>
    <xf numFmtId="0" fontId="19" fillId="70" borderId="48" applyNumberFormat="0" applyFont="0" applyAlignment="0" applyProtection="0">
      <alignment vertical="center"/>
    </xf>
    <xf numFmtId="0" fontId="4" fillId="10" borderId="32" applyNumberFormat="0" applyFont="0" applyAlignment="0" applyProtection="0">
      <alignment vertical="center"/>
    </xf>
    <xf numFmtId="0" fontId="4" fillId="10" borderId="32" applyNumberFormat="0" applyFont="0" applyAlignment="0" applyProtection="0">
      <alignment vertical="center"/>
    </xf>
    <xf numFmtId="0" fontId="19" fillId="70" borderId="48" applyNumberFormat="0" applyFont="0" applyAlignment="0" applyProtection="0">
      <alignment vertical="center"/>
    </xf>
    <xf numFmtId="0" fontId="19" fillId="70" borderId="48" applyNumberFormat="0" applyFont="0" applyAlignment="0" applyProtection="0">
      <alignment vertical="center"/>
    </xf>
    <xf numFmtId="0" fontId="19" fillId="70" borderId="48" applyNumberFormat="0" applyFont="0" applyAlignment="0" applyProtection="0">
      <alignment vertical="center"/>
    </xf>
    <xf numFmtId="0" fontId="16" fillId="71" borderId="49" applyNumberFormat="0" applyAlignment="0" applyProtection="0"/>
    <xf numFmtId="0" fontId="19" fillId="70" borderId="48" applyNumberFormat="0" applyFont="0" applyAlignment="0" applyProtection="0">
      <alignment vertical="center"/>
    </xf>
    <xf numFmtId="0" fontId="19" fillId="70" borderId="48" applyNumberFormat="0" applyFont="0" applyAlignment="0" applyProtection="0">
      <alignment vertical="center"/>
    </xf>
    <xf numFmtId="0" fontId="19" fillId="70" borderId="48" applyNumberFormat="0" applyFont="0" applyAlignment="0" applyProtection="0">
      <alignment vertical="center"/>
    </xf>
    <xf numFmtId="0" fontId="19" fillId="70" borderId="48" applyNumberFormat="0" applyFont="0" applyAlignment="0" applyProtection="0">
      <alignment vertical="center"/>
    </xf>
    <xf numFmtId="0" fontId="4" fillId="10" borderId="32" applyNumberFormat="0" applyFont="0" applyAlignment="0" applyProtection="0">
      <alignment vertical="center"/>
    </xf>
    <xf numFmtId="0" fontId="19" fillId="70" borderId="48" applyNumberFormat="0" applyFont="0" applyAlignment="0" applyProtection="0">
      <alignment vertical="center"/>
    </xf>
    <xf numFmtId="0" fontId="19" fillId="70" borderId="48" applyNumberFormat="0" applyFont="0" applyAlignment="0" applyProtection="0">
      <alignment vertical="center"/>
    </xf>
    <xf numFmtId="0" fontId="19" fillId="70" borderId="48" applyNumberFormat="0" applyFont="0" applyAlignment="0" applyProtection="0">
      <alignment vertical="center"/>
    </xf>
    <xf numFmtId="0" fontId="19" fillId="70" borderId="48" applyNumberFormat="0" applyFont="0" applyAlignment="0" applyProtection="0">
      <alignment vertical="center"/>
    </xf>
    <xf numFmtId="0" fontId="19" fillId="70" borderId="48" applyNumberFormat="0" applyFont="0" applyAlignment="0" applyProtection="0">
      <alignment vertical="center"/>
    </xf>
    <xf numFmtId="0" fontId="19" fillId="70" borderId="48" applyNumberFormat="0" applyFont="0" applyAlignment="0" applyProtection="0">
      <alignment vertical="center"/>
    </xf>
    <xf numFmtId="0" fontId="19" fillId="70" borderId="48" applyNumberFormat="0" applyFont="0" applyAlignment="0" applyProtection="0">
      <alignment vertical="center"/>
    </xf>
    <xf numFmtId="0" fontId="19" fillId="70" borderId="48" applyNumberFormat="0" applyFont="0" applyAlignment="0" applyProtection="0">
      <alignment vertical="center"/>
    </xf>
    <xf numFmtId="0" fontId="19" fillId="70" borderId="48" applyNumberFormat="0" applyFont="0" applyAlignment="0" applyProtection="0">
      <alignment vertical="center"/>
    </xf>
    <xf numFmtId="0" fontId="19" fillId="70" borderId="48" applyNumberFormat="0" applyFont="0" applyAlignment="0" applyProtection="0">
      <alignment vertical="center"/>
    </xf>
    <xf numFmtId="0" fontId="19" fillId="70" borderId="48" applyNumberFormat="0" applyFont="0" applyAlignment="0" applyProtection="0">
      <alignment vertical="center"/>
    </xf>
    <xf numFmtId="0" fontId="19" fillId="70" borderId="48" applyNumberFormat="0" applyFont="0" applyAlignment="0" applyProtection="0">
      <alignment vertical="center"/>
    </xf>
    <xf numFmtId="0" fontId="19" fillId="70" borderId="48" applyNumberFormat="0" applyFont="0" applyAlignment="0" applyProtection="0">
      <alignment vertical="center"/>
    </xf>
    <xf numFmtId="0" fontId="19" fillId="70" borderId="48" applyNumberFormat="0" applyFont="0" applyAlignment="0" applyProtection="0">
      <alignment vertical="center"/>
    </xf>
    <xf numFmtId="0" fontId="19" fillId="70" borderId="48" applyNumberFormat="0" applyFont="0" applyAlignment="0" applyProtection="0">
      <alignment vertical="center"/>
    </xf>
    <xf numFmtId="0" fontId="19" fillId="70" borderId="48" applyNumberFormat="0" applyFont="0" applyAlignment="0" applyProtection="0">
      <alignment vertical="center"/>
    </xf>
    <xf numFmtId="0" fontId="19" fillId="70" borderId="48" applyNumberFormat="0" applyFont="0" applyAlignment="0" applyProtection="0">
      <alignment vertical="center"/>
    </xf>
    <xf numFmtId="0" fontId="19" fillId="70" borderId="48" applyNumberFormat="0" applyFont="0" applyAlignment="0" applyProtection="0">
      <alignment vertical="center"/>
    </xf>
    <xf numFmtId="0" fontId="19" fillId="70" borderId="48" applyNumberFormat="0" applyFont="0" applyAlignment="0" applyProtection="0">
      <alignment vertical="center"/>
    </xf>
    <xf numFmtId="0" fontId="19" fillId="70" borderId="48" applyNumberFormat="0" applyFont="0" applyAlignment="0" applyProtection="0">
      <alignment vertical="center"/>
    </xf>
    <xf numFmtId="0" fontId="19" fillId="70" borderId="48" applyNumberFormat="0" applyFont="0" applyAlignment="0" applyProtection="0">
      <alignment vertical="center"/>
    </xf>
    <xf numFmtId="0" fontId="19" fillId="70" borderId="48" applyNumberFormat="0" applyFont="0" applyAlignment="0" applyProtection="0">
      <alignment vertical="center"/>
    </xf>
    <xf numFmtId="0" fontId="19" fillId="70" borderId="48" applyNumberFormat="0" applyFont="0" applyAlignment="0" applyProtection="0">
      <alignment vertical="center"/>
    </xf>
    <xf numFmtId="0" fontId="19" fillId="70" borderId="48" applyNumberFormat="0" applyFont="0" applyAlignment="0" applyProtection="0">
      <alignment vertical="center"/>
    </xf>
    <xf numFmtId="0" fontId="4" fillId="10" borderId="32" applyNumberFormat="0" applyFont="0" applyAlignment="0" applyProtection="0">
      <alignment vertical="center"/>
    </xf>
    <xf numFmtId="0" fontId="4" fillId="10" borderId="32" applyNumberFormat="0" applyFont="0" applyAlignment="0" applyProtection="0">
      <alignment vertical="center"/>
    </xf>
    <xf numFmtId="0" fontId="4" fillId="10" borderId="32" applyNumberFormat="0" applyFont="0" applyAlignment="0" applyProtection="0">
      <alignment vertical="center"/>
    </xf>
    <xf numFmtId="0" fontId="16" fillId="71" borderId="49" applyNumberFormat="0" applyAlignment="0" applyProtection="0"/>
    <xf numFmtId="0" fontId="4" fillId="10" borderId="32" applyNumberFormat="0" applyFont="0" applyAlignment="0" applyProtection="0">
      <alignment vertical="center"/>
    </xf>
    <xf numFmtId="0" fontId="4" fillId="10" borderId="32" applyNumberFormat="0" applyFont="0" applyAlignment="0" applyProtection="0">
      <alignment vertical="center"/>
    </xf>
    <xf numFmtId="0" fontId="4" fillId="10" borderId="32" applyNumberFormat="0" applyFont="0" applyAlignment="0" applyProtection="0">
      <alignment vertical="center"/>
    </xf>
    <xf numFmtId="0" fontId="4" fillId="10" borderId="32" applyNumberFormat="0" applyFont="0" applyAlignment="0" applyProtection="0">
      <alignment vertical="center"/>
    </xf>
    <xf numFmtId="49" fontId="25" fillId="0" borderId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194" fillId="0" borderId="0"/>
    <xf numFmtId="290" fontId="2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181" fontId="10" fillId="0" borderId="50" applyFill="0" applyBorder="0" applyProtection="0">
      <alignment vertical="center"/>
    </xf>
    <xf numFmtId="181" fontId="10" fillId="0" borderId="50" applyFill="0" applyBorder="0" applyProtection="0">
      <alignment vertical="center"/>
    </xf>
    <xf numFmtId="181" fontId="10" fillId="0" borderId="50" applyFill="0" applyBorder="0" applyProtection="0">
      <alignment vertical="center"/>
    </xf>
    <xf numFmtId="181" fontId="10" fillId="0" borderId="50" applyFill="0" applyBorder="0" applyProtection="0">
      <alignment vertical="center"/>
    </xf>
    <xf numFmtId="181" fontId="10" fillId="0" borderId="50" applyFill="0" applyBorder="0" applyProtection="0">
      <alignment vertical="center"/>
    </xf>
    <xf numFmtId="181" fontId="10" fillId="0" borderId="50" applyFill="0" applyBorder="0" applyProtection="0">
      <alignment vertical="center"/>
    </xf>
    <xf numFmtId="181" fontId="10" fillId="0" borderId="50" applyFill="0" applyBorder="0" applyProtection="0">
      <alignment vertical="center"/>
    </xf>
    <xf numFmtId="181" fontId="10" fillId="0" borderId="50" applyFill="0" applyBorder="0" applyProtection="0">
      <alignment vertical="center"/>
    </xf>
    <xf numFmtId="181" fontId="10" fillId="0" borderId="50" applyFill="0" applyBorder="0" applyProtection="0">
      <alignment vertical="center"/>
    </xf>
    <xf numFmtId="181" fontId="10" fillId="0" borderId="50" applyFill="0" applyBorder="0" applyProtection="0">
      <alignment vertical="center"/>
    </xf>
    <xf numFmtId="181" fontId="10" fillId="0" borderId="50" applyFill="0" applyBorder="0" applyProtection="0">
      <alignment vertical="center"/>
    </xf>
    <xf numFmtId="181" fontId="10" fillId="0" borderId="50" applyFill="0" applyBorder="0" applyProtection="0">
      <alignment vertical="center"/>
    </xf>
    <xf numFmtId="181" fontId="10" fillId="0" borderId="50" applyFill="0" applyBorder="0" applyProtection="0">
      <alignment vertical="center"/>
    </xf>
    <xf numFmtId="181" fontId="10" fillId="0" borderId="50" applyFill="0" applyBorder="0" applyProtection="0">
      <alignment vertical="center"/>
    </xf>
    <xf numFmtId="181" fontId="10" fillId="0" borderId="50" applyFill="0" applyBorder="0" applyProtection="0">
      <alignment vertical="center"/>
    </xf>
    <xf numFmtId="181" fontId="10" fillId="0" borderId="50" applyFill="0" applyBorder="0" applyProtection="0">
      <alignment vertical="center"/>
    </xf>
    <xf numFmtId="181" fontId="10" fillId="0" borderId="50" applyFill="0" applyBorder="0" applyProtection="0">
      <alignment vertical="center"/>
    </xf>
    <xf numFmtId="181" fontId="10" fillId="0" borderId="50" applyFill="0" applyBorder="0" applyProtection="0">
      <alignment vertical="center"/>
    </xf>
    <xf numFmtId="181" fontId="10" fillId="0" borderId="50" applyFill="0" applyBorder="0" applyProtection="0">
      <alignment vertical="center"/>
    </xf>
    <xf numFmtId="181" fontId="10" fillId="0" borderId="50" applyFill="0" applyBorder="0" applyProtection="0">
      <alignment vertical="center"/>
    </xf>
    <xf numFmtId="181" fontId="10" fillId="0" borderId="50" applyFill="0" applyBorder="0" applyProtection="0">
      <alignment vertical="center"/>
    </xf>
    <xf numFmtId="181" fontId="10" fillId="0" borderId="50" applyFill="0" applyBorder="0" applyProtection="0">
      <alignment vertical="center"/>
    </xf>
    <xf numFmtId="181" fontId="10" fillId="0" borderId="50" applyFill="0" applyBorder="0" applyProtection="0">
      <alignment vertical="center"/>
    </xf>
    <xf numFmtId="181" fontId="10" fillId="0" borderId="50" applyFill="0" applyBorder="0" applyProtection="0">
      <alignment vertical="center"/>
    </xf>
    <xf numFmtId="181" fontId="10" fillId="0" borderId="50" applyFill="0" applyBorder="0" applyProtection="0">
      <alignment vertical="center"/>
    </xf>
    <xf numFmtId="181" fontId="10" fillId="0" borderId="50" applyFill="0" applyBorder="0" applyProtection="0">
      <alignment vertical="center"/>
    </xf>
    <xf numFmtId="181" fontId="10" fillId="0" borderId="50" applyFill="0" applyBorder="0" applyProtection="0">
      <alignment vertical="center"/>
    </xf>
    <xf numFmtId="181" fontId="10" fillId="0" borderId="50" applyFill="0" applyBorder="0" applyProtection="0">
      <alignment vertical="center"/>
    </xf>
    <xf numFmtId="181" fontId="10" fillId="0" borderId="50" applyFill="0" applyBorder="0" applyProtection="0">
      <alignment vertical="center"/>
    </xf>
    <xf numFmtId="181" fontId="10" fillId="0" borderId="50" applyFill="0" applyBorder="0" applyProtection="0">
      <alignment vertical="center"/>
    </xf>
    <xf numFmtId="181" fontId="10" fillId="0" borderId="50" applyFill="0" applyBorder="0" applyProtection="0">
      <alignment vertical="center"/>
    </xf>
    <xf numFmtId="181" fontId="10" fillId="0" borderId="50" applyFill="0" applyBorder="0" applyProtection="0">
      <alignment vertical="center"/>
    </xf>
    <xf numFmtId="181" fontId="10" fillId="0" borderId="50" applyFill="0" applyBorder="0" applyProtection="0">
      <alignment vertical="center"/>
    </xf>
    <xf numFmtId="181" fontId="10" fillId="0" borderId="50" applyFill="0" applyBorder="0" applyProtection="0">
      <alignment vertical="center"/>
    </xf>
    <xf numFmtId="181" fontId="10" fillId="0" borderId="50" applyFill="0" applyBorder="0" applyProtection="0">
      <alignment vertical="center"/>
    </xf>
    <xf numFmtId="181" fontId="10" fillId="0" borderId="50" applyFill="0" applyBorder="0" applyProtection="0">
      <alignment vertical="center"/>
    </xf>
    <xf numFmtId="181" fontId="10" fillId="0" borderId="50" applyFill="0" applyBorder="0" applyProtection="0">
      <alignment vertical="center"/>
    </xf>
    <xf numFmtId="181" fontId="10" fillId="0" borderId="50" applyFill="0" applyBorder="0" applyProtection="0">
      <alignment vertical="center"/>
    </xf>
    <xf numFmtId="181" fontId="10" fillId="0" borderId="50" applyFill="0" applyBorder="0" applyProtection="0">
      <alignment vertical="center"/>
    </xf>
    <xf numFmtId="181" fontId="10" fillId="0" borderId="50" applyFill="0" applyBorder="0" applyProtection="0">
      <alignment vertical="center"/>
    </xf>
    <xf numFmtId="181" fontId="10" fillId="0" borderId="50" applyFill="0" applyBorder="0" applyProtection="0">
      <alignment vertical="center"/>
    </xf>
    <xf numFmtId="181" fontId="10" fillId="0" borderId="50" applyFill="0" applyBorder="0" applyProtection="0">
      <alignment vertical="center"/>
    </xf>
    <xf numFmtId="181" fontId="10" fillId="0" borderId="50" applyFill="0" applyBorder="0" applyProtection="0">
      <alignment vertical="center"/>
    </xf>
    <xf numFmtId="181" fontId="10" fillId="0" borderId="50" applyFill="0" applyBorder="0" applyProtection="0">
      <alignment vertical="center"/>
    </xf>
    <xf numFmtId="181" fontId="10" fillId="0" borderId="50" applyFill="0" applyBorder="0" applyProtection="0">
      <alignment vertical="center"/>
    </xf>
    <xf numFmtId="181" fontId="10" fillId="0" borderId="50" applyFill="0" applyBorder="0" applyProtection="0">
      <alignment vertical="center"/>
    </xf>
    <xf numFmtId="181" fontId="10" fillId="0" borderId="50" applyFill="0" applyBorder="0" applyProtection="0">
      <alignment vertical="center"/>
    </xf>
    <xf numFmtId="181" fontId="10" fillId="0" borderId="50" applyFill="0" applyBorder="0" applyProtection="0">
      <alignment vertical="center"/>
    </xf>
    <xf numFmtId="181" fontId="10" fillId="0" borderId="50" applyFill="0" applyBorder="0" applyProtection="0">
      <alignment vertical="center"/>
    </xf>
    <xf numFmtId="181" fontId="10" fillId="0" borderId="50" applyFill="0" applyBorder="0" applyProtection="0">
      <alignment vertical="center"/>
    </xf>
    <xf numFmtId="181" fontId="10" fillId="0" borderId="50" applyFill="0" applyBorder="0" applyProtection="0">
      <alignment vertical="center"/>
    </xf>
    <xf numFmtId="181" fontId="10" fillId="0" borderId="50" applyFill="0" applyBorder="0" applyProtection="0">
      <alignment vertical="center"/>
    </xf>
    <xf numFmtId="181" fontId="10" fillId="0" borderId="50" applyFill="0" applyBorder="0" applyProtection="0">
      <alignment vertical="center"/>
    </xf>
    <xf numFmtId="181" fontId="10" fillId="0" borderId="50" applyFill="0" applyBorder="0" applyProtection="0">
      <alignment vertical="center"/>
    </xf>
    <xf numFmtId="181" fontId="10" fillId="0" borderId="50" applyFill="0" applyBorder="0" applyProtection="0">
      <alignment vertical="center"/>
    </xf>
    <xf numFmtId="227" fontId="40" fillId="0" borderId="33" applyFont="0" applyBorder="0" applyAlignment="0">
      <alignment horizontal="center" vertical="center"/>
    </xf>
    <xf numFmtId="227" fontId="40" fillId="0" borderId="33" applyFont="0" applyBorder="0" applyAlignment="0">
      <alignment horizontal="center" vertical="center"/>
    </xf>
    <xf numFmtId="227" fontId="40" fillId="0" borderId="33" applyFont="0" applyBorder="0" applyAlignment="0">
      <alignment horizontal="center" vertical="center"/>
    </xf>
    <xf numFmtId="227" fontId="40" fillId="0" borderId="33" applyFont="0" applyBorder="0" applyAlignment="0">
      <alignment horizontal="center" vertical="center"/>
    </xf>
    <xf numFmtId="227" fontId="40" fillId="0" borderId="33" applyFont="0" applyBorder="0" applyAlignment="0">
      <alignment horizontal="center" vertical="center"/>
    </xf>
    <xf numFmtId="227" fontId="40" fillId="0" borderId="33" applyFont="0" applyBorder="0" applyAlignment="0">
      <alignment horizontal="center" vertical="center"/>
    </xf>
    <xf numFmtId="227" fontId="40" fillId="0" borderId="33" applyFont="0" applyBorder="0" applyAlignment="0">
      <alignment horizontal="center" vertical="center"/>
    </xf>
    <xf numFmtId="227" fontId="40" fillId="0" borderId="33" applyFont="0" applyBorder="0" applyAlignment="0">
      <alignment horizontal="center" vertical="center"/>
    </xf>
    <xf numFmtId="227" fontId="40" fillId="0" borderId="33" applyFont="0" applyBorder="0" applyAlignment="0">
      <alignment horizontal="center" vertical="center"/>
    </xf>
    <xf numFmtId="227" fontId="40" fillId="0" borderId="33" applyFont="0" applyBorder="0" applyAlignment="0">
      <alignment horizontal="center" vertical="center"/>
    </xf>
    <xf numFmtId="227" fontId="40" fillId="0" borderId="33" applyFont="0" applyBorder="0" applyAlignment="0">
      <alignment horizontal="center" vertical="center"/>
    </xf>
    <xf numFmtId="227" fontId="40" fillId="0" borderId="33" applyFont="0" applyBorder="0" applyAlignment="0">
      <alignment horizontal="center" vertical="center"/>
    </xf>
    <xf numFmtId="227" fontId="40" fillId="0" borderId="33" applyFont="0" applyBorder="0" applyAlignment="0">
      <alignment horizontal="center" vertical="center"/>
    </xf>
    <xf numFmtId="227" fontId="40" fillId="0" borderId="33" applyFont="0" applyBorder="0" applyAlignment="0">
      <alignment horizontal="center" vertical="center"/>
    </xf>
    <xf numFmtId="227" fontId="40" fillId="0" borderId="33" applyFont="0" applyBorder="0" applyAlignment="0">
      <alignment horizontal="center" vertical="center"/>
    </xf>
    <xf numFmtId="227" fontId="40" fillId="0" borderId="33" applyFont="0" applyBorder="0" applyAlignment="0">
      <alignment horizontal="center" vertical="center"/>
    </xf>
    <xf numFmtId="227" fontId="40" fillId="0" borderId="33" applyFont="0" applyBorder="0" applyAlignment="0">
      <alignment horizontal="center" vertical="center"/>
    </xf>
    <xf numFmtId="227" fontId="40" fillId="0" borderId="33" applyFont="0" applyBorder="0" applyAlignment="0">
      <alignment horizontal="center" vertical="center"/>
    </xf>
    <xf numFmtId="227" fontId="40" fillId="0" borderId="33" applyFont="0" applyBorder="0" applyAlignment="0">
      <alignment horizontal="center" vertical="center"/>
    </xf>
    <xf numFmtId="227" fontId="40" fillId="0" borderId="33" applyFont="0" applyBorder="0" applyAlignment="0">
      <alignment horizontal="center" vertical="center"/>
    </xf>
    <xf numFmtId="227" fontId="40" fillId="0" borderId="33" applyFont="0" applyBorder="0" applyAlignment="0">
      <alignment horizontal="center" vertical="center"/>
    </xf>
    <xf numFmtId="227" fontId="40" fillId="0" borderId="33" applyFont="0" applyBorder="0" applyAlignment="0">
      <alignment horizontal="center" vertical="center"/>
    </xf>
    <xf numFmtId="227" fontId="40" fillId="0" borderId="33" applyFont="0" applyBorder="0" applyAlignment="0">
      <alignment horizontal="center" vertical="center"/>
    </xf>
    <xf numFmtId="227" fontId="40" fillId="0" borderId="33" applyFont="0" applyBorder="0" applyAlignment="0">
      <alignment horizontal="center" vertical="center"/>
    </xf>
    <xf numFmtId="227" fontId="40" fillId="0" borderId="33" applyFont="0" applyBorder="0" applyAlignment="0">
      <alignment horizontal="center" vertical="center"/>
    </xf>
    <xf numFmtId="227" fontId="40" fillId="0" borderId="33" applyFont="0" applyBorder="0" applyAlignment="0">
      <alignment horizontal="center" vertical="center"/>
    </xf>
    <xf numFmtId="227" fontId="40" fillId="0" borderId="33" applyFont="0" applyBorder="0" applyAlignment="0">
      <alignment horizontal="center" vertical="center"/>
    </xf>
    <xf numFmtId="227" fontId="40" fillId="0" borderId="33" applyFont="0" applyBorder="0" applyAlignment="0">
      <alignment horizontal="center" vertical="center"/>
    </xf>
    <xf numFmtId="227" fontId="40" fillId="0" borderId="33" applyFont="0" applyBorder="0" applyAlignment="0">
      <alignment horizontal="center" vertical="center"/>
    </xf>
    <xf numFmtId="227" fontId="40" fillId="0" borderId="33" applyFont="0" applyBorder="0" applyAlignment="0">
      <alignment horizontal="center" vertical="center"/>
    </xf>
    <xf numFmtId="227" fontId="40" fillId="0" borderId="33" applyFont="0" applyBorder="0" applyAlignment="0">
      <alignment horizontal="center" vertical="center"/>
    </xf>
    <xf numFmtId="227" fontId="40" fillId="0" borderId="33" applyFont="0" applyBorder="0" applyAlignment="0">
      <alignment horizontal="center" vertical="center"/>
    </xf>
    <xf numFmtId="227" fontId="40" fillId="0" borderId="33" applyFont="0" applyBorder="0" applyAlignment="0">
      <alignment horizontal="center" vertical="center"/>
    </xf>
    <xf numFmtId="227" fontId="40" fillId="0" borderId="33" applyFont="0" applyBorder="0" applyAlignment="0">
      <alignment horizontal="center" vertical="center"/>
    </xf>
    <xf numFmtId="227" fontId="40" fillId="0" borderId="33" applyFont="0" applyBorder="0" applyAlignment="0">
      <alignment horizontal="center" vertical="center"/>
    </xf>
    <xf numFmtId="227" fontId="40" fillId="0" borderId="33" applyFont="0" applyBorder="0" applyAlignment="0">
      <alignment horizontal="center" vertical="center"/>
    </xf>
    <xf numFmtId="227" fontId="40" fillId="0" borderId="33" applyFont="0" applyBorder="0" applyAlignment="0">
      <alignment horizontal="center" vertical="center"/>
    </xf>
    <xf numFmtId="227" fontId="40" fillId="0" borderId="33" applyFont="0" applyBorder="0" applyAlignment="0">
      <alignment horizontal="center" vertical="center"/>
    </xf>
    <xf numFmtId="227" fontId="40" fillId="0" borderId="33" applyFont="0" applyBorder="0" applyAlignment="0">
      <alignment horizontal="center" vertical="center"/>
    </xf>
    <xf numFmtId="227" fontId="40" fillId="0" borderId="33" applyFont="0" applyBorder="0" applyAlignment="0">
      <alignment horizontal="center" vertical="center"/>
    </xf>
    <xf numFmtId="227" fontId="40" fillId="0" borderId="33" applyFont="0" applyBorder="0" applyAlignment="0">
      <alignment horizontal="center" vertical="center"/>
    </xf>
    <xf numFmtId="227" fontId="40" fillId="0" borderId="33" applyFont="0" applyBorder="0" applyAlignment="0">
      <alignment horizontal="center" vertical="center"/>
    </xf>
    <xf numFmtId="227" fontId="40" fillId="0" borderId="33" applyFont="0" applyBorder="0" applyAlignment="0">
      <alignment horizontal="center" vertical="center"/>
    </xf>
    <xf numFmtId="227" fontId="40" fillId="0" borderId="33" applyFont="0" applyBorder="0" applyAlignment="0">
      <alignment horizontal="center" vertical="center"/>
    </xf>
    <xf numFmtId="0" fontId="195" fillId="9" borderId="0" applyNumberFormat="0" applyBorder="0" applyAlignment="0" applyProtection="0">
      <alignment vertical="center"/>
    </xf>
    <xf numFmtId="0" fontId="196" fillId="0" borderId="0"/>
    <xf numFmtId="0" fontId="182" fillId="0" borderId="0"/>
    <xf numFmtId="255" fontId="25" fillId="0" borderId="0" applyFont="0" applyFill="0" applyBorder="0" applyAlignment="0" applyProtection="0"/>
    <xf numFmtId="0" fontId="25" fillId="0" borderId="0"/>
    <xf numFmtId="228" fontId="27" fillId="0" borderId="20">
      <alignment horizontal="left"/>
    </xf>
    <xf numFmtId="37" fontId="29" fillId="0" borderId="51" applyAlignment="0"/>
    <xf numFmtId="37" fontId="29" fillId="0" borderId="51" applyAlignment="0"/>
    <xf numFmtId="37" fontId="29" fillId="0" borderId="51" applyAlignment="0"/>
    <xf numFmtId="37" fontId="29" fillId="0" borderId="51" applyAlignment="0"/>
    <xf numFmtId="37" fontId="29" fillId="0" borderId="51" applyAlignment="0"/>
    <xf numFmtId="37" fontId="29" fillId="0" borderId="51" applyAlignment="0"/>
    <xf numFmtId="37" fontId="29" fillId="0" borderId="51" applyAlignment="0"/>
    <xf numFmtId="37" fontId="29" fillId="0" borderId="51" applyAlignment="0"/>
    <xf numFmtId="37" fontId="29" fillId="0" borderId="51" applyAlignment="0"/>
    <xf numFmtId="37" fontId="29" fillId="0" borderId="51" applyAlignment="0"/>
    <xf numFmtId="37" fontId="29" fillId="0" borderId="51" applyAlignment="0"/>
    <xf numFmtId="37" fontId="29" fillId="0" borderId="51" applyAlignment="0"/>
    <xf numFmtId="37" fontId="29" fillId="0" borderId="51" applyAlignment="0"/>
    <xf numFmtId="37" fontId="29" fillId="0" borderId="51" applyAlignment="0"/>
    <xf numFmtId="37" fontId="29" fillId="0" borderId="51" applyAlignment="0"/>
    <xf numFmtId="37" fontId="29" fillId="0" borderId="51" applyAlignment="0"/>
    <xf numFmtId="37" fontId="29" fillId="0" borderId="51" applyAlignment="0"/>
    <xf numFmtId="37" fontId="29" fillId="0" borderId="51" applyAlignment="0"/>
    <xf numFmtId="37" fontId="29" fillId="0" borderId="51" applyAlignment="0"/>
    <xf numFmtId="37" fontId="29" fillId="0" borderId="51" applyAlignment="0"/>
    <xf numFmtId="37" fontId="29" fillId="0" borderId="51" applyAlignment="0"/>
    <xf numFmtId="37" fontId="29" fillId="0" borderId="51" applyAlignment="0"/>
    <xf numFmtId="37" fontId="29" fillId="0" borderId="51" applyAlignment="0"/>
    <xf numFmtId="37" fontId="29" fillId="0" borderId="51" applyAlignment="0"/>
    <xf numFmtId="37" fontId="29" fillId="0" borderId="51" applyAlignment="0"/>
    <xf numFmtId="37" fontId="29" fillId="0" borderId="51" applyAlignment="0"/>
    <xf numFmtId="37" fontId="29" fillId="0" borderId="51" applyAlignment="0"/>
    <xf numFmtId="37" fontId="29" fillId="0" borderId="51" applyAlignment="0"/>
    <xf numFmtId="37" fontId="29" fillId="0" borderId="51" applyAlignment="0"/>
    <xf numFmtId="37" fontId="29" fillId="0" borderId="51" applyAlignment="0"/>
    <xf numFmtId="37" fontId="29" fillId="0" borderId="51" applyAlignment="0"/>
    <xf numFmtId="37" fontId="29" fillId="0" borderId="51" applyAlignment="0"/>
    <xf numFmtId="37" fontId="29" fillId="0" borderId="51" applyAlignment="0"/>
    <xf numFmtId="37" fontId="29" fillId="0" borderId="51" applyAlignment="0"/>
    <xf numFmtId="37" fontId="29" fillId="0" borderId="51" applyAlignment="0"/>
    <xf numFmtId="37" fontId="29" fillId="0" borderId="51" applyAlignment="0"/>
    <xf numFmtId="37" fontId="29" fillId="0" borderId="51" applyAlignment="0"/>
    <xf numFmtId="37" fontId="29" fillId="0" borderId="51" applyAlignment="0"/>
    <xf numFmtId="37" fontId="29" fillId="0" borderId="51" applyAlignment="0"/>
    <xf numFmtId="37" fontId="29" fillId="0" borderId="51" applyAlignment="0"/>
    <xf numFmtId="37" fontId="29" fillId="0" borderId="51" applyAlignment="0"/>
    <xf numFmtId="37" fontId="29" fillId="0" borderId="51" applyAlignment="0"/>
    <xf numFmtId="37" fontId="29" fillId="0" borderId="51" applyAlignment="0"/>
    <xf numFmtId="37" fontId="29" fillId="0" borderId="51" applyAlignment="0"/>
    <xf numFmtId="37" fontId="29" fillId="0" borderId="51" applyAlignment="0"/>
    <xf numFmtId="37" fontId="29" fillId="0" borderId="51" applyAlignment="0"/>
    <xf numFmtId="37" fontId="29" fillId="0" borderId="51" applyAlignment="0"/>
    <xf numFmtId="37" fontId="29" fillId="0" borderId="51" applyAlignment="0"/>
    <xf numFmtId="37" fontId="29" fillId="0" borderId="51" applyAlignment="0"/>
    <xf numFmtId="37" fontId="29" fillId="0" borderId="51" applyAlignment="0"/>
    <xf numFmtId="37" fontId="29" fillId="0" borderId="51" applyAlignment="0"/>
    <xf numFmtId="37" fontId="29" fillId="0" borderId="51" applyAlignment="0"/>
    <xf numFmtId="37" fontId="29" fillId="0" borderId="51" applyAlignment="0"/>
    <xf numFmtId="37" fontId="29" fillId="0" borderId="51" applyAlignment="0"/>
    <xf numFmtId="37" fontId="29" fillId="0" borderId="51" applyAlignment="0"/>
    <xf numFmtId="37" fontId="29" fillId="0" borderId="51" applyAlignment="0"/>
    <xf numFmtId="37" fontId="29" fillId="0" borderId="51" applyAlignment="0"/>
    <xf numFmtId="37" fontId="29" fillId="0" borderId="51" applyAlignment="0"/>
    <xf numFmtId="37" fontId="29" fillId="0" borderId="51" applyAlignment="0"/>
    <xf numFmtId="37" fontId="29" fillId="0" borderId="51" applyAlignment="0"/>
    <xf numFmtId="0" fontId="197" fillId="0" borderId="0" applyNumberFormat="0" applyFill="0" applyBorder="0" applyAlignment="0" applyProtection="0">
      <alignment vertical="center"/>
    </xf>
    <xf numFmtId="0" fontId="198" fillId="60" borderId="36" applyNumberFormat="0" applyAlignment="0" applyProtection="0">
      <alignment vertical="center"/>
    </xf>
    <xf numFmtId="0" fontId="191" fillId="0" borderId="0"/>
    <xf numFmtId="0" fontId="199" fillId="33" borderId="35" applyNumberFormat="0" applyAlignment="0" applyProtection="0">
      <alignment vertical="center"/>
    </xf>
    <xf numFmtId="0" fontId="199" fillId="33" borderId="35" applyNumberFormat="0" applyAlignment="0" applyProtection="0">
      <alignment vertical="center"/>
    </xf>
    <xf numFmtId="0" fontId="199" fillId="33" borderId="35" applyNumberFormat="0" applyAlignment="0" applyProtection="0">
      <alignment vertical="center"/>
    </xf>
    <xf numFmtId="0" fontId="199" fillId="33" borderId="35" applyNumberFormat="0" applyAlignment="0" applyProtection="0">
      <alignment vertical="center"/>
    </xf>
    <xf numFmtId="0" fontId="199" fillId="33" borderId="35" applyNumberFormat="0" applyAlignment="0" applyProtection="0">
      <alignment vertical="center"/>
    </xf>
    <xf numFmtId="0" fontId="199" fillId="33" borderId="35" applyNumberFormat="0" applyAlignment="0" applyProtection="0">
      <alignment vertical="center"/>
    </xf>
    <xf numFmtId="0" fontId="199" fillId="33" borderId="35" applyNumberFormat="0" applyAlignment="0" applyProtection="0">
      <alignment vertical="center"/>
    </xf>
    <xf numFmtId="0" fontId="199" fillId="33" borderId="35" applyNumberFormat="0" applyAlignment="0" applyProtection="0">
      <alignment vertical="center"/>
    </xf>
    <xf numFmtId="0" fontId="199" fillId="33" borderId="35" applyNumberFormat="0" applyAlignment="0" applyProtection="0">
      <alignment vertical="center"/>
    </xf>
    <xf numFmtId="0" fontId="199" fillId="33" borderId="35" applyNumberFormat="0" applyAlignment="0" applyProtection="0">
      <alignment vertical="center"/>
    </xf>
    <xf numFmtId="0" fontId="199" fillId="33" borderId="35" applyNumberFormat="0" applyAlignment="0" applyProtection="0">
      <alignment vertical="center"/>
    </xf>
    <xf numFmtId="0" fontId="199" fillId="33" borderId="35" applyNumberFormat="0" applyAlignment="0" applyProtection="0">
      <alignment vertical="center"/>
    </xf>
    <xf numFmtId="0" fontId="199" fillId="33" borderId="35" applyNumberFormat="0" applyAlignment="0" applyProtection="0">
      <alignment vertical="center"/>
    </xf>
    <xf numFmtId="0" fontId="199" fillId="33" borderId="35" applyNumberFormat="0" applyAlignment="0" applyProtection="0">
      <alignment vertical="center"/>
    </xf>
    <xf numFmtId="0" fontId="199" fillId="33" borderId="35" applyNumberFormat="0" applyAlignment="0" applyProtection="0">
      <alignment vertical="center"/>
    </xf>
    <xf numFmtId="0" fontId="199" fillId="33" borderId="35" applyNumberFormat="0" applyAlignment="0" applyProtection="0">
      <alignment vertical="center"/>
    </xf>
    <xf numFmtId="0" fontId="199" fillId="33" borderId="35" applyNumberFormat="0" applyAlignment="0" applyProtection="0">
      <alignment vertical="center"/>
    </xf>
    <xf numFmtId="0" fontId="199" fillId="33" borderId="35" applyNumberFormat="0" applyAlignment="0" applyProtection="0">
      <alignment vertical="center"/>
    </xf>
    <xf numFmtId="0" fontId="199" fillId="33" borderId="35" applyNumberFormat="0" applyAlignment="0" applyProtection="0">
      <alignment vertical="center"/>
    </xf>
    <xf numFmtId="0" fontId="199" fillId="33" borderId="35" applyNumberFormat="0" applyAlignment="0" applyProtection="0">
      <alignment vertical="center"/>
    </xf>
    <xf numFmtId="0" fontId="199" fillId="33" borderId="35" applyNumberFormat="0" applyAlignment="0" applyProtection="0">
      <alignment vertical="center"/>
    </xf>
    <xf numFmtId="0" fontId="199" fillId="33" borderId="35" applyNumberFormat="0" applyAlignment="0" applyProtection="0">
      <alignment vertical="center"/>
    </xf>
    <xf numFmtId="0" fontId="199" fillId="33" borderId="35" applyNumberFormat="0" applyAlignment="0" applyProtection="0">
      <alignment vertical="center"/>
    </xf>
    <xf numFmtId="0" fontId="199" fillId="33" borderId="35" applyNumberFormat="0" applyAlignment="0" applyProtection="0">
      <alignment vertical="center"/>
    </xf>
    <xf numFmtId="0" fontId="199" fillId="33" borderId="35" applyNumberFormat="0" applyAlignment="0" applyProtection="0">
      <alignment vertical="center"/>
    </xf>
    <xf numFmtId="0" fontId="199" fillId="33" borderId="35" applyNumberFormat="0" applyAlignment="0" applyProtection="0">
      <alignment vertical="center"/>
    </xf>
    <xf numFmtId="0" fontId="199" fillId="33" borderId="35" applyNumberFormat="0" applyAlignment="0" applyProtection="0">
      <alignment vertical="center"/>
    </xf>
    <xf numFmtId="0" fontId="199" fillId="33" borderId="35" applyNumberFormat="0" applyAlignment="0" applyProtection="0">
      <alignment vertical="center"/>
    </xf>
    <xf numFmtId="0" fontId="199" fillId="33" borderId="35" applyNumberFormat="0" applyAlignment="0" applyProtection="0">
      <alignment vertical="center"/>
    </xf>
    <xf numFmtId="0" fontId="199" fillId="33" borderId="35" applyNumberFormat="0" applyAlignment="0" applyProtection="0">
      <alignment vertical="center"/>
    </xf>
    <xf numFmtId="0" fontId="199" fillId="33" borderId="35" applyNumberFormat="0" applyAlignment="0" applyProtection="0">
      <alignment vertical="center"/>
    </xf>
    <xf numFmtId="0" fontId="199" fillId="33" borderId="35" applyNumberFormat="0" applyAlignment="0" applyProtection="0">
      <alignment vertical="center"/>
    </xf>
    <xf numFmtId="0" fontId="199" fillId="33" borderId="35" applyNumberFormat="0" applyAlignment="0" applyProtection="0">
      <alignment vertical="center"/>
    </xf>
    <xf numFmtId="0" fontId="199" fillId="33" borderId="35" applyNumberFormat="0" applyAlignment="0" applyProtection="0">
      <alignment vertical="center"/>
    </xf>
    <xf numFmtId="0" fontId="199" fillId="33" borderId="35" applyNumberFormat="0" applyAlignment="0" applyProtection="0">
      <alignment vertical="center"/>
    </xf>
    <xf numFmtId="0" fontId="199" fillId="33" borderId="35" applyNumberFormat="0" applyAlignment="0" applyProtection="0">
      <alignment vertical="center"/>
    </xf>
    <xf numFmtId="0" fontId="199" fillId="33" borderId="35" applyNumberFormat="0" applyAlignment="0" applyProtection="0">
      <alignment vertical="center"/>
    </xf>
    <xf numFmtId="0" fontId="199" fillId="33" borderId="35" applyNumberFormat="0" applyAlignment="0" applyProtection="0">
      <alignment vertical="center"/>
    </xf>
    <xf numFmtId="0" fontId="199" fillId="33" borderId="35" applyNumberFormat="0" applyAlignment="0" applyProtection="0">
      <alignment vertical="center"/>
    </xf>
    <xf numFmtId="0" fontId="199" fillId="33" borderId="35" applyNumberFormat="0" applyAlignment="0" applyProtection="0">
      <alignment vertical="center"/>
    </xf>
    <xf numFmtId="0" fontId="199" fillId="33" borderId="35" applyNumberFormat="0" applyAlignment="0" applyProtection="0">
      <alignment vertical="center"/>
    </xf>
    <xf numFmtId="0" fontId="199" fillId="33" borderId="35" applyNumberFormat="0" applyAlignment="0" applyProtection="0">
      <alignment vertical="center"/>
    </xf>
    <xf numFmtId="0" fontId="199" fillId="33" borderId="35" applyNumberFormat="0" applyAlignment="0" applyProtection="0">
      <alignment vertical="center"/>
    </xf>
    <xf numFmtId="0" fontId="199" fillId="33" borderId="35" applyNumberFormat="0" applyAlignment="0" applyProtection="0">
      <alignment vertical="center"/>
    </xf>
    <xf numFmtId="0" fontId="199" fillId="33" borderId="35" applyNumberFormat="0" applyAlignment="0" applyProtection="0">
      <alignment vertical="center"/>
    </xf>
    <xf numFmtId="0" fontId="199" fillId="33" borderId="35" applyNumberFormat="0" applyAlignment="0" applyProtection="0">
      <alignment vertical="center"/>
    </xf>
    <xf numFmtId="0" fontId="199" fillId="33" borderId="35" applyNumberFormat="0" applyAlignment="0" applyProtection="0">
      <alignment vertical="center"/>
    </xf>
    <xf numFmtId="0" fontId="199" fillId="33" borderId="35" applyNumberFormat="0" applyAlignment="0" applyProtection="0">
      <alignment vertical="center"/>
    </xf>
    <xf numFmtId="0" fontId="199" fillId="33" borderId="35" applyNumberFormat="0" applyAlignment="0" applyProtection="0">
      <alignment vertical="center"/>
    </xf>
    <xf numFmtId="0" fontId="199" fillId="33" borderId="35" applyNumberFormat="0" applyAlignment="0" applyProtection="0">
      <alignment vertical="center"/>
    </xf>
    <xf numFmtId="0" fontId="199" fillId="33" borderId="35" applyNumberFormat="0" applyAlignment="0" applyProtection="0">
      <alignment vertical="center"/>
    </xf>
    <xf numFmtId="0" fontId="199" fillId="33" borderId="35" applyNumberFormat="0" applyAlignment="0" applyProtection="0">
      <alignment vertical="center"/>
    </xf>
    <xf numFmtId="0" fontId="199" fillId="33" borderId="35" applyNumberFormat="0" applyAlignment="0" applyProtection="0">
      <alignment vertical="center"/>
    </xf>
    <xf numFmtId="0" fontId="199" fillId="33" borderId="35" applyNumberFormat="0" applyAlignment="0" applyProtection="0">
      <alignment vertical="center"/>
    </xf>
    <xf numFmtId="0" fontId="199" fillId="33" borderId="35" applyNumberFormat="0" applyAlignment="0" applyProtection="0">
      <alignment vertical="center"/>
    </xf>
    <xf numFmtId="0" fontId="199" fillId="33" borderId="35" applyNumberFormat="0" applyAlignment="0" applyProtection="0">
      <alignment vertical="center"/>
    </xf>
    <xf numFmtId="0" fontId="199" fillId="33" borderId="35" applyNumberFormat="0" applyAlignment="0" applyProtection="0">
      <alignment vertical="center"/>
    </xf>
    <xf numFmtId="0" fontId="199" fillId="33" borderId="35" applyNumberFormat="0" applyAlignment="0" applyProtection="0">
      <alignment vertical="center"/>
    </xf>
    <xf numFmtId="0" fontId="199" fillId="33" borderId="35" applyNumberFormat="0" applyAlignment="0" applyProtection="0">
      <alignment vertical="center"/>
    </xf>
    <xf numFmtId="0" fontId="199" fillId="33" borderId="35" applyNumberFormat="0" applyAlignment="0" applyProtection="0">
      <alignment vertical="center"/>
    </xf>
    <xf numFmtId="0" fontId="200" fillId="59" borderId="43" applyNumberFormat="0" applyAlignment="0" applyProtection="0">
      <alignment vertical="center"/>
    </xf>
    <xf numFmtId="0" fontId="200" fillId="59" borderId="43" applyNumberFormat="0" applyAlignment="0" applyProtection="0">
      <alignment vertical="center"/>
    </xf>
    <xf numFmtId="0" fontId="200" fillId="59" borderId="43" applyNumberFormat="0" applyAlignment="0" applyProtection="0">
      <alignment vertical="center"/>
    </xf>
    <xf numFmtId="0" fontId="200" fillId="59" borderId="43" applyNumberFormat="0" applyAlignment="0" applyProtection="0">
      <alignment vertical="center"/>
    </xf>
    <xf numFmtId="0" fontId="200" fillId="59" borderId="43" applyNumberFormat="0" applyAlignment="0" applyProtection="0">
      <alignment vertical="center"/>
    </xf>
    <xf numFmtId="0" fontId="200" fillId="59" borderId="43" applyNumberFormat="0" applyAlignment="0" applyProtection="0">
      <alignment vertical="center"/>
    </xf>
    <xf numFmtId="0" fontId="200" fillId="59" borderId="43" applyNumberFormat="0" applyAlignment="0" applyProtection="0">
      <alignment vertical="center"/>
    </xf>
    <xf numFmtId="0" fontId="200" fillId="59" borderId="43" applyNumberFormat="0" applyAlignment="0" applyProtection="0">
      <alignment vertical="center"/>
    </xf>
    <xf numFmtId="0" fontId="200" fillId="59" borderId="43" applyNumberFormat="0" applyAlignment="0" applyProtection="0">
      <alignment vertical="center"/>
    </xf>
    <xf numFmtId="0" fontId="200" fillId="59" borderId="43" applyNumberFormat="0" applyAlignment="0" applyProtection="0">
      <alignment vertical="center"/>
    </xf>
    <xf numFmtId="0" fontId="200" fillId="59" borderId="43" applyNumberFormat="0" applyAlignment="0" applyProtection="0">
      <alignment vertical="center"/>
    </xf>
    <xf numFmtId="0" fontId="200" fillId="59" borderId="43" applyNumberFormat="0" applyAlignment="0" applyProtection="0">
      <alignment vertical="center"/>
    </xf>
    <xf numFmtId="0" fontId="200" fillId="59" borderId="43" applyNumberFormat="0" applyAlignment="0" applyProtection="0">
      <alignment vertical="center"/>
    </xf>
    <xf numFmtId="0" fontId="200" fillId="59" borderId="43" applyNumberFormat="0" applyAlignment="0" applyProtection="0">
      <alignment vertical="center"/>
    </xf>
    <xf numFmtId="0" fontId="200" fillId="59" borderId="43" applyNumberFormat="0" applyAlignment="0" applyProtection="0">
      <alignment vertical="center"/>
    </xf>
    <xf numFmtId="0" fontId="200" fillId="59" borderId="43" applyNumberFormat="0" applyAlignment="0" applyProtection="0">
      <alignment vertical="center"/>
    </xf>
    <xf numFmtId="0" fontId="200" fillId="59" borderId="43" applyNumberFormat="0" applyAlignment="0" applyProtection="0">
      <alignment vertical="center"/>
    </xf>
    <xf numFmtId="0" fontId="200" fillId="59" borderId="43" applyNumberFormat="0" applyAlignment="0" applyProtection="0">
      <alignment vertical="center"/>
    </xf>
    <xf numFmtId="0" fontId="200" fillId="59" borderId="43" applyNumberFormat="0" applyAlignment="0" applyProtection="0">
      <alignment vertical="center"/>
    </xf>
    <xf numFmtId="0" fontId="200" fillId="59" borderId="43" applyNumberFormat="0" applyAlignment="0" applyProtection="0">
      <alignment vertical="center"/>
    </xf>
    <xf numFmtId="0" fontId="200" fillId="59" borderId="43" applyNumberFormat="0" applyAlignment="0" applyProtection="0">
      <alignment vertical="center"/>
    </xf>
    <xf numFmtId="0" fontId="200" fillId="59" borderId="43" applyNumberFormat="0" applyAlignment="0" applyProtection="0">
      <alignment vertical="center"/>
    </xf>
    <xf numFmtId="0" fontId="200" fillId="59" borderId="43" applyNumberFormat="0" applyAlignment="0" applyProtection="0">
      <alignment vertical="center"/>
    </xf>
    <xf numFmtId="0" fontId="200" fillId="59" borderId="43" applyNumberFormat="0" applyAlignment="0" applyProtection="0">
      <alignment vertical="center"/>
    </xf>
    <xf numFmtId="0" fontId="200" fillId="59" borderId="43" applyNumberFormat="0" applyAlignment="0" applyProtection="0">
      <alignment vertical="center"/>
    </xf>
    <xf numFmtId="0" fontId="200" fillId="59" borderId="43" applyNumberFormat="0" applyAlignment="0" applyProtection="0">
      <alignment vertical="center"/>
    </xf>
    <xf numFmtId="0" fontId="200" fillId="59" borderId="43" applyNumberFormat="0" applyAlignment="0" applyProtection="0">
      <alignment vertical="center"/>
    </xf>
    <xf numFmtId="0" fontId="200" fillId="59" borderId="43" applyNumberFormat="0" applyAlignment="0" applyProtection="0">
      <alignment vertical="center"/>
    </xf>
    <xf numFmtId="0" fontId="200" fillId="59" borderId="43" applyNumberFormat="0" applyAlignment="0" applyProtection="0">
      <alignment vertical="center"/>
    </xf>
    <xf numFmtId="0" fontId="200" fillId="59" borderId="43" applyNumberFormat="0" applyAlignment="0" applyProtection="0">
      <alignment vertical="center"/>
    </xf>
    <xf numFmtId="0" fontId="200" fillId="59" borderId="43" applyNumberFormat="0" applyAlignment="0" applyProtection="0">
      <alignment vertical="center"/>
    </xf>
    <xf numFmtId="0" fontId="200" fillId="59" borderId="43" applyNumberFormat="0" applyAlignment="0" applyProtection="0">
      <alignment vertical="center"/>
    </xf>
    <xf numFmtId="0" fontId="200" fillId="59" borderId="43" applyNumberFormat="0" applyAlignment="0" applyProtection="0">
      <alignment vertical="center"/>
    </xf>
    <xf numFmtId="0" fontId="200" fillId="59" borderId="43" applyNumberFormat="0" applyAlignment="0" applyProtection="0">
      <alignment vertical="center"/>
    </xf>
    <xf numFmtId="0" fontId="200" fillId="59" borderId="43" applyNumberFormat="0" applyAlignment="0" applyProtection="0">
      <alignment vertical="center"/>
    </xf>
    <xf numFmtId="0" fontId="200" fillId="59" borderId="43" applyNumberFormat="0" applyAlignment="0" applyProtection="0">
      <alignment vertical="center"/>
    </xf>
    <xf numFmtId="0" fontId="200" fillId="59" borderId="43" applyNumberFormat="0" applyAlignment="0" applyProtection="0">
      <alignment vertical="center"/>
    </xf>
    <xf numFmtId="0" fontId="200" fillId="59" borderId="43" applyNumberFormat="0" applyAlignment="0" applyProtection="0">
      <alignment vertical="center"/>
    </xf>
    <xf numFmtId="0" fontId="200" fillId="59" borderId="43" applyNumberFormat="0" applyAlignment="0" applyProtection="0">
      <alignment vertical="center"/>
    </xf>
    <xf numFmtId="0" fontId="200" fillId="59" borderId="43" applyNumberFormat="0" applyAlignment="0" applyProtection="0">
      <alignment vertical="center"/>
    </xf>
    <xf numFmtId="0" fontId="200" fillId="59" borderId="43" applyNumberFormat="0" applyAlignment="0" applyProtection="0">
      <alignment vertical="center"/>
    </xf>
    <xf numFmtId="0" fontId="200" fillId="59" borderId="43" applyNumberFormat="0" applyAlignment="0" applyProtection="0">
      <alignment vertical="center"/>
    </xf>
    <xf numFmtId="0" fontId="200" fillId="59" borderId="43" applyNumberFormat="0" applyAlignment="0" applyProtection="0">
      <alignment vertical="center"/>
    </xf>
    <xf numFmtId="0" fontId="200" fillId="59" borderId="43" applyNumberFormat="0" applyAlignment="0" applyProtection="0">
      <alignment vertical="center"/>
    </xf>
    <xf numFmtId="0" fontId="200" fillId="59" borderId="43" applyNumberFormat="0" applyAlignment="0" applyProtection="0">
      <alignment vertical="center"/>
    </xf>
    <xf numFmtId="0" fontId="200" fillId="59" borderId="43" applyNumberFormat="0" applyAlignment="0" applyProtection="0">
      <alignment vertical="center"/>
    </xf>
    <xf numFmtId="0" fontId="200" fillId="59" borderId="43" applyNumberFormat="0" applyAlignment="0" applyProtection="0">
      <alignment vertical="center"/>
    </xf>
    <xf numFmtId="0" fontId="200" fillId="59" borderId="43" applyNumberFormat="0" applyAlignment="0" applyProtection="0">
      <alignment vertical="center"/>
    </xf>
    <xf numFmtId="0" fontId="200" fillId="59" borderId="43" applyNumberFormat="0" applyAlignment="0" applyProtection="0">
      <alignment vertical="center"/>
    </xf>
    <xf numFmtId="0" fontId="200" fillId="59" borderId="43" applyNumberFormat="0" applyAlignment="0" applyProtection="0">
      <alignment vertical="center"/>
    </xf>
    <xf numFmtId="0" fontId="200" fillId="59" borderId="43" applyNumberFormat="0" applyAlignment="0" applyProtection="0">
      <alignment vertical="center"/>
    </xf>
    <xf numFmtId="0" fontId="200" fillId="59" borderId="43" applyNumberFormat="0" applyAlignment="0" applyProtection="0">
      <alignment vertical="center"/>
    </xf>
    <xf numFmtId="0" fontId="200" fillId="59" borderId="43" applyNumberFormat="0" applyAlignment="0" applyProtection="0">
      <alignment vertical="center"/>
    </xf>
    <xf numFmtId="0" fontId="200" fillId="59" borderId="43" applyNumberFormat="0" applyAlignment="0" applyProtection="0">
      <alignment vertical="center"/>
    </xf>
    <xf numFmtId="0" fontId="200" fillId="59" borderId="43" applyNumberFormat="0" applyAlignment="0" applyProtection="0">
      <alignment vertical="center"/>
    </xf>
    <xf numFmtId="0" fontId="200" fillId="59" borderId="43" applyNumberFormat="0" applyAlignment="0" applyProtection="0">
      <alignment vertical="center"/>
    </xf>
    <xf numFmtId="0" fontId="200" fillId="59" borderId="43" applyNumberFormat="0" applyAlignment="0" applyProtection="0">
      <alignment vertical="center"/>
    </xf>
    <xf numFmtId="0" fontId="200" fillId="59" borderId="43" applyNumberFormat="0" applyAlignment="0" applyProtection="0">
      <alignment vertical="center"/>
    </xf>
    <xf numFmtId="0" fontId="200" fillId="59" borderId="43" applyNumberFormat="0" applyAlignment="0" applyProtection="0">
      <alignment vertical="center"/>
    </xf>
    <xf numFmtId="0" fontId="200" fillId="59" borderId="43" applyNumberFormat="0" applyAlignment="0" applyProtection="0">
      <alignment vertical="center"/>
    </xf>
    <xf numFmtId="180" fontId="20" fillId="3" borderId="3">
      <alignment horizontal="right" vertical="center"/>
      <protection locked="0"/>
    </xf>
    <xf numFmtId="180" fontId="20" fillId="3" borderId="3">
      <alignment horizontal="right" vertical="center"/>
      <protection locked="0"/>
    </xf>
    <xf numFmtId="180" fontId="20" fillId="3" borderId="3">
      <alignment horizontal="right" vertical="center"/>
      <protection locked="0"/>
    </xf>
    <xf numFmtId="180" fontId="20" fillId="3" borderId="3">
      <alignment horizontal="right" vertical="center"/>
      <protection locked="0"/>
    </xf>
    <xf numFmtId="180" fontId="20" fillId="3" borderId="3">
      <alignment horizontal="right" vertical="center"/>
      <protection locked="0"/>
    </xf>
    <xf numFmtId="180" fontId="20" fillId="3" borderId="3">
      <alignment horizontal="right" vertical="center"/>
      <protection locked="0"/>
    </xf>
    <xf numFmtId="180" fontId="20" fillId="3" borderId="3">
      <alignment horizontal="right" vertical="center"/>
      <protection locked="0"/>
    </xf>
    <xf numFmtId="180" fontId="20" fillId="3" borderId="3">
      <alignment horizontal="right" vertical="center"/>
      <protection locked="0"/>
    </xf>
    <xf numFmtId="180" fontId="20" fillId="3" borderId="3">
      <alignment horizontal="right" vertical="center"/>
      <protection locked="0"/>
    </xf>
    <xf numFmtId="180" fontId="20" fillId="3" borderId="3">
      <alignment horizontal="right" vertical="center"/>
      <protection locked="0"/>
    </xf>
    <xf numFmtId="180" fontId="20" fillId="3" borderId="3">
      <alignment horizontal="right" vertical="center"/>
      <protection locked="0"/>
    </xf>
    <xf numFmtId="180" fontId="20" fillId="3" borderId="3">
      <alignment horizontal="right" vertical="center"/>
      <protection locked="0"/>
    </xf>
    <xf numFmtId="180" fontId="20" fillId="3" borderId="3">
      <alignment horizontal="right" vertical="center"/>
      <protection locked="0"/>
    </xf>
    <xf numFmtId="180" fontId="20" fillId="3" borderId="3">
      <alignment horizontal="right" vertical="center"/>
      <protection locked="0"/>
    </xf>
    <xf numFmtId="180" fontId="20" fillId="3" borderId="3">
      <alignment horizontal="right" vertical="center"/>
      <protection locked="0"/>
    </xf>
    <xf numFmtId="180" fontId="20" fillId="3" borderId="3">
      <alignment horizontal="right" vertical="center"/>
      <protection locked="0"/>
    </xf>
    <xf numFmtId="180" fontId="20" fillId="3" borderId="3">
      <alignment horizontal="right" vertical="center"/>
      <protection locked="0"/>
    </xf>
    <xf numFmtId="180" fontId="20" fillId="3" borderId="3">
      <alignment horizontal="right" vertical="center"/>
      <protection locked="0"/>
    </xf>
    <xf numFmtId="180" fontId="20" fillId="3" borderId="3">
      <alignment horizontal="right" vertical="center"/>
      <protection locked="0"/>
    </xf>
    <xf numFmtId="180" fontId="20" fillId="3" borderId="3">
      <alignment horizontal="right" vertical="center"/>
      <protection locked="0"/>
    </xf>
    <xf numFmtId="180" fontId="20" fillId="3" borderId="3">
      <alignment horizontal="right" vertical="center"/>
      <protection locked="0"/>
    </xf>
    <xf numFmtId="180" fontId="20" fillId="3" borderId="3">
      <alignment horizontal="right" vertical="center"/>
      <protection locked="0"/>
    </xf>
    <xf numFmtId="180" fontId="20" fillId="3" borderId="3">
      <alignment horizontal="right" vertical="center"/>
      <protection locked="0"/>
    </xf>
    <xf numFmtId="180" fontId="20" fillId="3" borderId="3">
      <alignment horizontal="right" vertical="center"/>
      <protection locked="0"/>
    </xf>
    <xf numFmtId="180" fontId="20" fillId="3" borderId="3">
      <alignment horizontal="right" vertical="center"/>
      <protection locked="0"/>
    </xf>
    <xf numFmtId="180" fontId="20" fillId="3" borderId="3">
      <alignment horizontal="right" vertical="center"/>
      <protection locked="0"/>
    </xf>
    <xf numFmtId="180" fontId="20" fillId="3" borderId="3">
      <alignment horizontal="right" vertical="center"/>
      <protection locked="0"/>
    </xf>
    <xf numFmtId="180" fontId="20" fillId="3" borderId="3">
      <alignment horizontal="right" vertical="center"/>
      <protection locked="0"/>
    </xf>
    <xf numFmtId="180" fontId="20" fillId="3" borderId="3">
      <alignment horizontal="right" vertical="center"/>
      <protection locked="0"/>
    </xf>
    <xf numFmtId="180" fontId="20" fillId="3" borderId="3">
      <alignment horizontal="right" vertical="center"/>
      <protection locked="0"/>
    </xf>
    <xf numFmtId="180" fontId="20" fillId="3" borderId="3">
      <alignment horizontal="right" vertical="center"/>
      <protection locked="0"/>
    </xf>
    <xf numFmtId="180" fontId="20" fillId="3" borderId="3">
      <alignment horizontal="right" vertical="center"/>
      <protection locked="0"/>
    </xf>
    <xf numFmtId="180" fontId="20" fillId="3" borderId="3">
      <alignment horizontal="right" vertical="center"/>
      <protection locked="0"/>
    </xf>
    <xf numFmtId="180" fontId="20" fillId="3" borderId="3">
      <alignment horizontal="right" vertical="center"/>
      <protection locked="0"/>
    </xf>
    <xf numFmtId="180" fontId="20" fillId="3" borderId="3">
      <alignment horizontal="right" vertical="center"/>
      <protection locked="0"/>
    </xf>
    <xf numFmtId="180" fontId="20" fillId="3" borderId="3">
      <alignment horizontal="right" vertical="center"/>
      <protection locked="0"/>
    </xf>
    <xf numFmtId="180" fontId="20" fillId="3" borderId="3">
      <alignment horizontal="right" vertical="center"/>
      <protection locked="0"/>
    </xf>
    <xf numFmtId="180" fontId="20" fillId="3" borderId="3">
      <alignment horizontal="right" vertical="center"/>
      <protection locked="0"/>
    </xf>
    <xf numFmtId="180" fontId="20" fillId="3" borderId="3">
      <alignment horizontal="right" vertical="center"/>
      <protection locked="0"/>
    </xf>
    <xf numFmtId="180" fontId="20" fillId="3" borderId="3">
      <alignment horizontal="right" vertical="center"/>
      <protection locked="0"/>
    </xf>
    <xf numFmtId="180" fontId="20" fillId="3" borderId="3">
      <alignment horizontal="right" vertical="center"/>
      <protection locked="0"/>
    </xf>
    <xf numFmtId="180" fontId="20" fillId="3" borderId="3">
      <alignment horizontal="right" vertical="center"/>
      <protection locked="0"/>
    </xf>
    <xf numFmtId="180" fontId="20" fillId="3" borderId="3">
      <alignment horizontal="right" vertical="center"/>
      <protection locked="0"/>
    </xf>
    <xf numFmtId="180" fontId="20" fillId="3" borderId="3">
      <alignment horizontal="right" vertical="center"/>
      <protection locked="0"/>
    </xf>
    <xf numFmtId="0" fontId="201" fillId="0" borderId="0">
      <alignment vertical="center"/>
    </xf>
    <xf numFmtId="180" fontId="20" fillId="3" borderId="3">
      <alignment horizontal="right" vertical="center"/>
      <protection locked="0"/>
    </xf>
    <xf numFmtId="177" fontId="19" fillId="0" borderId="0" applyFont="0" applyFill="0" applyBorder="0" applyAlignment="0" applyProtection="0">
      <alignment vertical="center"/>
    </xf>
    <xf numFmtId="177" fontId="19" fillId="0" borderId="0" applyFont="0" applyFill="0" applyBorder="0" applyAlignment="0" applyProtection="0">
      <alignment vertical="center"/>
    </xf>
    <xf numFmtId="177" fontId="19" fillId="0" borderId="0" applyFont="0" applyFill="0" applyBorder="0" applyAlignment="0" applyProtection="0">
      <alignment vertical="center"/>
    </xf>
    <xf numFmtId="177" fontId="19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9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/>
    <xf numFmtId="177" fontId="19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177" fontId="19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19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202" fillId="0" borderId="0" applyFont="0" applyFill="0" applyBorder="0" applyAlignment="0" applyProtection="0">
      <alignment vertical="center"/>
    </xf>
    <xf numFmtId="179" fontId="5" fillId="0" borderId="0" applyFont="0" applyFill="0" applyBorder="0" applyAlignment="0" applyProtection="0">
      <alignment vertical="center"/>
    </xf>
    <xf numFmtId="0" fontId="17" fillId="0" borderId="0" applyFont="0" applyFill="0" applyBorder="0" applyAlignment="0" applyProtection="0"/>
    <xf numFmtId="184" fontId="25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84" fontId="25" fillId="0" borderId="0" applyFont="0" applyFill="0" applyBorder="0" applyAlignment="0" applyProtection="0"/>
    <xf numFmtId="184" fontId="25" fillId="0" borderId="0" applyFont="0" applyFill="0" applyBorder="0" applyAlignment="0" applyProtection="0"/>
    <xf numFmtId="0" fontId="8" fillId="0" borderId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184" fontId="25" fillId="0" borderId="0" applyFont="0" applyFill="0" applyBorder="0" applyAlignment="0" applyProtection="0"/>
    <xf numFmtId="273" fontId="25" fillId="0" borderId="9"/>
    <xf numFmtId="0" fontId="93" fillId="0" borderId="0"/>
    <xf numFmtId="291" fontId="191" fillId="0" borderId="0">
      <alignment horizontal="center"/>
    </xf>
    <xf numFmtId="292" fontId="203" fillId="0" borderId="0" applyFont="0">
      <protection locked="0"/>
    </xf>
    <xf numFmtId="293" fontId="25" fillId="0" borderId="0"/>
    <xf numFmtId="294" fontId="25" fillId="0" borderId="0"/>
    <xf numFmtId="0" fontId="204" fillId="0" borderId="40" applyNumberFormat="0" applyFill="0" applyAlignment="0" applyProtection="0">
      <alignment vertical="center"/>
    </xf>
    <xf numFmtId="295" fontId="25" fillId="0" borderId="0"/>
    <xf numFmtId="0" fontId="205" fillId="0" borderId="0" applyNumberFormat="0" applyFill="0" applyBorder="0" applyAlignment="0" applyProtection="0">
      <alignment vertical="top"/>
      <protection locked="0"/>
    </xf>
    <xf numFmtId="0" fontId="206" fillId="0" borderId="52" applyNumberFormat="0" applyFill="0" applyAlignment="0" applyProtection="0">
      <alignment vertical="center"/>
    </xf>
    <xf numFmtId="0" fontId="206" fillId="0" borderId="52" applyNumberFormat="0" applyFill="0" applyAlignment="0" applyProtection="0">
      <alignment vertical="center"/>
    </xf>
    <xf numFmtId="0" fontId="206" fillId="0" borderId="52" applyNumberFormat="0" applyFill="0" applyAlignment="0" applyProtection="0">
      <alignment vertical="center"/>
    </xf>
    <xf numFmtId="0" fontId="206" fillId="0" borderId="52" applyNumberFormat="0" applyFill="0" applyAlignment="0" applyProtection="0">
      <alignment vertical="center"/>
    </xf>
    <xf numFmtId="0" fontId="206" fillId="0" borderId="52" applyNumberFormat="0" applyFill="0" applyAlignment="0" applyProtection="0">
      <alignment vertical="center"/>
    </xf>
    <xf numFmtId="0" fontId="206" fillId="0" borderId="52" applyNumberFormat="0" applyFill="0" applyAlignment="0" applyProtection="0">
      <alignment vertical="center"/>
    </xf>
    <xf numFmtId="0" fontId="206" fillId="0" borderId="52" applyNumberFormat="0" applyFill="0" applyAlignment="0" applyProtection="0">
      <alignment vertical="center"/>
    </xf>
    <xf numFmtId="0" fontId="206" fillId="0" borderId="52" applyNumberFormat="0" applyFill="0" applyAlignment="0" applyProtection="0">
      <alignment vertical="center"/>
    </xf>
    <xf numFmtId="0" fontId="206" fillId="0" borderId="52" applyNumberFormat="0" applyFill="0" applyAlignment="0" applyProtection="0">
      <alignment vertical="center"/>
    </xf>
    <xf numFmtId="0" fontId="206" fillId="0" borderId="52" applyNumberFormat="0" applyFill="0" applyAlignment="0" applyProtection="0">
      <alignment vertical="center"/>
    </xf>
    <xf numFmtId="0" fontId="206" fillId="0" borderId="52" applyNumberFormat="0" applyFill="0" applyAlignment="0" applyProtection="0">
      <alignment vertical="center"/>
    </xf>
    <xf numFmtId="0" fontId="206" fillId="0" borderId="52" applyNumberFormat="0" applyFill="0" applyAlignment="0" applyProtection="0">
      <alignment vertical="center"/>
    </xf>
    <xf numFmtId="0" fontId="206" fillId="0" borderId="52" applyNumberFormat="0" applyFill="0" applyAlignment="0" applyProtection="0">
      <alignment vertical="center"/>
    </xf>
    <xf numFmtId="0" fontId="206" fillId="0" borderId="52" applyNumberFormat="0" applyFill="0" applyAlignment="0" applyProtection="0">
      <alignment vertical="center"/>
    </xf>
    <xf numFmtId="0" fontId="206" fillId="0" borderId="52" applyNumberFormat="0" applyFill="0" applyAlignment="0" applyProtection="0">
      <alignment vertical="center"/>
    </xf>
    <xf numFmtId="0" fontId="206" fillId="0" borderId="52" applyNumberFormat="0" applyFill="0" applyAlignment="0" applyProtection="0">
      <alignment vertical="center"/>
    </xf>
    <xf numFmtId="0" fontId="206" fillId="0" borderId="52" applyNumberFormat="0" applyFill="0" applyAlignment="0" applyProtection="0">
      <alignment vertical="center"/>
    </xf>
    <xf numFmtId="0" fontId="206" fillId="0" borderId="52" applyNumberFormat="0" applyFill="0" applyAlignment="0" applyProtection="0">
      <alignment vertical="center"/>
    </xf>
    <xf numFmtId="0" fontId="206" fillId="0" borderId="52" applyNumberFormat="0" applyFill="0" applyAlignment="0" applyProtection="0">
      <alignment vertical="center"/>
    </xf>
    <xf numFmtId="0" fontId="206" fillId="0" borderId="52" applyNumberFormat="0" applyFill="0" applyAlignment="0" applyProtection="0">
      <alignment vertical="center"/>
    </xf>
    <xf numFmtId="0" fontId="206" fillId="0" borderId="52" applyNumberFormat="0" applyFill="0" applyAlignment="0" applyProtection="0">
      <alignment vertical="center"/>
    </xf>
    <xf numFmtId="0" fontId="206" fillId="0" borderId="52" applyNumberFormat="0" applyFill="0" applyAlignment="0" applyProtection="0">
      <alignment vertical="center"/>
    </xf>
    <xf numFmtId="0" fontId="206" fillId="0" borderId="52" applyNumberFormat="0" applyFill="0" applyAlignment="0" applyProtection="0">
      <alignment vertical="center"/>
    </xf>
    <xf numFmtId="0" fontId="206" fillId="0" borderId="52" applyNumberFormat="0" applyFill="0" applyAlignment="0" applyProtection="0">
      <alignment vertical="center"/>
    </xf>
    <xf numFmtId="0" fontId="206" fillId="0" borderId="52" applyNumberFormat="0" applyFill="0" applyAlignment="0" applyProtection="0">
      <alignment vertical="center"/>
    </xf>
    <xf numFmtId="0" fontId="206" fillId="0" borderId="52" applyNumberFormat="0" applyFill="0" applyAlignment="0" applyProtection="0">
      <alignment vertical="center"/>
    </xf>
    <xf numFmtId="0" fontId="206" fillId="0" borderId="52" applyNumberFormat="0" applyFill="0" applyAlignment="0" applyProtection="0">
      <alignment vertical="center"/>
    </xf>
    <xf numFmtId="0" fontId="206" fillId="0" borderId="52" applyNumberFormat="0" applyFill="0" applyAlignment="0" applyProtection="0">
      <alignment vertical="center"/>
    </xf>
    <xf numFmtId="0" fontId="206" fillId="0" borderId="52" applyNumberFormat="0" applyFill="0" applyAlignment="0" applyProtection="0">
      <alignment vertical="center"/>
    </xf>
    <xf numFmtId="0" fontId="206" fillId="0" borderId="52" applyNumberFormat="0" applyFill="0" applyAlignment="0" applyProtection="0">
      <alignment vertical="center"/>
    </xf>
    <xf numFmtId="0" fontId="206" fillId="0" borderId="52" applyNumberFormat="0" applyFill="0" applyAlignment="0" applyProtection="0">
      <alignment vertical="center"/>
    </xf>
    <xf numFmtId="0" fontId="206" fillId="0" borderId="52" applyNumberFormat="0" applyFill="0" applyAlignment="0" applyProtection="0">
      <alignment vertical="center"/>
    </xf>
    <xf numFmtId="0" fontId="206" fillId="0" borderId="52" applyNumberFormat="0" applyFill="0" applyAlignment="0" applyProtection="0">
      <alignment vertical="center"/>
    </xf>
    <xf numFmtId="0" fontId="206" fillId="0" borderId="52" applyNumberFormat="0" applyFill="0" applyAlignment="0" applyProtection="0">
      <alignment vertical="center"/>
    </xf>
    <xf numFmtId="0" fontId="206" fillId="0" borderId="52" applyNumberFormat="0" applyFill="0" applyAlignment="0" applyProtection="0">
      <alignment vertical="center"/>
    </xf>
    <xf numFmtId="0" fontId="206" fillId="0" borderId="52" applyNumberFormat="0" applyFill="0" applyAlignment="0" applyProtection="0">
      <alignment vertical="center"/>
    </xf>
    <xf numFmtId="0" fontId="206" fillId="0" borderId="52" applyNumberFormat="0" applyFill="0" applyAlignment="0" applyProtection="0">
      <alignment vertical="center"/>
    </xf>
    <xf numFmtId="0" fontId="206" fillId="0" borderId="52" applyNumberFormat="0" applyFill="0" applyAlignment="0" applyProtection="0">
      <alignment vertical="center"/>
    </xf>
    <xf numFmtId="0" fontId="206" fillId="0" borderId="52" applyNumberFormat="0" applyFill="0" applyAlignment="0" applyProtection="0">
      <alignment vertical="center"/>
    </xf>
    <xf numFmtId="0" fontId="206" fillId="0" borderId="52" applyNumberFormat="0" applyFill="0" applyAlignment="0" applyProtection="0">
      <alignment vertical="center"/>
    </xf>
    <xf numFmtId="0" fontId="206" fillId="0" borderId="52" applyNumberFormat="0" applyFill="0" applyAlignment="0" applyProtection="0">
      <alignment vertical="center"/>
    </xf>
    <xf numFmtId="0" fontId="206" fillId="0" borderId="52" applyNumberFormat="0" applyFill="0" applyAlignment="0" applyProtection="0">
      <alignment vertical="center"/>
    </xf>
    <xf numFmtId="0" fontId="206" fillId="0" borderId="52" applyNumberFormat="0" applyFill="0" applyAlignment="0" applyProtection="0">
      <alignment vertical="center"/>
    </xf>
    <xf numFmtId="0" fontId="206" fillId="0" borderId="52" applyNumberFormat="0" applyFill="0" applyAlignment="0" applyProtection="0">
      <alignment vertical="center"/>
    </xf>
    <xf numFmtId="0" fontId="206" fillId="0" borderId="52" applyNumberFormat="0" applyFill="0" applyAlignment="0" applyProtection="0">
      <alignment vertical="center"/>
    </xf>
    <xf numFmtId="0" fontId="206" fillId="0" borderId="52" applyNumberFormat="0" applyFill="0" applyAlignment="0" applyProtection="0">
      <alignment vertical="center"/>
    </xf>
    <xf numFmtId="0" fontId="206" fillId="0" borderId="52" applyNumberFormat="0" applyFill="0" applyAlignment="0" applyProtection="0">
      <alignment vertical="center"/>
    </xf>
    <xf numFmtId="0" fontId="206" fillId="0" borderId="52" applyNumberFormat="0" applyFill="0" applyAlignment="0" applyProtection="0">
      <alignment vertical="center"/>
    </xf>
    <xf numFmtId="0" fontId="206" fillId="0" borderId="52" applyNumberFormat="0" applyFill="0" applyAlignment="0" applyProtection="0">
      <alignment vertical="center"/>
    </xf>
    <xf numFmtId="0" fontId="206" fillId="0" borderId="52" applyNumberFormat="0" applyFill="0" applyAlignment="0" applyProtection="0">
      <alignment vertical="center"/>
    </xf>
    <xf numFmtId="0" fontId="206" fillId="0" borderId="52" applyNumberFormat="0" applyFill="0" applyAlignment="0" applyProtection="0">
      <alignment vertical="center"/>
    </xf>
    <xf numFmtId="0" fontId="206" fillId="0" borderId="52" applyNumberFormat="0" applyFill="0" applyAlignment="0" applyProtection="0">
      <alignment vertical="center"/>
    </xf>
    <xf numFmtId="0" fontId="206" fillId="0" borderId="52" applyNumberFormat="0" applyFill="0" applyAlignment="0" applyProtection="0">
      <alignment vertical="center"/>
    </xf>
    <xf numFmtId="0" fontId="206" fillId="0" borderId="52" applyNumberFormat="0" applyFill="0" applyAlignment="0" applyProtection="0">
      <alignment vertical="center"/>
    </xf>
    <xf numFmtId="0" fontId="206" fillId="0" borderId="52" applyNumberFormat="0" applyFill="0" applyAlignment="0" applyProtection="0">
      <alignment vertical="center"/>
    </xf>
    <xf numFmtId="0" fontId="206" fillId="0" borderId="52" applyNumberFormat="0" applyFill="0" applyAlignment="0" applyProtection="0">
      <alignment vertical="center"/>
    </xf>
    <xf numFmtId="0" fontId="206" fillId="0" borderId="52" applyNumberFormat="0" applyFill="0" applyAlignment="0" applyProtection="0">
      <alignment vertical="center"/>
    </xf>
    <xf numFmtId="0" fontId="206" fillId="0" borderId="52" applyNumberFormat="0" applyFill="0" applyAlignment="0" applyProtection="0">
      <alignment vertical="center"/>
    </xf>
    <xf numFmtId="0" fontId="206" fillId="0" borderId="52" applyNumberFormat="0" applyFill="0" applyAlignment="0" applyProtection="0">
      <alignment vertical="center"/>
    </xf>
    <xf numFmtId="0" fontId="206" fillId="0" borderId="52" applyNumberFormat="0" applyFill="0" applyAlignment="0" applyProtection="0">
      <alignment vertical="center"/>
    </xf>
    <xf numFmtId="296" fontId="25" fillId="0" borderId="0" applyFont="0" applyFill="0" applyBorder="0" applyAlignment="0" applyProtection="0"/>
    <xf numFmtId="296" fontId="25" fillId="0" borderId="0" applyFont="0" applyFill="0" applyBorder="0" applyAlignment="0" applyProtection="0"/>
    <xf numFmtId="296" fontId="25" fillId="0" borderId="0" applyFont="0" applyFill="0" applyBorder="0" applyAlignment="0" applyProtection="0"/>
    <xf numFmtId="297" fontId="5" fillId="0" borderId="0" applyFont="0" applyFill="0" applyBorder="0" applyAlignment="0" applyProtection="0"/>
    <xf numFmtId="228" fontId="68" fillId="0" borderId="0" applyFont="0" applyFill="0" applyBorder="0" applyAlignment="0" applyProtection="0"/>
    <xf numFmtId="0" fontId="29" fillId="0" borderId="53">
      <alignment vertical="justify" wrapText="1"/>
    </xf>
    <xf numFmtId="0" fontId="29" fillId="0" borderId="53">
      <alignment vertical="justify" wrapText="1"/>
    </xf>
    <xf numFmtId="0" fontId="29" fillId="0" borderId="53">
      <alignment vertical="justify" wrapText="1"/>
    </xf>
    <xf numFmtId="0" fontId="29" fillId="0" borderId="53">
      <alignment vertical="justify" wrapText="1"/>
    </xf>
    <xf numFmtId="0" fontId="29" fillId="0" borderId="53">
      <alignment vertical="justify" wrapText="1"/>
    </xf>
    <xf numFmtId="0" fontId="29" fillId="0" borderId="53">
      <alignment vertical="justify" wrapText="1"/>
    </xf>
    <xf numFmtId="0" fontId="29" fillId="0" borderId="53">
      <alignment vertical="justify" wrapText="1"/>
    </xf>
    <xf numFmtId="0" fontId="29" fillId="0" borderId="53">
      <alignment vertical="justify" wrapText="1"/>
    </xf>
    <xf numFmtId="0" fontId="29" fillId="0" borderId="53">
      <alignment vertical="justify" wrapText="1"/>
    </xf>
    <xf numFmtId="0" fontId="29" fillId="0" borderId="53">
      <alignment vertical="justify" wrapText="1"/>
    </xf>
    <xf numFmtId="0" fontId="29" fillId="0" borderId="53">
      <alignment vertical="justify" wrapText="1"/>
    </xf>
    <xf numFmtId="0" fontId="29" fillId="0" borderId="53">
      <alignment vertical="justify" wrapText="1"/>
    </xf>
    <xf numFmtId="0" fontId="29" fillId="0" borderId="53">
      <alignment vertical="justify" wrapText="1"/>
    </xf>
    <xf numFmtId="0" fontId="29" fillId="0" borderId="53">
      <alignment vertical="justify" wrapText="1"/>
    </xf>
    <xf numFmtId="0" fontId="29" fillId="0" borderId="53">
      <alignment vertical="justify" wrapText="1"/>
    </xf>
    <xf numFmtId="0" fontId="29" fillId="0" borderId="53">
      <alignment vertical="justify" wrapText="1"/>
    </xf>
    <xf numFmtId="0" fontId="29" fillId="0" borderId="53">
      <alignment vertical="justify" wrapText="1"/>
    </xf>
    <xf numFmtId="0" fontId="29" fillId="0" borderId="53">
      <alignment vertical="justify" wrapText="1"/>
    </xf>
    <xf numFmtId="0" fontId="29" fillId="0" borderId="53">
      <alignment vertical="justify" wrapText="1"/>
    </xf>
    <xf numFmtId="0" fontId="29" fillId="0" borderId="53">
      <alignment vertical="justify" wrapText="1"/>
    </xf>
    <xf numFmtId="0" fontId="29" fillId="0" borderId="53">
      <alignment vertical="justify" wrapText="1"/>
    </xf>
    <xf numFmtId="0" fontId="29" fillId="0" borderId="53">
      <alignment vertical="justify" wrapText="1"/>
    </xf>
    <xf numFmtId="0" fontId="29" fillId="0" borderId="53">
      <alignment vertical="justify" wrapText="1"/>
    </xf>
    <xf numFmtId="0" fontId="29" fillId="0" borderId="53">
      <alignment vertical="justify" wrapText="1"/>
    </xf>
    <xf numFmtId="0" fontId="29" fillId="0" borderId="53">
      <alignment vertical="justify" wrapText="1"/>
    </xf>
    <xf numFmtId="0" fontId="29" fillId="0" borderId="53">
      <alignment vertical="justify" wrapText="1"/>
    </xf>
    <xf numFmtId="0" fontId="29" fillId="0" borderId="53">
      <alignment vertical="justify" wrapText="1"/>
    </xf>
    <xf numFmtId="0" fontId="29" fillId="0" borderId="53">
      <alignment vertical="justify" wrapText="1"/>
    </xf>
    <xf numFmtId="0" fontId="29" fillId="0" borderId="53">
      <alignment vertical="justify" wrapText="1"/>
    </xf>
    <xf numFmtId="0" fontId="29" fillId="0" borderId="53">
      <alignment vertical="justify" wrapText="1"/>
    </xf>
    <xf numFmtId="0" fontId="29" fillId="0" borderId="53">
      <alignment vertical="justify" wrapText="1"/>
    </xf>
    <xf numFmtId="0" fontId="29" fillId="0" borderId="53">
      <alignment vertical="justify" wrapText="1"/>
    </xf>
    <xf numFmtId="0" fontId="29" fillId="0" borderId="53">
      <alignment vertical="justify" wrapText="1"/>
    </xf>
    <xf numFmtId="0" fontId="29" fillId="0" borderId="53">
      <alignment vertical="justify" wrapText="1"/>
    </xf>
    <xf numFmtId="0" fontId="29" fillId="0" borderId="53">
      <alignment vertical="justify" wrapText="1"/>
    </xf>
    <xf numFmtId="0" fontId="29" fillId="0" borderId="53">
      <alignment vertical="justify" wrapText="1"/>
    </xf>
    <xf numFmtId="0" fontId="29" fillId="0" borderId="53">
      <alignment vertical="justify" wrapText="1"/>
    </xf>
    <xf numFmtId="0" fontId="29" fillId="0" borderId="53">
      <alignment vertical="justify" wrapText="1"/>
    </xf>
    <xf numFmtId="0" fontId="29" fillId="0" borderId="53">
      <alignment vertical="justify" wrapText="1"/>
    </xf>
    <xf numFmtId="0" fontId="29" fillId="0" borderId="53">
      <alignment vertical="justify" wrapText="1"/>
    </xf>
    <xf numFmtId="0" fontId="29" fillId="0" borderId="53">
      <alignment vertical="justify" wrapText="1"/>
    </xf>
    <xf numFmtId="0" fontId="29" fillId="0" borderId="53">
      <alignment vertical="justify" wrapText="1"/>
    </xf>
    <xf numFmtId="0" fontId="29" fillId="0" borderId="53">
      <alignment vertical="justify" wrapText="1"/>
    </xf>
    <xf numFmtId="0" fontId="29" fillId="0" borderId="53">
      <alignment vertical="justify" wrapText="1"/>
    </xf>
    <xf numFmtId="0" fontId="29" fillId="0" borderId="53">
      <alignment vertical="justify" wrapText="1"/>
    </xf>
    <xf numFmtId="0" fontId="29" fillId="0" borderId="53">
      <alignment vertical="justify" wrapText="1"/>
    </xf>
    <xf numFmtId="0" fontId="29" fillId="0" borderId="53">
      <alignment vertical="justify" wrapText="1"/>
    </xf>
    <xf numFmtId="0" fontId="29" fillId="0" borderId="53">
      <alignment vertical="justify" wrapText="1"/>
    </xf>
    <xf numFmtId="0" fontId="29" fillId="0" borderId="53">
      <alignment vertical="justify" wrapText="1"/>
    </xf>
    <xf numFmtId="0" fontId="29" fillId="0" borderId="53">
      <alignment vertical="justify" wrapText="1"/>
    </xf>
    <xf numFmtId="0" fontId="29" fillId="0" borderId="53">
      <alignment vertical="justify" wrapText="1"/>
    </xf>
    <xf numFmtId="0" fontId="29" fillId="0" borderId="53">
      <alignment vertical="justify" wrapText="1"/>
    </xf>
    <xf numFmtId="0" fontId="29" fillId="0" borderId="53">
      <alignment vertical="justify" wrapText="1"/>
    </xf>
    <xf numFmtId="0" fontId="29" fillId="0" borderId="53">
      <alignment vertical="justify" wrapText="1"/>
    </xf>
    <xf numFmtId="0" fontId="29" fillId="0" borderId="53">
      <alignment vertical="justify" wrapText="1"/>
    </xf>
    <xf numFmtId="0" fontId="29" fillId="0" borderId="53">
      <alignment vertical="justify" wrapText="1"/>
    </xf>
    <xf numFmtId="0" fontId="29" fillId="0" borderId="53">
      <alignment vertical="justify" wrapText="1"/>
    </xf>
    <xf numFmtId="0" fontId="29" fillId="0" borderId="53">
      <alignment vertical="justify" wrapText="1"/>
    </xf>
    <xf numFmtId="0" fontId="29" fillId="0" borderId="53">
      <alignment vertical="justify" wrapText="1"/>
    </xf>
    <xf numFmtId="0" fontId="29" fillId="0" borderId="53">
      <alignment vertical="justify" wrapText="1"/>
    </xf>
    <xf numFmtId="228" fontId="27" fillId="0" borderId="20">
      <alignment horizontal="left"/>
    </xf>
    <xf numFmtId="0" fontId="62" fillId="0" borderId="0"/>
    <xf numFmtId="0" fontId="207" fillId="33" borderId="35" applyNumberFormat="0" applyAlignment="0" applyProtection="0">
      <alignment vertical="center"/>
    </xf>
    <xf numFmtId="0" fontId="207" fillId="33" borderId="35" applyNumberFormat="0" applyAlignment="0" applyProtection="0">
      <alignment vertical="center"/>
    </xf>
    <xf numFmtId="0" fontId="207" fillId="33" borderId="35" applyNumberFormat="0" applyAlignment="0" applyProtection="0">
      <alignment vertical="center"/>
    </xf>
    <xf numFmtId="0" fontId="207" fillId="33" borderId="35" applyNumberFormat="0" applyAlignment="0" applyProtection="0">
      <alignment vertical="center"/>
    </xf>
    <xf numFmtId="0" fontId="207" fillId="33" borderId="35" applyNumberFormat="0" applyAlignment="0" applyProtection="0">
      <alignment vertical="center"/>
    </xf>
    <xf numFmtId="0" fontId="207" fillId="33" borderId="35" applyNumberFormat="0" applyAlignment="0" applyProtection="0">
      <alignment vertical="center"/>
    </xf>
    <xf numFmtId="0" fontId="207" fillId="33" borderId="35" applyNumberFormat="0" applyAlignment="0" applyProtection="0">
      <alignment vertical="center"/>
    </xf>
    <xf numFmtId="0" fontId="207" fillId="33" borderId="35" applyNumberFormat="0" applyAlignment="0" applyProtection="0">
      <alignment vertical="center"/>
    </xf>
    <xf numFmtId="0" fontId="207" fillId="33" borderId="35" applyNumberFormat="0" applyAlignment="0" applyProtection="0">
      <alignment vertical="center"/>
    </xf>
    <xf numFmtId="0" fontId="207" fillId="33" borderId="35" applyNumberFormat="0" applyAlignment="0" applyProtection="0">
      <alignment vertical="center"/>
    </xf>
    <xf numFmtId="0" fontId="207" fillId="33" borderId="35" applyNumberFormat="0" applyAlignment="0" applyProtection="0">
      <alignment vertical="center"/>
    </xf>
    <xf numFmtId="0" fontId="207" fillId="33" borderId="35" applyNumberFormat="0" applyAlignment="0" applyProtection="0">
      <alignment vertical="center"/>
    </xf>
    <xf numFmtId="0" fontId="207" fillId="33" borderId="35" applyNumberFormat="0" applyAlignment="0" applyProtection="0">
      <alignment vertical="center"/>
    </xf>
    <xf numFmtId="0" fontId="207" fillId="33" borderId="35" applyNumberFormat="0" applyAlignment="0" applyProtection="0">
      <alignment vertical="center"/>
    </xf>
    <xf numFmtId="0" fontId="207" fillId="33" borderId="35" applyNumberFormat="0" applyAlignment="0" applyProtection="0">
      <alignment vertical="center"/>
    </xf>
    <xf numFmtId="0" fontId="207" fillId="33" borderId="35" applyNumberFormat="0" applyAlignment="0" applyProtection="0">
      <alignment vertical="center"/>
    </xf>
    <xf numFmtId="0" fontId="207" fillId="33" borderId="35" applyNumberFormat="0" applyAlignment="0" applyProtection="0">
      <alignment vertical="center"/>
    </xf>
    <xf numFmtId="0" fontId="207" fillId="33" borderId="35" applyNumberFormat="0" applyAlignment="0" applyProtection="0">
      <alignment vertical="center"/>
    </xf>
    <xf numFmtId="0" fontId="207" fillId="33" borderId="35" applyNumberFormat="0" applyAlignment="0" applyProtection="0">
      <alignment vertical="center"/>
    </xf>
    <xf numFmtId="0" fontId="207" fillId="33" borderId="35" applyNumberFormat="0" applyAlignment="0" applyProtection="0">
      <alignment vertical="center"/>
    </xf>
    <xf numFmtId="0" fontId="207" fillId="33" borderId="35" applyNumberFormat="0" applyAlignment="0" applyProtection="0">
      <alignment vertical="center"/>
    </xf>
    <xf numFmtId="0" fontId="207" fillId="33" borderId="35" applyNumberFormat="0" applyAlignment="0" applyProtection="0">
      <alignment vertical="center"/>
    </xf>
    <xf numFmtId="0" fontId="207" fillId="33" borderId="35" applyNumberFormat="0" applyAlignment="0" applyProtection="0">
      <alignment vertical="center"/>
    </xf>
    <xf numFmtId="0" fontId="207" fillId="33" borderId="35" applyNumberFormat="0" applyAlignment="0" applyProtection="0">
      <alignment vertical="center"/>
    </xf>
    <xf numFmtId="0" fontId="207" fillId="33" borderId="35" applyNumberFormat="0" applyAlignment="0" applyProtection="0">
      <alignment vertical="center"/>
    </xf>
    <xf numFmtId="0" fontId="207" fillId="33" borderId="35" applyNumberFormat="0" applyAlignment="0" applyProtection="0">
      <alignment vertical="center"/>
    </xf>
    <xf numFmtId="0" fontId="207" fillId="33" borderId="35" applyNumberFormat="0" applyAlignment="0" applyProtection="0">
      <alignment vertical="center"/>
    </xf>
    <xf numFmtId="0" fontId="207" fillId="33" borderId="35" applyNumberFormat="0" applyAlignment="0" applyProtection="0">
      <alignment vertical="center"/>
    </xf>
    <xf numFmtId="0" fontId="207" fillId="33" borderId="35" applyNumberFormat="0" applyAlignment="0" applyProtection="0">
      <alignment vertical="center"/>
    </xf>
    <xf numFmtId="0" fontId="207" fillId="33" borderId="35" applyNumberFormat="0" applyAlignment="0" applyProtection="0">
      <alignment vertical="center"/>
    </xf>
    <xf numFmtId="0" fontId="207" fillId="33" borderId="35" applyNumberFormat="0" applyAlignment="0" applyProtection="0">
      <alignment vertical="center"/>
    </xf>
    <xf numFmtId="0" fontId="207" fillId="33" borderId="35" applyNumberFormat="0" applyAlignment="0" applyProtection="0">
      <alignment vertical="center"/>
    </xf>
    <xf numFmtId="0" fontId="207" fillId="33" borderId="35" applyNumberFormat="0" applyAlignment="0" applyProtection="0">
      <alignment vertical="center"/>
    </xf>
    <xf numFmtId="0" fontId="207" fillId="33" borderId="35" applyNumberFormat="0" applyAlignment="0" applyProtection="0">
      <alignment vertical="center"/>
    </xf>
    <xf numFmtId="0" fontId="207" fillId="33" borderId="35" applyNumberFormat="0" applyAlignment="0" applyProtection="0">
      <alignment vertical="center"/>
    </xf>
    <xf numFmtId="0" fontId="207" fillId="33" borderId="35" applyNumberFormat="0" applyAlignment="0" applyProtection="0">
      <alignment vertical="center"/>
    </xf>
    <xf numFmtId="0" fontId="207" fillId="33" borderId="35" applyNumberFormat="0" applyAlignment="0" applyProtection="0">
      <alignment vertical="center"/>
    </xf>
    <xf numFmtId="0" fontId="207" fillId="33" borderId="35" applyNumberFormat="0" applyAlignment="0" applyProtection="0">
      <alignment vertical="center"/>
    </xf>
    <xf numFmtId="0" fontId="207" fillId="33" borderId="35" applyNumberFormat="0" applyAlignment="0" applyProtection="0">
      <alignment vertical="center"/>
    </xf>
    <xf numFmtId="0" fontId="207" fillId="33" borderId="35" applyNumberFormat="0" applyAlignment="0" applyProtection="0">
      <alignment vertical="center"/>
    </xf>
    <xf numFmtId="0" fontId="207" fillId="33" borderId="35" applyNumberFormat="0" applyAlignment="0" applyProtection="0">
      <alignment vertical="center"/>
    </xf>
    <xf numFmtId="0" fontId="207" fillId="33" borderId="35" applyNumberFormat="0" applyAlignment="0" applyProtection="0">
      <alignment vertical="center"/>
    </xf>
    <xf numFmtId="0" fontId="207" fillId="33" borderId="35" applyNumberFormat="0" applyAlignment="0" applyProtection="0">
      <alignment vertical="center"/>
    </xf>
    <xf numFmtId="0" fontId="207" fillId="33" borderId="35" applyNumberFormat="0" applyAlignment="0" applyProtection="0">
      <alignment vertical="center"/>
    </xf>
    <xf numFmtId="0" fontId="207" fillId="33" borderId="35" applyNumberFormat="0" applyAlignment="0" applyProtection="0">
      <alignment vertical="center"/>
    </xf>
    <xf numFmtId="0" fontId="207" fillId="33" borderId="35" applyNumberFormat="0" applyAlignment="0" applyProtection="0">
      <alignment vertical="center"/>
    </xf>
    <xf numFmtId="0" fontId="207" fillId="33" borderId="35" applyNumberFormat="0" applyAlignment="0" applyProtection="0">
      <alignment vertical="center"/>
    </xf>
    <xf numFmtId="0" fontId="207" fillId="33" borderId="35" applyNumberFormat="0" applyAlignment="0" applyProtection="0">
      <alignment vertical="center"/>
    </xf>
    <xf numFmtId="0" fontId="207" fillId="33" borderId="35" applyNumberFormat="0" applyAlignment="0" applyProtection="0">
      <alignment vertical="center"/>
    </xf>
    <xf numFmtId="0" fontId="207" fillId="33" borderId="35" applyNumberFormat="0" applyAlignment="0" applyProtection="0">
      <alignment vertical="center"/>
    </xf>
    <xf numFmtId="0" fontId="207" fillId="33" borderId="35" applyNumberFormat="0" applyAlignment="0" applyProtection="0">
      <alignment vertical="center"/>
    </xf>
    <xf numFmtId="0" fontId="207" fillId="33" borderId="35" applyNumberFormat="0" applyAlignment="0" applyProtection="0">
      <alignment vertical="center"/>
    </xf>
    <xf numFmtId="0" fontId="207" fillId="33" borderId="35" applyNumberFormat="0" applyAlignment="0" applyProtection="0">
      <alignment vertical="center"/>
    </xf>
    <xf numFmtId="0" fontId="207" fillId="33" borderId="35" applyNumberFormat="0" applyAlignment="0" applyProtection="0">
      <alignment vertical="center"/>
    </xf>
    <xf numFmtId="0" fontId="207" fillId="33" borderId="35" applyNumberFormat="0" applyAlignment="0" applyProtection="0">
      <alignment vertical="center"/>
    </xf>
    <xf numFmtId="0" fontId="207" fillId="33" borderId="35" applyNumberFormat="0" applyAlignment="0" applyProtection="0">
      <alignment vertical="center"/>
    </xf>
    <xf numFmtId="0" fontId="207" fillId="33" borderId="35" applyNumberFormat="0" applyAlignment="0" applyProtection="0">
      <alignment vertical="center"/>
    </xf>
    <xf numFmtId="0" fontId="207" fillId="33" borderId="35" applyNumberFormat="0" applyAlignment="0" applyProtection="0">
      <alignment vertical="center"/>
    </xf>
    <xf numFmtId="0" fontId="207" fillId="33" borderId="35" applyNumberFormat="0" applyAlignment="0" applyProtection="0">
      <alignment vertical="center"/>
    </xf>
    <xf numFmtId="0" fontId="207" fillId="33" borderId="35" applyNumberFormat="0" applyAlignment="0" applyProtection="0">
      <alignment vertical="center"/>
    </xf>
    <xf numFmtId="4" fontId="39" fillId="0" borderId="0">
      <protection locked="0"/>
    </xf>
    <xf numFmtId="0" fontId="25" fillId="0" borderId="0">
      <protection locked="0"/>
    </xf>
    <xf numFmtId="298" fontId="25" fillId="0" borderId="0">
      <alignment horizontal="center" vertical="center"/>
    </xf>
    <xf numFmtId="0" fontId="208" fillId="0" borderId="0"/>
    <xf numFmtId="299" fontId="25" fillId="0" borderId="0"/>
    <xf numFmtId="300" fontId="25" fillId="0" borderId="0"/>
    <xf numFmtId="0" fontId="209" fillId="0" borderId="54" applyNumberFormat="0" applyFill="0" applyAlignment="0" applyProtection="0">
      <alignment vertical="center"/>
    </xf>
    <xf numFmtId="0" fontId="210" fillId="0" borderId="55" applyNumberFormat="0" applyFill="0" applyAlignment="0" applyProtection="0">
      <alignment vertical="center"/>
    </xf>
    <xf numFmtId="0" fontId="211" fillId="0" borderId="56" applyNumberFormat="0" applyFill="0" applyAlignment="0" applyProtection="0">
      <alignment vertical="center"/>
    </xf>
    <xf numFmtId="0" fontId="211" fillId="0" borderId="0" applyNumberFormat="0" applyFill="0" applyBorder="0" applyAlignment="0" applyProtection="0">
      <alignment vertical="center"/>
    </xf>
    <xf numFmtId="0" fontId="212" fillId="0" borderId="0" applyNumberFormat="0" applyFill="0" applyBorder="0" applyAlignment="0" applyProtection="0">
      <alignment vertical="center"/>
    </xf>
    <xf numFmtId="301" fontId="25" fillId="0" borderId="3">
      <alignment horizontal="left" vertical="center"/>
    </xf>
    <xf numFmtId="301" fontId="25" fillId="0" borderId="3">
      <alignment horizontal="left" vertical="center"/>
    </xf>
    <xf numFmtId="301" fontId="25" fillId="0" borderId="3">
      <alignment horizontal="left" vertical="center"/>
    </xf>
    <xf numFmtId="301" fontId="25" fillId="0" borderId="3">
      <alignment horizontal="left" vertical="center"/>
    </xf>
    <xf numFmtId="301" fontId="25" fillId="0" borderId="3">
      <alignment horizontal="left" vertical="center"/>
    </xf>
    <xf numFmtId="301" fontId="25" fillId="0" borderId="3">
      <alignment horizontal="left" vertical="center"/>
    </xf>
    <xf numFmtId="301" fontId="25" fillId="0" borderId="3">
      <alignment horizontal="left" vertical="center"/>
    </xf>
    <xf numFmtId="301" fontId="25" fillId="0" borderId="3">
      <alignment horizontal="left" vertical="center"/>
    </xf>
    <xf numFmtId="301" fontId="25" fillId="0" borderId="3">
      <alignment horizontal="left" vertical="center"/>
    </xf>
    <xf numFmtId="301" fontId="25" fillId="0" borderId="3">
      <alignment horizontal="left" vertical="center"/>
    </xf>
    <xf numFmtId="301" fontId="25" fillId="0" borderId="3">
      <alignment horizontal="left" vertical="center"/>
    </xf>
    <xf numFmtId="301" fontId="25" fillId="0" borderId="3">
      <alignment horizontal="left" vertical="center"/>
    </xf>
    <xf numFmtId="301" fontId="25" fillId="0" borderId="3">
      <alignment horizontal="left" vertical="center"/>
    </xf>
    <xf numFmtId="301" fontId="25" fillId="0" borderId="3">
      <alignment horizontal="left" vertical="center"/>
    </xf>
    <xf numFmtId="301" fontId="25" fillId="0" borderId="3">
      <alignment horizontal="left" vertical="center"/>
    </xf>
    <xf numFmtId="301" fontId="25" fillId="0" borderId="3">
      <alignment horizontal="left" vertical="center"/>
    </xf>
    <xf numFmtId="301" fontId="25" fillId="0" borderId="3">
      <alignment horizontal="left" vertical="center"/>
    </xf>
    <xf numFmtId="301" fontId="25" fillId="0" borderId="3">
      <alignment horizontal="left" vertical="center"/>
    </xf>
    <xf numFmtId="301" fontId="25" fillId="0" borderId="3">
      <alignment horizontal="left" vertical="center"/>
    </xf>
    <xf numFmtId="301" fontId="25" fillId="0" borderId="3">
      <alignment horizontal="left" vertical="center"/>
    </xf>
    <xf numFmtId="301" fontId="25" fillId="0" borderId="3">
      <alignment horizontal="left" vertical="center"/>
    </xf>
    <xf numFmtId="301" fontId="25" fillId="0" borderId="3">
      <alignment horizontal="left" vertical="center"/>
    </xf>
    <xf numFmtId="301" fontId="25" fillId="0" borderId="3">
      <alignment horizontal="left" vertical="center"/>
    </xf>
    <xf numFmtId="301" fontId="25" fillId="0" borderId="3">
      <alignment horizontal="left" vertical="center"/>
    </xf>
    <xf numFmtId="301" fontId="25" fillId="0" borderId="3">
      <alignment horizontal="left" vertical="center"/>
    </xf>
    <xf numFmtId="301" fontId="25" fillId="0" borderId="3">
      <alignment horizontal="left" vertical="center"/>
    </xf>
    <xf numFmtId="301" fontId="25" fillId="0" borderId="3">
      <alignment horizontal="left" vertical="center"/>
    </xf>
    <xf numFmtId="301" fontId="25" fillId="0" borderId="3">
      <alignment horizontal="left" vertical="center"/>
    </xf>
    <xf numFmtId="301" fontId="25" fillId="0" borderId="3">
      <alignment horizontal="left" vertical="center"/>
    </xf>
    <xf numFmtId="301" fontId="25" fillId="0" borderId="3">
      <alignment horizontal="left" vertical="center"/>
    </xf>
    <xf numFmtId="301" fontId="25" fillId="0" borderId="3">
      <alignment horizontal="left" vertical="center"/>
    </xf>
    <xf numFmtId="301" fontId="25" fillId="0" borderId="3">
      <alignment horizontal="left" vertical="center"/>
    </xf>
    <xf numFmtId="301" fontId="25" fillId="0" borderId="3">
      <alignment horizontal="left" vertical="center"/>
    </xf>
    <xf numFmtId="301" fontId="25" fillId="0" borderId="3">
      <alignment horizontal="left" vertical="center"/>
    </xf>
    <xf numFmtId="301" fontId="25" fillId="0" borderId="3">
      <alignment horizontal="left" vertical="center"/>
    </xf>
    <xf numFmtId="301" fontId="25" fillId="0" borderId="3">
      <alignment horizontal="left" vertical="center"/>
    </xf>
    <xf numFmtId="301" fontId="25" fillId="0" borderId="3">
      <alignment horizontal="left" vertical="center"/>
    </xf>
    <xf numFmtId="301" fontId="25" fillId="0" borderId="3">
      <alignment horizontal="left" vertical="center"/>
    </xf>
    <xf numFmtId="301" fontId="25" fillId="0" borderId="3">
      <alignment horizontal="left" vertical="center"/>
    </xf>
    <xf numFmtId="301" fontId="25" fillId="0" borderId="3">
      <alignment horizontal="left" vertical="center"/>
    </xf>
    <xf numFmtId="301" fontId="25" fillId="0" borderId="3">
      <alignment horizontal="left" vertical="center"/>
    </xf>
    <xf numFmtId="301" fontId="25" fillId="0" borderId="3">
      <alignment horizontal="left" vertical="center"/>
    </xf>
    <xf numFmtId="301" fontId="25" fillId="0" borderId="3">
      <alignment horizontal="left" vertical="center"/>
    </xf>
    <xf numFmtId="301" fontId="25" fillId="0" borderId="3">
      <alignment horizontal="left" vertical="center"/>
    </xf>
    <xf numFmtId="301" fontId="25" fillId="0" borderId="3">
      <alignment horizontal="left" vertical="center"/>
    </xf>
    <xf numFmtId="0" fontId="213" fillId="30" borderId="0" applyNumberFormat="0" applyBorder="0" applyAlignment="0" applyProtection="0">
      <alignment vertical="center"/>
    </xf>
    <xf numFmtId="0" fontId="75" fillId="70" borderId="48" applyNumberFormat="0" applyFont="0" applyAlignment="0" applyProtection="0">
      <alignment vertical="center"/>
    </xf>
    <xf numFmtId="0" fontId="75" fillId="70" borderId="48" applyNumberFormat="0" applyFont="0" applyAlignment="0" applyProtection="0">
      <alignment vertical="center"/>
    </xf>
    <xf numFmtId="0" fontId="75" fillId="70" borderId="48" applyNumberFormat="0" applyFont="0" applyAlignment="0" applyProtection="0">
      <alignment vertical="center"/>
    </xf>
    <xf numFmtId="0" fontId="75" fillId="70" borderId="48" applyNumberFormat="0" applyFont="0" applyAlignment="0" applyProtection="0">
      <alignment vertical="center"/>
    </xf>
    <xf numFmtId="0" fontId="75" fillId="70" borderId="48" applyNumberFormat="0" applyFont="0" applyAlignment="0" applyProtection="0">
      <alignment vertical="center"/>
    </xf>
    <xf numFmtId="0" fontId="75" fillId="70" borderId="48" applyNumberFormat="0" applyFont="0" applyAlignment="0" applyProtection="0">
      <alignment vertical="center"/>
    </xf>
    <xf numFmtId="0" fontId="75" fillId="70" borderId="48" applyNumberFormat="0" applyFont="0" applyAlignment="0" applyProtection="0">
      <alignment vertical="center"/>
    </xf>
    <xf numFmtId="0" fontId="75" fillId="70" borderId="48" applyNumberFormat="0" applyFont="0" applyAlignment="0" applyProtection="0">
      <alignment vertical="center"/>
    </xf>
    <xf numFmtId="0" fontId="75" fillId="70" borderId="48" applyNumberFormat="0" applyFont="0" applyAlignment="0" applyProtection="0">
      <alignment vertical="center"/>
    </xf>
    <xf numFmtId="0" fontId="75" fillId="70" borderId="48" applyNumberFormat="0" applyFont="0" applyAlignment="0" applyProtection="0">
      <alignment vertical="center"/>
    </xf>
    <xf numFmtId="0" fontId="75" fillId="70" borderId="48" applyNumberFormat="0" applyFont="0" applyAlignment="0" applyProtection="0">
      <alignment vertical="center"/>
    </xf>
    <xf numFmtId="0" fontId="75" fillId="70" borderId="48" applyNumberFormat="0" applyFont="0" applyAlignment="0" applyProtection="0">
      <alignment vertical="center"/>
    </xf>
    <xf numFmtId="0" fontId="75" fillId="70" borderId="48" applyNumberFormat="0" applyFont="0" applyAlignment="0" applyProtection="0">
      <alignment vertical="center"/>
    </xf>
    <xf numFmtId="0" fontId="75" fillId="70" borderId="48" applyNumberFormat="0" applyFont="0" applyAlignment="0" applyProtection="0">
      <alignment vertical="center"/>
    </xf>
    <xf numFmtId="0" fontId="75" fillId="70" borderId="48" applyNumberFormat="0" applyFont="0" applyAlignment="0" applyProtection="0">
      <alignment vertical="center"/>
    </xf>
    <xf numFmtId="0" fontId="75" fillId="70" borderId="48" applyNumberFormat="0" applyFont="0" applyAlignment="0" applyProtection="0">
      <alignment vertical="center"/>
    </xf>
    <xf numFmtId="0" fontId="75" fillId="70" borderId="48" applyNumberFormat="0" applyFont="0" applyAlignment="0" applyProtection="0">
      <alignment vertical="center"/>
    </xf>
    <xf numFmtId="0" fontId="75" fillId="70" borderId="48" applyNumberFormat="0" applyFont="0" applyAlignment="0" applyProtection="0">
      <alignment vertical="center"/>
    </xf>
    <xf numFmtId="0" fontId="75" fillId="70" borderId="48" applyNumberFormat="0" applyFont="0" applyAlignment="0" applyProtection="0">
      <alignment vertical="center"/>
    </xf>
    <xf numFmtId="0" fontId="75" fillId="70" borderId="48" applyNumberFormat="0" applyFont="0" applyAlignment="0" applyProtection="0">
      <alignment vertical="center"/>
    </xf>
    <xf numFmtId="0" fontId="75" fillId="70" borderId="48" applyNumberFormat="0" applyFont="0" applyAlignment="0" applyProtection="0">
      <alignment vertical="center"/>
    </xf>
    <xf numFmtId="0" fontId="75" fillId="70" borderId="48" applyNumberFormat="0" applyFont="0" applyAlignment="0" applyProtection="0">
      <alignment vertical="center"/>
    </xf>
    <xf numFmtId="0" fontId="75" fillId="70" borderId="48" applyNumberFormat="0" applyFont="0" applyAlignment="0" applyProtection="0">
      <alignment vertical="center"/>
    </xf>
    <xf numFmtId="0" fontId="75" fillId="70" borderId="48" applyNumberFormat="0" applyFont="0" applyAlignment="0" applyProtection="0">
      <alignment vertical="center"/>
    </xf>
    <xf numFmtId="0" fontId="75" fillId="70" borderId="48" applyNumberFormat="0" applyFont="0" applyAlignment="0" applyProtection="0">
      <alignment vertical="center"/>
    </xf>
    <xf numFmtId="0" fontId="75" fillId="70" borderId="48" applyNumberFormat="0" applyFont="0" applyAlignment="0" applyProtection="0">
      <alignment vertical="center"/>
    </xf>
    <xf numFmtId="0" fontId="75" fillId="70" borderId="48" applyNumberFormat="0" applyFont="0" applyAlignment="0" applyProtection="0">
      <alignment vertical="center"/>
    </xf>
    <xf numFmtId="0" fontId="75" fillId="70" borderId="48" applyNumberFormat="0" applyFont="0" applyAlignment="0" applyProtection="0">
      <alignment vertical="center"/>
    </xf>
    <xf numFmtId="0" fontId="75" fillId="70" borderId="48" applyNumberFormat="0" applyFont="0" applyAlignment="0" applyProtection="0">
      <alignment vertical="center"/>
    </xf>
    <xf numFmtId="0" fontId="75" fillId="70" borderId="48" applyNumberFormat="0" applyFont="0" applyAlignment="0" applyProtection="0">
      <alignment vertical="center"/>
    </xf>
    <xf numFmtId="0" fontId="75" fillId="70" borderId="48" applyNumberFormat="0" applyFont="0" applyAlignment="0" applyProtection="0">
      <alignment vertical="center"/>
    </xf>
    <xf numFmtId="0" fontId="75" fillId="70" borderId="48" applyNumberFormat="0" applyFont="0" applyAlignment="0" applyProtection="0">
      <alignment vertical="center"/>
    </xf>
    <xf numFmtId="0" fontId="75" fillId="70" borderId="48" applyNumberFormat="0" applyFont="0" applyAlignment="0" applyProtection="0">
      <alignment vertical="center"/>
    </xf>
    <xf numFmtId="0" fontId="75" fillId="70" borderId="48" applyNumberFormat="0" applyFont="0" applyAlignment="0" applyProtection="0">
      <alignment vertical="center"/>
    </xf>
    <xf numFmtId="0" fontId="75" fillId="70" borderId="48" applyNumberFormat="0" applyFont="0" applyAlignment="0" applyProtection="0">
      <alignment vertical="center"/>
    </xf>
    <xf numFmtId="0" fontId="75" fillId="70" borderId="48" applyNumberFormat="0" applyFont="0" applyAlignment="0" applyProtection="0">
      <alignment vertical="center"/>
    </xf>
    <xf numFmtId="0" fontId="75" fillId="70" borderId="48" applyNumberFormat="0" applyFont="0" applyAlignment="0" applyProtection="0">
      <alignment vertical="center"/>
    </xf>
    <xf numFmtId="0" fontId="75" fillId="70" borderId="48" applyNumberFormat="0" applyFont="0" applyAlignment="0" applyProtection="0">
      <alignment vertical="center"/>
    </xf>
    <xf numFmtId="0" fontId="75" fillId="70" borderId="48" applyNumberFormat="0" applyFont="0" applyAlignment="0" applyProtection="0">
      <alignment vertical="center"/>
    </xf>
    <xf numFmtId="0" fontId="75" fillId="70" borderId="48" applyNumberFormat="0" applyFont="0" applyAlignment="0" applyProtection="0">
      <alignment vertical="center"/>
    </xf>
    <xf numFmtId="0" fontId="75" fillId="70" borderId="48" applyNumberFormat="0" applyFont="0" applyAlignment="0" applyProtection="0">
      <alignment vertical="center"/>
    </xf>
    <xf numFmtId="0" fontId="75" fillId="70" borderId="48" applyNumberFormat="0" applyFont="0" applyAlignment="0" applyProtection="0">
      <alignment vertical="center"/>
    </xf>
    <xf numFmtId="0" fontId="75" fillId="70" borderId="48" applyNumberFormat="0" applyFont="0" applyAlignment="0" applyProtection="0">
      <alignment vertical="center"/>
    </xf>
    <xf numFmtId="0" fontId="75" fillId="70" borderId="48" applyNumberFormat="0" applyFont="0" applyAlignment="0" applyProtection="0">
      <alignment vertical="center"/>
    </xf>
    <xf numFmtId="0" fontId="75" fillId="70" borderId="48" applyNumberFormat="0" applyFont="0" applyAlignment="0" applyProtection="0">
      <alignment vertical="center"/>
    </xf>
    <xf numFmtId="0" fontId="75" fillId="70" borderId="48" applyNumberFormat="0" applyFont="0" applyAlignment="0" applyProtection="0">
      <alignment vertical="center"/>
    </xf>
    <xf numFmtId="0" fontId="75" fillId="70" borderId="48" applyNumberFormat="0" applyFont="0" applyAlignment="0" applyProtection="0">
      <alignment vertical="center"/>
    </xf>
    <xf numFmtId="0" fontId="75" fillId="70" borderId="48" applyNumberFormat="0" applyFont="0" applyAlignment="0" applyProtection="0">
      <alignment vertical="center"/>
    </xf>
    <xf numFmtId="0" fontId="75" fillId="70" borderId="48" applyNumberFormat="0" applyFont="0" applyAlignment="0" applyProtection="0">
      <alignment vertical="center"/>
    </xf>
    <xf numFmtId="0" fontId="75" fillId="70" borderId="48" applyNumberFormat="0" applyFont="0" applyAlignment="0" applyProtection="0">
      <alignment vertical="center"/>
    </xf>
    <xf numFmtId="0" fontId="75" fillId="70" borderId="48" applyNumberFormat="0" applyFont="0" applyAlignment="0" applyProtection="0">
      <alignment vertical="center"/>
    </xf>
    <xf numFmtId="0" fontId="75" fillId="70" borderId="48" applyNumberFormat="0" applyFont="0" applyAlignment="0" applyProtection="0">
      <alignment vertical="center"/>
    </xf>
    <xf numFmtId="0" fontId="75" fillId="70" borderId="48" applyNumberFormat="0" applyFont="0" applyAlignment="0" applyProtection="0">
      <alignment vertical="center"/>
    </xf>
    <xf numFmtId="0" fontId="75" fillId="70" borderId="48" applyNumberFormat="0" applyFont="0" applyAlignment="0" applyProtection="0">
      <alignment vertical="center"/>
    </xf>
    <xf numFmtId="0" fontId="75" fillId="70" borderId="48" applyNumberFormat="0" applyFont="0" applyAlignment="0" applyProtection="0">
      <alignment vertical="center"/>
    </xf>
    <xf numFmtId="0" fontId="75" fillId="70" borderId="48" applyNumberFormat="0" applyFont="0" applyAlignment="0" applyProtection="0">
      <alignment vertical="center"/>
    </xf>
    <xf numFmtId="0" fontId="75" fillId="70" borderId="48" applyNumberFormat="0" applyFont="0" applyAlignment="0" applyProtection="0">
      <alignment vertical="center"/>
    </xf>
    <xf numFmtId="0" fontId="75" fillId="70" borderId="48" applyNumberFormat="0" applyFont="0" applyAlignment="0" applyProtection="0">
      <alignment vertical="center"/>
    </xf>
    <xf numFmtId="0" fontId="75" fillId="70" borderId="48" applyNumberFormat="0" applyFont="0" applyAlignment="0" applyProtection="0">
      <alignment vertical="center"/>
    </xf>
    <xf numFmtId="0" fontId="75" fillId="70" borderId="48" applyNumberFormat="0" applyFont="0" applyAlignment="0" applyProtection="0">
      <alignment vertical="center"/>
    </xf>
    <xf numFmtId="0" fontId="25" fillId="0" borderId="0" applyNumberFormat="0" applyFont="0" applyFill="0" applyBorder="0" applyProtection="0">
      <alignment vertical="center"/>
    </xf>
    <xf numFmtId="0" fontId="30" fillId="0" borderId="0" applyFont="0" applyFill="0" applyBorder="0" applyAlignment="0" applyProtection="0"/>
    <xf numFmtId="302" fontId="191" fillId="0" borderId="0">
      <alignment horizontal="right" vertical="center"/>
    </xf>
    <xf numFmtId="0" fontId="214" fillId="29" borderId="0" applyNumberFormat="0" applyBorder="0" applyAlignment="0" applyProtection="0">
      <alignment vertical="center"/>
    </xf>
    <xf numFmtId="0" fontId="214" fillId="29" borderId="0" applyNumberFormat="0" applyBorder="0" applyAlignment="0" applyProtection="0">
      <alignment vertical="center"/>
    </xf>
    <xf numFmtId="0" fontId="214" fillId="29" borderId="0" applyNumberFormat="0" applyBorder="0" applyAlignment="0" applyProtection="0">
      <alignment vertical="center"/>
    </xf>
    <xf numFmtId="0" fontId="214" fillId="29" borderId="0" applyNumberFormat="0" applyBorder="0" applyAlignment="0" applyProtection="0">
      <alignment vertical="center"/>
    </xf>
    <xf numFmtId="0" fontId="215" fillId="0" borderId="0"/>
    <xf numFmtId="177" fontId="62" fillId="0" borderId="0" applyFont="0" applyFill="0" applyBorder="0" applyAlignment="0" applyProtection="0"/>
    <xf numFmtId="179" fontId="62" fillId="0" borderId="0" applyFont="0" applyFill="0" applyBorder="0" applyAlignment="0" applyProtection="0"/>
    <xf numFmtId="177" fontId="5" fillId="0" borderId="0" applyFont="0" applyFill="0" applyBorder="0" applyAlignment="0" applyProtection="0">
      <alignment vertical="center"/>
    </xf>
    <xf numFmtId="0" fontId="216" fillId="59" borderId="43" applyNumberFormat="0" applyAlignment="0" applyProtection="0">
      <alignment vertical="center"/>
    </xf>
    <xf numFmtId="0" fontId="216" fillId="59" borderId="43" applyNumberFormat="0" applyAlignment="0" applyProtection="0">
      <alignment vertical="center"/>
    </xf>
    <xf numFmtId="0" fontId="216" fillId="59" borderId="43" applyNumberFormat="0" applyAlignment="0" applyProtection="0">
      <alignment vertical="center"/>
    </xf>
    <xf numFmtId="0" fontId="216" fillId="59" borderId="43" applyNumberFormat="0" applyAlignment="0" applyProtection="0">
      <alignment vertical="center"/>
    </xf>
    <xf numFmtId="0" fontId="216" fillId="59" borderId="43" applyNumberFormat="0" applyAlignment="0" applyProtection="0">
      <alignment vertical="center"/>
    </xf>
    <xf numFmtId="0" fontId="216" fillId="59" borderId="43" applyNumberFormat="0" applyAlignment="0" applyProtection="0">
      <alignment vertical="center"/>
    </xf>
    <xf numFmtId="0" fontId="216" fillId="59" borderId="43" applyNumberFormat="0" applyAlignment="0" applyProtection="0">
      <alignment vertical="center"/>
    </xf>
    <xf numFmtId="0" fontId="216" fillId="59" borderId="43" applyNumberFormat="0" applyAlignment="0" applyProtection="0">
      <alignment vertical="center"/>
    </xf>
    <xf numFmtId="0" fontId="216" fillId="59" borderId="43" applyNumberFormat="0" applyAlignment="0" applyProtection="0">
      <alignment vertical="center"/>
    </xf>
    <xf numFmtId="0" fontId="216" fillId="59" borderId="43" applyNumberFormat="0" applyAlignment="0" applyProtection="0">
      <alignment vertical="center"/>
    </xf>
    <xf numFmtId="0" fontId="216" fillId="59" borderId="43" applyNumberFormat="0" applyAlignment="0" applyProtection="0">
      <alignment vertical="center"/>
    </xf>
    <xf numFmtId="0" fontId="216" fillId="59" borderId="43" applyNumberFormat="0" applyAlignment="0" applyProtection="0">
      <alignment vertical="center"/>
    </xf>
    <xf numFmtId="0" fontId="216" fillId="59" borderId="43" applyNumberFormat="0" applyAlignment="0" applyProtection="0">
      <alignment vertical="center"/>
    </xf>
    <xf numFmtId="0" fontId="216" fillId="59" borderId="43" applyNumberFormat="0" applyAlignment="0" applyProtection="0">
      <alignment vertical="center"/>
    </xf>
    <xf numFmtId="0" fontId="216" fillId="59" borderId="43" applyNumberFormat="0" applyAlignment="0" applyProtection="0">
      <alignment vertical="center"/>
    </xf>
    <xf numFmtId="0" fontId="216" fillId="59" borderId="43" applyNumberFormat="0" applyAlignment="0" applyProtection="0">
      <alignment vertical="center"/>
    </xf>
    <xf numFmtId="0" fontId="216" fillId="59" borderId="43" applyNumberFormat="0" applyAlignment="0" applyProtection="0">
      <alignment vertical="center"/>
    </xf>
    <xf numFmtId="0" fontId="216" fillId="59" borderId="43" applyNumberFormat="0" applyAlignment="0" applyProtection="0">
      <alignment vertical="center"/>
    </xf>
    <xf numFmtId="0" fontId="216" fillId="59" borderId="43" applyNumberFormat="0" applyAlignment="0" applyProtection="0">
      <alignment vertical="center"/>
    </xf>
    <xf numFmtId="0" fontId="216" fillId="59" borderId="43" applyNumberFormat="0" applyAlignment="0" applyProtection="0">
      <alignment vertical="center"/>
    </xf>
    <xf numFmtId="0" fontId="216" fillId="59" borderId="43" applyNumberFormat="0" applyAlignment="0" applyProtection="0">
      <alignment vertical="center"/>
    </xf>
    <xf numFmtId="0" fontId="216" fillId="59" borderId="43" applyNumberFormat="0" applyAlignment="0" applyProtection="0">
      <alignment vertical="center"/>
    </xf>
    <xf numFmtId="0" fontId="216" fillId="59" borderId="43" applyNumberFormat="0" applyAlignment="0" applyProtection="0">
      <alignment vertical="center"/>
    </xf>
    <xf numFmtId="0" fontId="216" fillId="59" borderId="43" applyNumberFormat="0" applyAlignment="0" applyProtection="0">
      <alignment vertical="center"/>
    </xf>
    <xf numFmtId="0" fontId="216" fillId="59" borderId="43" applyNumberFormat="0" applyAlignment="0" applyProtection="0">
      <alignment vertical="center"/>
    </xf>
    <xf numFmtId="0" fontId="216" fillId="59" borderId="43" applyNumberFormat="0" applyAlignment="0" applyProtection="0">
      <alignment vertical="center"/>
    </xf>
    <xf numFmtId="0" fontId="216" fillId="59" borderId="43" applyNumberFormat="0" applyAlignment="0" applyProtection="0">
      <alignment vertical="center"/>
    </xf>
    <xf numFmtId="0" fontId="216" fillId="59" borderId="43" applyNumberFormat="0" applyAlignment="0" applyProtection="0">
      <alignment vertical="center"/>
    </xf>
    <xf numFmtId="0" fontId="216" fillId="59" borderId="43" applyNumberFormat="0" applyAlignment="0" applyProtection="0">
      <alignment vertical="center"/>
    </xf>
    <xf numFmtId="0" fontId="216" fillId="59" borderId="43" applyNumberFormat="0" applyAlignment="0" applyProtection="0">
      <alignment vertical="center"/>
    </xf>
    <xf numFmtId="0" fontId="216" fillId="59" borderId="43" applyNumberFormat="0" applyAlignment="0" applyProtection="0">
      <alignment vertical="center"/>
    </xf>
    <xf numFmtId="0" fontId="216" fillId="59" borderId="43" applyNumberFormat="0" applyAlignment="0" applyProtection="0">
      <alignment vertical="center"/>
    </xf>
    <xf numFmtId="0" fontId="216" fillId="59" borderId="43" applyNumberFormat="0" applyAlignment="0" applyProtection="0">
      <alignment vertical="center"/>
    </xf>
    <xf numFmtId="0" fontId="216" fillId="59" borderId="43" applyNumberFormat="0" applyAlignment="0" applyProtection="0">
      <alignment vertical="center"/>
    </xf>
    <xf numFmtId="0" fontId="216" fillId="59" borderId="43" applyNumberFormat="0" applyAlignment="0" applyProtection="0">
      <alignment vertical="center"/>
    </xf>
    <xf numFmtId="0" fontId="216" fillId="59" borderId="43" applyNumberFormat="0" applyAlignment="0" applyProtection="0">
      <alignment vertical="center"/>
    </xf>
    <xf numFmtId="0" fontId="216" fillId="59" borderId="43" applyNumberFormat="0" applyAlignment="0" applyProtection="0">
      <alignment vertical="center"/>
    </xf>
    <xf numFmtId="0" fontId="216" fillId="59" borderId="43" applyNumberFormat="0" applyAlignment="0" applyProtection="0">
      <alignment vertical="center"/>
    </xf>
    <xf numFmtId="0" fontId="216" fillId="59" borderId="43" applyNumberFormat="0" applyAlignment="0" applyProtection="0">
      <alignment vertical="center"/>
    </xf>
    <xf numFmtId="0" fontId="216" fillId="59" borderId="43" applyNumberFormat="0" applyAlignment="0" applyProtection="0">
      <alignment vertical="center"/>
    </xf>
    <xf numFmtId="0" fontId="216" fillId="59" borderId="43" applyNumberFormat="0" applyAlignment="0" applyProtection="0">
      <alignment vertical="center"/>
    </xf>
    <xf numFmtId="0" fontId="216" fillId="59" borderId="43" applyNumberFormat="0" applyAlignment="0" applyProtection="0">
      <alignment vertical="center"/>
    </xf>
    <xf numFmtId="0" fontId="216" fillId="59" borderId="43" applyNumberFormat="0" applyAlignment="0" applyProtection="0">
      <alignment vertical="center"/>
    </xf>
    <xf numFmtId="0" fontId="216" fillId="59" borderId="43" applyNumberFormat="0" applyAlignment="0" applyProtection="0">
      <alignment vertical="center"/>
    </xf>
    <xf numFmtId="0" fontId="216" fillId="59" borderId="43" applyNumberFormat="0" applyAlignment="0" applyProtection="0">
      <alignment vertical="center"/>
    </xf>
    <xf numFmtId="0" fontId="216" fillId="59" borderId="43" applyNumberFormat="0" applyAlignment="0" applyProtection="0">
      <alignment vertical="center"/>
    </xf>
    <xf numFmtId="0" fontId="216" fillId="59" borderId="43" applyNumberFormat="0" applyAlignment="0" applyProtection="0">
      <alignment vertical="center"/>
    </xf>
    <xf numFmtId="0" fontId="216" fillId="59" borderId="43" applyNumberFormat="0" applyAlignment="0" applyProtection="0">
      <alignment vertical="center"/>
    </xf>
    <xf numFmtId="0" fontId="216" fillId="59" borderId="43" applyNumberFormat="0" applyAlignment="0" applyProtection="0">
      <alignment vertical="center"/>
    </xf>
    <xf numFmtId="0" fontId="216" fillId="59" borderId="43" applyNumberFormat="0" applyAlignment="0" applyProtection="0">
      <alignment vertical="center"/>
    </xf>
    <xf numFmtId="0" fontId="216" fillId="59" borderId="43" applyNumberFormat="0" applyAlignment="0" applyProtection="0">
      <alignment vertical="center"/>
    </xf>
    <xf numFmtId="0" fontId="216" fillId="59" borderId="43" applyNumberFormat="0" applyAlignment="0" applyProtection="0">
      <alignment vertical="center"/>
    </xf>
    <xf numFmtId="0" fontId="216" fillId="59" borderId="43" applyNumberFormat="0" applyAlignment="0" applyProtection="0">
      <alignment vertical="center"/>
    </xf>
    <xf numFmtId="0" fontId="216" fillId="59" borderId="43" applyNumberFormat="0" applyAlignment="0" applyProtection="0">
      <alignment vertical="center"/>
    </xf>
    <xf numFmtId="0" fontId="216" fillId="59" borderId="43" applyNumberFormat="0" applyAlignment="0" applyProtection="0">
      <alignment vertical="center"/>
    </xf>
    <xf numFmtId="0" fontId="216" fillId="59" borderId="43" applyNumberFormat="0" applyAlignment="0" applyProtection="0">
      <alignment vertical="center"/>
    </xf>
    <xf numFmtId="0" fontId="216" fillId="59" borderId="43" applyNumberFormat="0" applyAlignment="0" applyProtection="0">
      <alignment vertical="center"/>
    </xf>
    <xf numFmtId="0" fontId="216" fillId="59" borderId="43" applyNumberFormat="0" applyAlignment="0" applyProtection="0">
      <alignment vertical="center"/>
    </xf>
    <xf numFmtId="0" fontId="216" fillId="59" borderId="43" applyNumberFormat="0" applyAlignment="0" applyProtection="0">
      <alignment vertical="center"/>
    </xf>
    <xf numFmtId="0" fontId="216" fillId="59" borderId="43" applyNumberFormat="0" applyAlignment="0" applyProtection="0">
      <alignment vertical="center"/>
    </xf>
    <xf numFmtId="303" fontId="25" fillId="0" borderId="0"/>
    <xf numFmtId="201" fontId="25" fillId="0" borderId="0" applyFont="0" applyFill="0" applyBorder="0" applyAlignment="0" applyProtection="0"/>
    <xf numFmtId="199" fontId="25" fillId="0" borderId="0" applyFont="0" applyFill="0" applyBorder="0" applyAlignment="0" applyProtection="0"/>
    <xf numFmtId="38" fontId="25" fillId="0" borderId="0" applyFont="0" applyFill="0" applyBorder="0" applyAlignment="0" applyProtection="0"/>
    <xf numFmtId="177" fontId="8" fillId="0" borderId="0" applyFont="0" applyFill="0" applyBorder="0" applyAlignment="0" applyProtection="0"/>
    <xf numFmtId="0" fontId="25" fillId="0" borderId="20">
      <alignment vertical="center" shrinkToFit="1"/>
    </xf>
    <xf numFmtId="0" fontId="2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217" fillId="0" borderId="0">
      <alignment horizontal="centerContinuous" vertical="center"/>
    </xf>
    <xf numFmtId="0" fontId="69" fillId="0" borderId="31" applyNumberFormat="0" applyFont="0" applyFill="0" applyAlignment="0" applyProtection="0">
      <alignment vertical="center"/>
    </xf>
    <xf numFmtId="0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304" fontId="75" fillId="0" borderId="0" applyFont="0" applyFill="0" applyBorder="0" applyAlignment="0" applyProtection="0"/>
    <xf numFmtId="0" fontId="24" fillId="0" borderId="0" applyFont="0" applyFill="0" applyBorder="0" applyAlignment="0" applyProtection="0"/>
    <xf numFmtId="305" fontId="75" fillId="0" borderId="0" applyFont="0" applyFill="0" applyBorder="0" applyAlignment="0" applyProtection="0"/>
    <xf numFmtId="196" fontId="2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5" fillId="0" borderId="0">
      <protection locked="0"/>
    </xf>
    <xf numFmtId="306" fontId="25" fillId="0" borderId="9"/>
    <xf numFmtId="0" fontId="93" fillId="0" borderId="0"/>
    <xf numFmtId="0" fontId="8" fillId="0" borderId="0"/>
    <xf numFmtId="0" fontId="218" fillId="0" borderId="0" applyNumberFormat="0" applyFill="0" applyBorder="0" applyAlignment="0" applyProtection="0">
      <alignment vertical="center"/>
    </xf>
    <xf numFmtId="0" fontId="219" fillId="0" borderId="54" applyNumberFormat="0" applyFill="0" applyAlignment="0" applyProtection="0">
      <alignment vertical="center"/>
    </xf>
    <xf numFmtId="0" fontId="220" fillId="0" borderId="55" applyNumberFormat="0" applyFill="0" applyAlignment="0" applyProtection="0">
      <alignment vertical="center"/>
    </xf>
    <xf numFmtId="0" fontId="221" fillId="0" borderId="56" applyNumberFormat="0" applyFill="0" applyAlignment="0" applyProtection="0">
      <alignment vertical="center"/>
    </xf>
    <xf numFmtId="0" fontId="221" fillId="0" borderId="0" applyNumberFormat="0" applyFill="0" applyBorder="0" applyAlignment="0" applyProtection="0">
      <alignment vertical="center"/>
    </xf>
    <xf numFmtId="0" fontId="218" fillId="0" borderId="0" applyNumberFormat="0" applyFill="0" applyBorder="0" applyAlignment="0" applyProtection="0">
      <alignment vertical="center"/>
    </xf>
    <xf numFmtId="0" fontId="5" fillId="0" borderId="0"/>
    <xf numFmtId="0" fontId="222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8" fillId="0" borderId="0">
      <alignment vertical="center"/>
    </xf>
    <xf numFmtId="0" fontId="74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8" fillId="0" borderId="0"/>
    <xf numFmtId="0" fontId="74" fillId="0" borderId="0">
      <alignment vertical="center"/>
    </xf>
    <xf numFmtId="0" fontId="5" fillId="0" borderId="0">
      <alignment vertical="center"/>
    </xf>
    <xf numFmtId="0" fontId="223" fillId="0" borderId="0">
      <alignment vertical="center"/>
    </xf>
    <xf numFmtId="0" fontId="223" fillId="0" borderId="0">
      <alignment vertical="center"/>
    </xf>
    <xf numFmtId="0" fontId="5" fillId="0" borderId="0"/>
    <xf numFmtId="0" fontId="224" fillId="0" borderId="0">
      <alignment vertical="center"/>
    </xf>
    <xf numFmtId="0" fontId="7" fillId="0" borderId="0"/>
    <xf numFmtId="0" fontId="74" fillId="0" borderId="0">
      <alignment vertical="center"/>
    </xf>
    <xf numFmtId="0" fontId="104" fillId="0" borderId="0">
      <alignment vertical="center"/>
    </xf>
    <xf numFmtId="0" fontId="5" fillId="0" borderId="0"/>
    <xf numFmtId="0" fontId="4" fillId="0" borderId="0">
      <alignment vertical="center"/>
    </xf>
    <xf numFmtId="0" fontId="19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5" fillId="0" borderId="0"/>
    <xf numFmtId="0" fontId="4" fillId="0" borderId="0">
      <alignment vertical="center"/>
    </xf>
    <xf numFmtId="0" fontId="5" fillId="0" borderId="0"/>
    <xf numFmtId="0" fontId="19" fillId="0" borderId="0">
      <alignment vertical="center"/>
    </xf>
    <xf numFmtId="0" fontId="74" fillId="0" borderId="0">
      <alignment vertical="center"/>
    </xf>
    <xf numFmtId="0" fontId="82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19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19" fillId="0" borderId="0">
      <alignment vertical="center"/>
    </xf>
    <xf numFmtId="0" fontId="17" fillId="0" borderId="0"/>
    <xf numFmtId="0" fontId="5" fillId="0" borderId="0">
      <alignment vertical="center"/>
    </xf>
    <xf numFmtId="0" fontId="74" fillId="0" borderId="0">
      <alignment vertical="center"/>
    </xf>
    <xf numFmtId="0" fontId="5" fillId="0" borderId="0"/>
    <xf numFmtId="0" fontId="74" fillId="0" borderId="0">
      <alignment vertical="center"/>
    </xf>
    <xf numFmtId="0" fontId="30" fillId="0" borderId="0" applyNumberFormat="0" applyFont="0" applyFill="0" applyBorder="0" applyProtection="0">
      <alignment vertical="center"/>
    </xf>
    <xf numFmtId="0" fontId="225" fillId="0" borderId="0"/>
    <xf numFmtId="14" fontId="25" fillId="72" borderId="0" applyFont="0" applyFill="0" applyBorder="0" applyAlignment="0"/>
    <xf numFmtId="179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226" fillId="0" borderId="0" applyNumberFormat="0" applyFill="0" applyBorder="0" applyAlignment="0" applyProtection="0">
      <alignment vertical="center"/>
    </xf>
    <xf numFmtId="49" fontId="227" fillId="73" borderId="57">
      <alignment horizontal="centerContinuous" vertical="center"/>
    </xf>
    <xf numFmtId="0" fontId="228" fillId="30" borderId="0" applyNumberFormat="0" applyBorder="0" applyAlignment="0" applyProtection="0">
      <alignment vertical="center"/>
    </xf>
    <xf numFmtId="0" fontId="228" fillId="30" borderId="0" applyNumberFormat="0" applyBorder="0" applyAlignment="0" applyProtection="0">
      <alignment vertical="center"/>
    </xf>
    <xf numFmtId="0" fontId="228" fillId="30" borderId="0" applyNumberFormat="0" applyBorder="0" applyAlignment="0" applyProtection="0">
      <alignment vertical="center"/>
    </xf>
    <xf numFmtId="0" fontId="228" fillId="30" borderId="0" applyNumberFormat="0" applyBorder="0" applyAlignment="0" applyProtection="0">
      <alignment vertical="center"/>
    </xf>
    <xf numFmtId="307" fontId="62" fillId="0" borderId="0" applyFont="0" applyFill="0" applyBorder="0" applyAlignment="0" applyProtection="0"/>
    <xf numFmtId="308" fontId="62" fillId="0" borderId="0" applyFont="0" applyFill="0" applyBorder="0" applyAlignment="0" applyProtection="0"/>
    <xf numFmtId="0" fontId="5" fillId="0" borderId="0">
      <protection locked="0"/>
    </xf>
    <xf numFmtId="0" fontId="25" fillId="0" borderId="0">
      <protection locked="0"/>
    </xf>
    <xf numFmtId="0" fontId="20" fillId="0" borderId="49" applyNumberFormat="0" applyFont="0" applyFill="0" applyProtection="0">
      <alignment horizontal="center" vertical="center" wrapText="1"/>
    </xf>
    <xf numFmtId="0" fontId="20" fillId="0" borderId="49" applyNumberFormat="0" applyFont="0" applyFill="0" applyProtection="0">
      <alignment horizontal="center" vertical="center" wrapText="1"/>
    </xf>
    <xf numFmtId="0" fontId="20" fillId="0" borderId="49" applyNumberFormat="0" applyFont="0" applyFill="0" applyProtection="0">
      <alignment horizontal="center" vertical="center" wrapText="1"/>
    </xf>
    <xf numFmtId="0" fontId="20" fillId="0" borderId="49" applyNumberFormat="0" applyFont="0" applyFill="0" applyProtection="0">
      <alignment horizontal="center" vertical="center" wrapText="1"/>
    </xf>
    <xf numFmtId="0" fontId="20" fillId="0" borderId="49" applyNumberFormat="0" applyFont="0" applyFill="0" applyProtection="0">
      <alignment horizontal="center" vertical="center" wrapText="1"/>
    </xf>
    <xf numFmtId="0" fontId="20" fillId="0" borderId="49" applyNumberFormat="0" applyFont="0" applyFill="0" applyProtection="0">
      <alignment horizontal="center" vertical="center" wrapText="1"/>
    </xf>
    <xf numFmtId="0" fontId="20" fillId="0" borderId="49" applyNumberFormat="0" applyFont="0" applyFill="0" applyProtection="0">
      <alignment horizontal="center" vertical="center" wrapText="1"/>
    </xf>
    <xf numFmtId="0" fontId="20" fillId="0" borderId="49" applyNumberFormat="0" applyFont="0" applyFill="0" applyProtection="0">
      <alignment horizontal="center" vertical="center" wrapText="1"/>
    </xf>
    <xf numFmtId="0" fontId="20" fillId="0" borderId="49" applyNumberFormat="0" applyFont="0" applyFill="0" applyProtection="0">
      <alignment horizontal="center" vertical="center" wrapText="1"/>
    </xf>
    <xf numFmtId="0" fontId="20" fillId="0" borderId="49" applyNumberFormat="0" applyFont="0" applyFill="0" applyProtection="0">
      <alignment horizontal="center" vertical="center" wrapText="1"/>
    </xf>
    <xf numFmtId="0" fontId="20" fillId="0" borderId="49" applyNumberFormat="0" applyFont="0" applyFill="0" applyProtection="0">
      <alignment horizontal="center" vertical="center" wrapText="1"/>
    </xf>
    <xf numFmtId="0" fontId="20" fillId="0" borderId="49" applyNumberFormat="0" applyFont="0" applyFill="0" applyProtection="0">
      <alignment horizontal="center" vertical="center" wrapText="1"/>
    </xf>
    <xf numFmtId="0" fontId="20" fillId="0" borderId="49" applyNumberFormat="0" applyFont="0" applyFill="0" applyProtection="0">
      <alignment horizontal="center" vertical="center" wrapText="1"/>
    </xf>
    <xf numFmtId="0" fontId="20" fillId="0" borderId="49" applyNumberFormat="0" applyFont="0" applyFill="0" applyProtection="0">
      <alignment horizontal="center" vertical="center" wrapText="1"/>
    </xf>
    <xf numFmtId="0" fontId="20" fillId="0" borderId="49" applyNumberFormat="0" applyFont="0" applyFill="0" applyProtection="0">
      <alignment horizontal="center" vertical="center" wrapText="1"/>
    </xf>
    <xf numFmtId="0" fontId="20" fillId="0" borderId="49" applyNumberFormat="0" applyFont="0" applyFill="0" applyProtection="0">
      <alignment horizontal="center" vertical="center" wrapText="1"/>
    </xf>
    <xf numFmtId="0" fontId="20" fillId="0" borderId="49" applyNumberFormat="0" applyFont="0" applyFill="0" applyProtection="0">
      <alignment horizontal="center" vertical="center" wrapText="1"/>
    </xf>
    <xf numFmtId="0" fontId="20" fillId="0" borderId="49" applyNumberFormat="0" applyFont="0" applyFill="0" applyProtection="0">
      <alignment horizontal="center" vertical="center" wrapText="1"/>
    </xf>
    <xf numFmtId="0" fontId="20" fillId="0" borderId="49" applyNumberFormat="0" applyFont="0" applyFill="0" applyProtection="0">
      <alignment horizontal="center" vertical="center" wrapText="1"/>
    </xf>
    <xf numFmtId="0" fontId="20" fillId="0" borderId="49" applyNumberFormat="0" applyFont="0" applyFill="0" applyProtection="0">
      <alignment horizontal="center" vertical="center" wrapText="1"/>
    </xf>
    <xf numFmtId="0" fontId="20" fillId="0" borderId="49" applyNumberFormat="0" applyFont="0" applyFill="0" applyProtection="0">
      <alignment horizontal="center" vertical="center" wrapText="1"/>
    </xf>
    <xf numFmtId="0" fontId="20" fillId="0" borderId="49" applyNumberFormat="0" applyFont="0" applyFill="0" applyProtection="0">
      <alignment horizontal="center" vertical="center" wrapText="1"/>
    </xf>
    <xf numFmtId="0" fontId="20" fillId="0" borderId="49" applyNumberFormat="0" applyFont="0" applyFill="0" applyProtection="0">
      <alignment horizontal="center" vertical="center" wrapText="1"/>
    </xf>
    <xf numFmtId="0" fontId="20" fillId="0" borderId="49" applyNumberFormat="0" applyFont="0" applyFill="0" applyProtection="0">
      <alignment horizontal="center" vertical="center" wrapText="1"/>
    </xf>
    <xf numFmtId="0" fontId="20" fillId="0" borderId="49" applyNumberFormat="0" applyFont="0" applyFill="0" applyProtection="0">
      <alignment horizontal="center" vertical="center" wrapText="1"/>
    </xf>
    <xf numFmtId="0" fontId="20" fillId="0" borderId="49" applyNumberFormat="0" applyFont="0" applyFill="0" applyProtection="0">
      <alignment horizontal="center" vertical="center" wrapText="1"/>
    </xf>
    <xf numFmtId="0" fontId="20" fillId="0" borderId="49" applyNumberFormat="0" applyFont="0" applyFill="0" applyProtection="0">
      <alignment horizontal="center" vertical="center" wrapText="1"/>
    </xf>
    <xf numFmtId="0" fontId="20" fillId="0" borderId="49" applyNumberFormat="0" applyFont="0" applyFill="0" applyProtection="0">
      <alignment horizontal="center" vertical="center" wrapText="1"/>
    </xf>
    <xf numFmtId="0" fontId="20" fillId="0" borderId="49" applyNumberFormat="0" applyFont="0" applyFill="0" applyProtection="0">
      <alignment horizontal="center" vertical="center" wrapText="1"/>
    </xf>
    <xf numFmtId="0" fontId="20" fillId="0" borderId="49" applyNumberFormat="0" applyFont="0" applyFill="0" applyProtection="0">
      <alignment horizontal="center" vertical="center" wrapText="1"/>
    </xf>
    <xf numFmtId="0" fontId="20" fillId="0" borderId="49" applyNumberFormat="0" applyFont="0" applyFill="0" applyProtection="0">
      <alignment horizontal="center" vertical="center" wrapText="1"/>
    </xf>
    <xf numFmtId="0" fontId="20" fillId="0" borderId="49" applyNumberFormat="0" applyFont="0" applyFill="0" applyProtection="0">
      <alignment horizontal="center" vertical="center" wrapText="1"/>
    </xf>
    <xf numFmtId="0" fontId="20" fillId="0" borderId="49" applyNumberFormat="0" applyFont="0" applyFill="0" applyProtection="0">
      <alignment horizontal="center" vertical="center" wrapText="1"/>
    </xf>
    <xf numFmtId="0" fontId="20" fillId="0" borderId="49" applyNumberFormat="0" applyFont="0" applyFill="0" applyProtection="0">
      <alignment horizontal="center" vertical="center" wrapText="1"/>
    </xf>
    <xf numFmtId="0" fontId="20" fillId="0" borderId="49" applyNumberFormat="0" applyFont="0" applyFill="0" applyProtection="0">
      <alignment horizontal="center" vertical="center" wrapText="1"/>
    </xf>
    <xf numFmtId="0" fontId="20" fillId="0" borderId="49" applyNumberFormat="0" applyFont="0" applyFill="0" applyProtection="0">
      <alignment horizontal="center" vertical="center" wrapText="1"/>
    </xf>
    <xf numFmtId="0" fontId="20" fillId="0" borderId="49" applyNumberFormat="0" applyFont="0" applyFill="0" applyProtection="0">
      <alignment horizontal="center" vertical="center" wrapText="1"/>
    </xf>
    <xf numFmtId="0" fontId="20" fillId="0" borderId="49" applyNumberFormat="0" applyFont="0" applyFill="0" applyProtection="0">
      <alignment horizontal="center" vertical="center" wrapText="1"/>
    </xf>
    <xf numFmtId="0" fontId="20" fillId="0" borderId="49" applyNumberFormat="0" applyFont="0" applyFill="0" applyProtection="0">
      <alignment horizontal="center" vertical="center" wrapText="1"/>
    </xf>
    <xf numFmtId="0" fontId="20" fillId="0" borderId="49" applyNumberFormat="0" applyFont="0" applyFill="0" applyProtection="0">
      <alignment horizontal="center" vertical="center" wrapText="1"/>
    </xf>
    <xf numFmtId="0" fontId="20" fillId="0" borderId="49" applyNumberFormat="0" applyFont="0" applyFill="0" applyProtection="0">
      <alignment horizontal="center" vertical="center" wrapText="1"/>
    </xf>
    <xf numFmtId="0" fontId="20" fillId="0" borderId="49" applyNumberFormat="0" applyFont="0" applyFill="0" applyProtection="0">
      <alignment horizontal="center" vertical="center" wrapText="1"/>
    </xf>
    <xf numFmtId="0" fontId="20" fillId="0" borderId="49" applyNumberFormat="0" applyFont="0" applyFill="0" applyProtection="0">
      <alignment horizontal="center" vertical="center" wrapText="1"/>
    </xf>
    <xf numFmtId="0" fontId="20" fillId="0" borderId="49" applyNumberFormat="0" applyFont="0" applyFill="0" applyProtection="0">
      <alignment horizontal="center" vertical="center" wrapText="1"/>
    </xf>
    <xf numFmtId="0" fontId="20" fillId="0" borderId="49" applyNumberFormat="0" applyFont="0" applyFill="0" applyProtection="0">
      <alignment horizontal="center" vertical="center" wrapText="1"/>
    </xf>
    <xf numFmtId="0" fontId="20" fillId="0" borderId="49" applyNumberFormat="0" applyFont="0" applyFill="0" applyProtection="0">
      <alignment horizontal="center" vertical="center" wrapText="1"/>
    </xf>
    <xf numFmtId="0" fontId="20" fillId="0" borderId="49" applyNumberFormat="0" applyFont="0" applyFill="0" applyProtection="0">
      <alignment horizontal="center" vertical="center" wrapText="1"/>
    </xf>
    <xf numFmtId="0" fontId="20" fillId="0" borderId="49" applyNumberFormat="0" applyFont="0" applyFill="0" applyProtection="0">
      <alignment horizontal="center" vertical="center" wrapText="1"/>
    </xf>
    <xf numFmtId="0" fontId="20" fillId="0" borderId="49" applyNumberFormat="0" applyFont="0" applyFill="0" applyProtection="0">
      <alignment horizontal="center" vertical="center" wrapText="1"/>
    </xf>
    <xf numFmtId="0" fontId="20" fillId="0" borderId="49" applyNumberFormat="0" applyFont="0" applyFill="0" applyProtection="0">
      <alignment horizontal="center" vertical="center" wrapText="1"/>
    </xf>
    <xf numFmtId="0" fontId="20" fillId="0" borderId="49" applyNumberFormat="0" applyFont="0" applyFill="0" applyProtection="0">
      <alignment horizontal="center" vertical="center" wrapText="1"/>
    </xf>
    <xf numFmtId="0" fontId="20" fillId="0" borderId="49" applyNumberFormat="0" applyFont="0" applyFill="0" applyProtection="0">
      <alignment horizontal="center" vertical="center" wrapText="1"/>
    </xf>
    <xf numFmtId="0" fontId="20" fillId="0" borderId="49" applyNumberFormat="0" applyFont="0" applyFill="0" applyProtection="0">
      <alignment horizontal="center" vertical="center" wrapText="1"/>
    </xf>
    <xf numFmtId="0" fontId="20" fillId="0" borderId="49" applyNumberFormat="0" applyFont="0" applyFill="0" applyProtection="0">
      <alignment horizontal="center" vertical="center" wrapText="1"/>
    </xf>
    <xf numFmtId="0" fontId="20" fillId="0" borderId="49" applyNumberFormat="0" applyFont="0" applyFill="0" applyProtection="0">
      <alignment horizontal="center" vertical="center" wrapText="1"/>
    </xf>
    <xf numFmtId="0" fontId="20" fillId="0" borderId="49" applyNumberFormat="0" applyFont="0" applyFill="0" applyProtection="0">
      <alignment horizontal="center" vertical="center" wrapText="1"/>
    </xf>
    <xf numFmtId="0" fontId="20" fillId="0" borderId="49" applyNumberFormat="0" applyFont="0" applyFill="0" applyProtection="0">
      <alignment horizontal="center" vertical="center" wrapText="1"/>
    </xf>
    <xf numFmtId="0" fontId="20" fillId="0" borderId="49" applyNumberFormat="0" applyFont="0" applyFill="0" applyProtection="0">
      <alignment horizontal="center" vertical="center" wrapText="1"/>
    </xf>
    <xf numFmtId="0" fontId="20" fillId="0" borderId="49" applyNumberFormat="0" applyFont="0" applyFill="0" applyProtection="0">
      <alignment horizontal="center" vertical="center" wrapText="1"/>
    </xf>
    <xf numFmtId="0" fontId="20" fillId="0" borderId="49" applyNumberFormat="0" applyFont="0" applyFill="0" applyProtection="0">
      <alignment horizontal="center" vertical="center" wrapText="1"/>
    </xf>
    <xf numFmtId="0" fontId="229" fillId="0" borderId="52" applyNumberFormat="0" applyFill="0" applyAlignment="0" applyProtection="0">
      <alignment vertical="center"/>
    </xf>
    <xf numFmtId="0" fontId="229" fillId="0" borderId="52" applyNumberFormat="0" applyFill="0" applyAlignment="0" applyProtection="0">
      <alignment vertical="center"/>
    </xf>
    <xf numFmtId="0" fontId="229" fillId="0" borderId="52" applyNumberFormat="0" applyFill="0" applyAlignment="0" applyProtection="0">
      <alignment vertical="center"/>
    </xf>
    <xf numFmtId="0" fontId="229" fillId="0" borderId="52" applyNumberFormat="0" applyFill="0" applyAlignment="0" applyProtection="0">
      <alignment vertical="center"/>
    </xf>
    <xf numFmtId="0" fontId="229" fillId="0" borderId="52" applyNumberFormat="0" applyFill="0" applyAlignment="0" applyProtection="0">
      <alignment vertical="center"/>
    </xf>
    <xf numFmtId="0" fontId="229" fillId="0" borderId="52" applyNumberFormat="0" applyFill="0" applyAlignment="0" applyProtection="0">
      <alignment vertical="center"/>
    </xf>
    <xf numFmtId="0" fontId="229" fillId="0" borderId="52" applyNumberFormat="0" applyFill="0" applyAlignment="0" applyProtection="0">
      <alignment vertical="center"/>
    </xf>
    <xf numFmtId="0" fontId="229" fillId="0" borderId="52" applyNumberFormat="0" applyFill="0" applyAlignment="0" applyProtection="0">
      <alignment vertical="center"/>
    </xf>
    <xf numFmtId="0" fontId="229" fillId="0" borderId="52" applyNumberFormat="0" applyFill="0" applyAlignment="0" applyProtection="0">
      <alignment vertical="center"/>
    </xf>
    <xf numFmtId="0" fontId="229" fillId="0" borderId="52" applyNumberFormat="0" applyFill="0" applyAlignment="0" applyProtection="0">
      <alignment vertical="center"/>
    </xf>
    <xf numFmtId="0" fontId="229" fillId="0" borderId="52" applyNumberFormat="0" applyFill="0" applyAlignment="0" applyProtection="0">
      <alignment vertical="center"/>
    </xf>
    <xf numFmtId="0" fontId="229" fillId="0" borderId="52" applyNumberFormat="0" applyFill="0" applyAlignment="0" applyProtection="0">
      <alignment vertical="center"/>
    </xf>
    <xf numFmtId="0" fontId="229" fillId="0" borderId="52" applyNumberFormat="0" applyFill="0" applyAlignment="0" applyProtection="0">
      <alignment vertical="center"/>
    </xf>
    <xf numFmtId="0" fontId="229" fillId="0" borderId="52" applyNumberFormat="0" applyFill="0" applyAlignment="0" applyProtection="0">
      <alignment vertical="center"/>
    </xf>
    <xf numFmtId="0" fontId="229" fillId="0" borderId="52" applyNumberFormat="0" applyFill="0" applyAlignment="0" applyProtection="0">
      <alignment vertical="center"/>
    </xf>
    <xf numFmtId="0" fontId="229" fillId="0" borderId="52" applyNumberFormat="0" applyFill="0" applyAlignment="0" applyProtection="0">
      <alignment vertical="center"/>
    </xf>
    <xf numFmtId="0" fontId="229" fillId="0" borderId="52" applyNumberFormat="0" applyFill="0" applyAlignment="0" applyProtection="0">
      <alignment vertical="center"/>
    </xf>
    <xf numFmtId="0" fontId="229" fillId="0" borderId="52" applyNumberFormat="0" applyFill="0" applyAlignment="0" applyProtection="0">
      <alignment vertical="center"/>
    </xf>
    <xf numFmtId="0" fontId="229" fillId="0" borderId="52" applyNumberFormat="0" applyFill="0" applyAlignment="0" applyProtection="0">
      <alignment vertical="center"/>
    </xf>
    <xf numFmtId="0" fontId="229" fillId="0" borderId="52" applyNumberFormat="0" applyFill="0" applyAlignment="0" applyProtection="0">
      <alignment vertical="center"/>
    </xf>
    <xf numFmtId="0" fontId="229" fillId="0" borderId="52" applyNumberFormat="0" applyFill="0" applyAlignment="0" applyProtection="0">
      <alignment vertical="center"/>
    </xf>
    <xf numFmtId="0" fontId="229" fillId="0" borderId="52" applyNumberFormat="0" applyFill="0" applyAlignment="0" applyProtection="0">
      <alignment vertical="center"/>
    </xf>
    <xf numFmtId="0" fontId="229" fillId="0" borderId="52" applyNumberFormat="0" applyFill="0" applyAlignment="0" applyProtection="0">
      <alignment vertical="center"/>
    </xf>
    <xf numFmtId="0" fontId="229" fillId="0" borderId="52" applyNumberFormat="0" applyFill="0" applyAlignment="0" applyProtection="0">
      <alignment vertical="center"/>
    </xf>
    <xf numFmtId="0" fontId="229" fillId="0" borderId="52" applyNumberFormat="0" applyFill="0" applyAlignment="0" applyProtection="0">
      <alignment vertical="center"/>
    </xf>
    <xf numFmtId="0" fontId="229" fillId="0" borderId="52" applyNumberFormat="0" applyFill="0" applyAlignment="0" applyProtection="0">
      <alignment vertical="center"/>
    </xf>
    <xf numFmtId="0" fontId="229" fillId="0" borderId="52" applyNumberFormat="0" applyFill="0" applyAlignment="0" applyProtection="0">
      <alignment vertical="center"/>
    </xf>
    <xf numFmtId="0" fontId="229" fillId="0" borderId="52" applyNumberFormat="0" applyFill="0" applyAlignment="0" applyProtection="0">
      <alignment vertical="center"/>
    </xf>
    <xf numFmtId="0" fontId="229" fillId="0" borderId="52" applyNumberFormat="0" applyFill="0" applyAlignment="0" applyProtection="0">
      <alignment vertical="center"/>
    </xf>
    <xf numFmtId="0" fontId="229" fillId="0" borderId="52" applyNumberFormat="0" applyFill="0" applyAlignment="0" applyProtection="0">
      <alignment vertical="center"/>
    </xf>
    <xf numFmtId="0" fontId="229" fillId="0" borderId="52" applyNumberFormat="0" applyFill="0" applyAlignment="0" applyProtection="0">
      <alignment vertical="center"/>
    </xf>
    <xf numFmtId="0" fontId="229" fillId="0" borderId="52" applyNumberFormat="0" applyFill="0" applyAlignment="0" applyProtection="0">
      <alignment vertical="center"/>
    </xf>
    <xf numFmtId="0" fontId="229" fillId="0" borderId="52" applyNumberFormat="0" applyFill="0" applyAlignment="0" applyProtection="0">
      <alignment vertical="center"/>
    </xf>
    <xf numFmtId="0" fontId="229" fillId="0" borderId="52" applyNumberFormat="0" applyFill="0" applyAlignment="0" applyProtection="0">
      <alignment vertical="center"/>
    </xf>
    <xf numFmtId="0" fontId="229" fillId="0" borderId="52" applyNumberFormat="0" applyFill="0" applyAlignment="0" applyProtection="0">
      <alignment vertical="center"/>
    </xf>
    <xf numFmtId="0" fontId="229" fillId="0" borderId="52" applyNumberFormat="0" applyFill="0" applyAlignment="0" applyProtection="0">
      <alignment vertical="center"/>
    </xf>
    <xf numFmtId="0" fontId="229" fillId="0" borderId="52" applyNumberFormat="0" applyFill="0" applyAlignment="0" applyProtection="0">
      <alignment vertical="center"/>
    </xf>
    <xf numFmtId="0" fontId="229" fillId="0" borderId="52" applyNumberFormat="0" applyFill="0" applyAlignment="0" applyProtection="0">
      <alignment vertical="center"/>
    </xf>
    <xf numFmtId="0" fontId="229" fillId="0" borderId="52" applyNumberFormat="0" applyFill="0" applyAlignment="0" applyProtection="0">
      <alignment vertical="center"/>
    </xf>
    <xf numFmtId="0" fontId="229" fillId="0" borderId="52" applyNumberFormat="0" applyFill="0" applyAlignment="0" applyProtection="0">
      <alignment vertical="center"/>
    </xf>
    <xf numFmtId="0" fontId="229" fillId="0" borderId="52" applyNumberFormat="0" applyFill="0" applyAlignment="0" applyProtection="0">
      <alignment vertical="center"/>
    </xf>
    <xf numFmtId="0" fontId="229" fillId="0" borderId="52" applyNumberFormat="0" applyFill="0" applyAlignment="0" applyProtection="0">
      <alignment vertical="center"/>
    </xf>
    <xf numFmtId="0" fontId="229" fillId="0" borderId="52" applyNumberFormat="0" applyFill="0" applyAlignment="0" applyProtection="0">
      <alignment vertical="center"/>
    </xf>
    <xf numFmtId="0" fontId="229" fillId="0" borderId="52" applyNumberFormat="0" applyFill="0" applyAlignment="0" applyProtection="0">
      <alignment vertical="center"/>
    </xf>
    <xf numFmtId="0" fontId="229" fillId="0" borderId="52" applyNumberFormat="0" applyFill="0" applyAlignment="0" applyProtection="0">
      <alignment vertical="center"/>
    </xf>
    <xf numFmtId="0" fontId="229" fillId="0" borderId="52" applyNumberFormat="0" applyFill="0" applyAlignment="0" applyProtection="0">
      <alignment vertical="center"/>
    </xf>
    <xf numFmtId="0" fontId="229" fillId="0" borderId="52" applyNumberFormat="0" applyFill="0" applyAlignment="0" applyProtection="0">
      <alignment vertical="center"/>
    </xf>
    <xf numFmtId="0" fontId="229" fillId="0" borderId="52" applyNumberFormat="0" applyFill="0" applyAlignment="0" applyProtection="0">
      <alignment vertical="center"/>
    </xf>
    <xf numFmtId="0" fontId="229" fillId="0" borderId="52" applyNumberFormat="0" applyFill="0" applyAlignment="0" applyProtection="0">
      <alignment vertical="center"/>
    </xf>
    <xf numFmtId="0" fontId="229" fillId="0" borderId="52" applyNumberFormat="0" applyFill="0" applyAlignment="0" applyProtection="0">
      <alignment vertical="center"/>
    </xf>
    <xf numFmtId="0" fontId="229" fillId="0" borderId="52" applyNumberFormat="0" applyFill="0" applyAlignment="0" applyProtection="0">
      <alignment vertical="center"/>
    </xf>
    <xf numFmtId="0" fontId="229" fillId="0" borderId="52" applyNumberFormat="0" applyFill="0" applyAlignment="0" applyProtection="0">
      <alignment vertical="center"/>
    </xf>
    <xf numFmtId="0" fontId="229" fillId="0" borderId="52" applyNumberFormat="0" applyFill="0" applyAlignment="0" applyProtection="0">
      <alignment vertical="center"/>
    </xf>
    <xf numFmtId="0" fontId="229" fillId="0" borderId="52" applyNumberFormat="0" applyFill="0" applyAlignment="0" applyProtection="0">
      <alignment vertical="center"/>
    </xf>
    <xf numFmtId="0" fontId="229" fillId="0" borderId="52" applyNumberFormat="0" applyFill="0" applyAlignment="0" applyProtection="0">
      <alignment vertical="center"/>
    </xf>
    <xf numFmtId="0" fontId="229" fillId="0" borderId="52" applyNumberFormat="0" applyFill="0" applyAlignment="0" applyProtection="0">
      <alignment vertical="center"/>
    </xf>
    <xf numFmtId="0" fontId="229" fillId="0" borderId="52" applyNumberFormat="0" applyFill="0" applyAlignment="0" applyProtection="0">
      <alignment vertical="center"/>
    </xf>
    <xf numFmtId="0" fontId="229" fillId="0" borderId="52" applyNumberFormat="0" applyFill="0" applyAlignment="0" applyProtection="0">
      <alignment vertical="center"/>
    </xf>
    <xf numFmtId="0" fontId="229" fillId="0" borderId="52" applyNumberFormat="0" applyFill="0" applyAlignment="0" applyProtection="0">
      <alignment vertical="center"/>
    </xf>
    <xf numFmtId="0" fontId="229" fillId="0" borderId="52" applyNumberFormat="0" applyFill="0" applyAlignment="0" applyProtection="0">
      <alignment vertical="center"/>
    </xf>
    <xf numFmtId="0" fontId="5" fillId="0" borderId="0"/>
    <xf numFmtId="0" fontId="5" fillId="0" borderId="0"/>
    <xf numFmtId="0" fontId="20" fillId="0" borderId="0">
      <alignment vertical="center"/>
    </xf>
    <xf numFmtId="0" fontId="3" fillId="0" borderId="0">
      <alignment vertical="center"/>
    </xf>
    <xf numFmtId="177" fontId="3" fillId="0" borderId="0" applyFont="0" applyFill="0" applyBorder="0" applyAlignment="0" applyProtection="0">
      <alignment vertical="center"/>
    </xf>
    <xf numFmtId="180" fontId="25" fillId="0" borderId="60" applyFill="0" applyBorder="0" applyAlignment="0"/>
    <xf numFmtId="0" fontId="44" fillId="0" borderId="74">
      <alignment horizontal="left" vertical="center"/>
    </xf>
    <xf numFmtId="10" fontId="42" fillId="3" borderId="60" applyNumberFormat="0" applyBorder="0" applyAlignment="0" applyProtection="0"/>
    <xf numFmtId="225" fontId="8" fillId="0" borderId="60">
      <alignment horizontal="right" vertical="center" shrinkToFit="1"/>
    </xf>
    <xf numFmtId="227" fontId="40" fillId="0" borderId="60" applyFont="0" applyBorder="0" applyAlignment="0">
      <alignment horizontal="center" vertical="center"/>
    </xf>
    <xf numFmtId="180" fontId="20" fillId="3" borderId="60">
      <alignment horizontal="right" vertical="center"/>
      <protection locked="0"/>
    </xf>
    <xf numFmtId="177" fontId="5" fillId="0" borderId="0" applyFont="0" applyFill="0" applyBorder="0" applyAlignment="0" applyProtection="0"/>
    <xf numFmtId="177" fontId="19" fillId="0" borderId="0" applyFont="0" applyFill="0" applyBorder="0" applyAlignment="0" applyProtection="0">
      <alignment vertical="center"/>
    </xf>
    <xf numFmtId="177" fontId="19" fillId="0" borderId="0" applyFont="0" applyFill="0" applyBorder="0" applyAlignment="0" applyProtection="0">
      <alignment vertical="center"/>
    </xf>
    <xf numFmtId="177" fontId="19" fillId="0" borderId="0" applyFont="0" applyFill="0" applyBorder="0" applyAlignment="0" applyProtection="0">
      <alignment vertical="center"/>
    </xf>
    <xf numFmtId="177" fontId="19" fillId="0" borderId="0" applyFont="0" applyFill="0" applyBorder="0" applyAlignment="0" applyProtection="0">
      <alignment vertical="center"/>
    </xf>
    <xf numFmtId="177" fontId="19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233" fontId="5" fillId="0" borderId="60" applyFont="0" applyFill="0" applyBorder="0" applyAlignment="0" applyProtection="0">
      <alignment vertical="center"/>
    </xf>
    <xf numFmtId="233" fontId="5" fillId="0" borderId="60" applyFont="0" applyFill="0" applyBorder="0" applyAlignment="0" applyProtection="0">
      <alignment vertical="center"/>
    </xf>
    <xf numFmtId="233" fontId="5" fillId="0" borderId="60" applyFont="0" applyFill="0" applyBorder="0" applyAlignment="0" applyProtection="0">
      <alignment vertical="center"/>
    </xf>
    <xf numFmtId="233" fontId="5" fillId="0" borderId="60" applyFont="0" applyFill="0" applyBorder="0" applyAlignment="0" applyProtection="0">
      <alignment vertical="center"/>
    </xf>
    <xf numFmtId="233" fontId="5" fillId="0" borderId="60" applyFont="0" applyFill="0" applyBorder="0" applyAlignment="0" applyProtection="0">
      <alignment vertical="center"/>
    </xf>
    <xf numFmtId="233" fontId="5" fillId="0" borderId="60" applyFont="0" applyFill="0" applyBorder="0" applyAlignment="0" applyProtection="0">
      <alignment vertical="center"/>
    </xf>
    <xf numFmtId="233" fontId="5" fillId="0" borderId="60" applyFont="0" applyFill="0" applyBorder="0" applyAlignment="0" applyProtection="0">
      <alignment vertical="center"/>
    </xf>
    <xf numFmtId="233" fontId="5" fillId="0" borderId="60" applyFont="0" applyFill="0" applyBorder="0" applyAlignment="0" applyProtection="0">
      <alignment vertical="center"/>
    </xf>
    <xf numFmtId="233" fontId="5" fillId="0" borderId="60" applyFont="0" applyFill="0" applyBorder="0" applyAlignment="0" applyProtection="0">
      <alignment vertical="center"/>
    </xf>
    <xf numFmtId="233" fontId="5" fillId="0" borderId="60" applyFont="0" applyFill="0" applyBorder="0" applyAlignment="0" applyProtection="0">
      <alignment vertical="center"/>
    </xf>
    <xf numFmtId="233" fontId="5" fillId="0" borderId="60" applyFont="0" applyFill="0" applyBorder="0" applyAlignment="0" applyProtection="0">
      <alignment vertical="center"/>
    </xf>
    <xf numFmtId="233" fontId="5" fillId="0" borderId="60" applyFont="0" applyFill="0" applyBorder="0" applyAlignment="0" applyProtection="0">
      <alignment vertical="center"/>
    </xf>
    <xf numFmtId="233" fontId="5" fillId="0" borderId="60" applyFont="0" applyFill="0" applyBorder="0" applyAlignment="0" applyProtection="0">
      <alignment vertical="center"/>
    </xf>
    <xf numFmtId="233" fontId="5" fillId="0" borderId="60" applyFont="0" applyFill="0" applyBorder="0" applyAlignment="0" applyProtection="0">
      <alignment vertical="center"/>
    </xf>
    <xf numFmtId="233" fontId="5" fillId="0" borderId="60" applyFont="0" applyFill="0" applyBorder="0" applyAlignment="0" applyProtection="0">
      <alignment vertical="center"/>
    </xf>
    <xf numFmtId="233" fontId="5" fillId="0" borderId="60" applyFont="0" applyFill="0" applyBorder="0" applyAlignment="0" applyProtection="0">
      <alignment vertical="center"/>
    </xf>
    <xf numFmtId="233" fontId="5" fillId="0" borderId="60" applyFont="0" applyFill="0" applyBorder="0" applyAlignment="0" applyProtection="0">
      <alignment vertical="center"/>
    </xf>
    <xf numFmtId="233" fontId="5" fillId="0" borderId="60" applyFont="0" applyFill="0" applyBorder="0" applyAlignment="0" applyProtection="0">
      <alignment vertical="center"/>
    </xf>
    <xf numFmtId="233" fontId="5" fillId="0" borderId="60" applyFont="0" applyFill="0" applyBorder="0" applyAlignment="0" applyProtection="0">
      <alignment vertical="center"/>
    </xf>
    <xf numFmtId="233" fontId="5" fillId="0" borderId="60" applyFont="0" applyFill="0" applyBorder="0" applyAlignment="0" applyProtection="0">
      <alignment vertical="center"/>
    </xf>
    <xf numFmtId="233" fontId="5" fillId="0" borderId="60" applyFont="0" applyFill="0" applyBorder="0" applyAlignment="0" applyProtection="0">
      <alignment vertical="center"/>
    </xf>
    <xf numFmtId="233" fontId="5" fillId="0" borderId="60" applyFont="0" applyFill="0" applyBorder="0" applyAlignment="0" applyProtection="0">
      <alignment vertical="center"/>
    </xf>
    <xf numFmtId="233" fontId="5" fillId="0" borderId="60" applyFont="0" applyFill="0" applyBorder="0" applyAlignment="0" applyProtection="0">
      <alignment vertical="center"/>
    </xf>
    <xf numFmtId="233" fontId="5" fillId="0" borderId="60" applyFont="0" applyFill="0" applyBorder="0" applyAlignment="0" applyProtection="0">
      <alignment vertical="center"/>
    </xf>
    <xf numFmtId="233" fontId="5" fillId="0" borderId="60" applyFont="0" applyFill="0" applyBorder="0" applyAlignment="0" applyProtection="0">
      <alignment vertical="center"/>
    </xf>
    <xf numFmtId="233" fontId="5" fillId="0" borderId="60" applyFont="0" applyFill="0" applyBorder="0" applyAlignment="0" applyProtection="0">
      <alignment vertical="center"/>
    </xf>
    <xf numFmtId="233" fontId="5" fillId="0" borderId="60" applyFont="0" applyFill="0" applyBorder="0" applyAlignment="0" applyProtection="0">
      <alignment vertical="center"/>
    </xf>
    <xf numFmtId="233" fontId="5" fillId="0" borderId="60" applyFont="0" applyFill="0" applyBorder="0" applyAlignment="0" applyProtection="0">
      <alignment vertical="center"/>
    </xf>
    <xf numFmtId="233" fontId="5" fillId="0" borderId="60" applyFont="0" applyFill="0" applyBorder="0" applyAlignment="0" applyProtection="0">
      <alignment vertical="center"/>
    </xf>
    <xf numFmtId="233" fontId="5" fillId="0" borderId="60" applyFont="0" applyFill="0" applyBorder="0" applyAlignment="0" applyProtection="0">
      <alignment vertical="center"/>
    </xf>
    <xf numFmtId="233" fontId="5" fillId="0" borderId="60" applyFont="0" applyFill="0" applyBorder="0" applyAlignment="0" applyProtection="0">
      <alignment vertical="center"/>
    </xf>
    <xf numFmtId="233" fontId="5" fillId="0" borderId="60" applyFont="0" applyFill="0" applyBorder="0" applyAlignment="0" applyProtection="0">
      <alignment vertical="center"/>
    </xf>
    <xf numFmtId="233" fontId="5" fillId="0" borderId="60" applyFont="0" applyFill="0" applyBorder="0" applyAlignment="0" applyProtection="0">
      <alignment vertical="center"/>
    </xf>
    <xf numFmtId="233" fontId="5" fillId="0" borderId="60" applyFont="0" applyFill="0" applyBorder="0" applyAlignment="0" applyProtection="0">
      <alignment vertical="center"/>
    </xf>
    <xf numFmtId="233" fontId="5" fillId="0" borderId="60" applyFont="0" applyFill="0" applyBorder="0" applyAlignment="0" applyProtection="0">
      <alignment vertical="center"/>
    </xf>
    <xf numFmtId="233" fontId="5" fillId="0" borderId="60" applyFont="0" applyFill="0" applyBorder="0" applyAlignment="0" applyProtection="0">
      <alignment vertical="center"/>
    </xf>
    <xf numFmtId="233" fontId="5" fillId="0" borderId="60" applyFont="0" applyFill="0" applyBorder="0" applyAlignment="0" applyProtection="0">
      <alignment vertical="center"/>
    </xf>
    <xf numFmtId="233" fontId="5" fillId="0" borderId="60" applyFont="0" applyFill="0" applyBorder="0" applyAlignment="0" applyProtection="0">
      <alignment vertical="center"/>
    </xf>
    <xf numFmtId="233" fontId="5" fillId="0" borderId="60" applyFont="0" applyFill="0" applyBorder="0" applyAlignment="0" applyProtection="0">
      <alignment vertical="center"/>
    </xf>
    <xf numFmtId="233" fontId="5" fillId="0" borderId="60" applyFont="0" applyFill="0" applyBorder="0" applyAlignment="0" applyProtection="0">
      <alignment vertical="center"/>
    </xf>
    <xf numFmtId="233" fontId="5" fillId="0" borderId="60" applyFont="0" applyFill="0" applyBorder="0" applyAlignment="0" applyProtection="0">
      <alignment vertical="center"/>
    </xf>
    <xf numFmtId="233" fontId="5" fillId="0" borderId="60" applyFont="0" applyFill="0" applyBorder="0" applyAlignment="0" applyProtection="0">
      <alignment vertical="center"/>
    </xf>
    <xf numFmtId="233" fontId="5" fillId="0" borderId="60" applyFont="0" applyFill="0" applyBorder="0" applyAlignment="0" applyProtection="0">
      <alignment vertical="center"/>
    </xf>
    <xf numFmtId="233" fontId="5" fillId="0" borderId="60" applyFont="0" applyFill="0" applyBorder="0" applyAlignment="0" applyProtection="0">
      <alignment vertical="center"/>
    </xf>
    <xf numFmtId="233" fontId="5" fillId="0" borderId="60" applyFont="0" applyFill="0" applyBorder="0" applyAlignment="0" applyProtection="0">
      <alignment vertical="center"/>
    </xf>
    <xf numFmtId="219" fontId="5" fillId="0" borderId="60" applyFont="0" applyFill="0" applyBorder="0" applyAlignment="0" applyProtection="0">
      <alignment vertical="center"/>
    </xf>
    <xf numFmtId="219" fontId="5" fillId="0" borderId="60" applyFont="0" applyFill="0" applyBorder="0" applyAlignment="0" applyProtection="0">
      <alignment vertical="center"/>
    </xf>
    <xf numFmtId="219" fontId="5" fillId="0" borderId="60" applyFont="0" applyFill="0" applyBorder="0" applyAlignment="0" applyProtection="0">
      <alignment vertical="center"/>
    </xf>
    <xf numFmtId="219" fontId="5" fillId="0" borderId="60" applyFont="0" applyFill="0" applyBorder="0" applyAlignment="0" applyProtection="0">
      <alignment vertical="center"/>
    </xf>
    <xf numFmtId="219" fontId="5" fillId="0" borderId="60" applyFont="0" applyFill="0" applyBorder="0" applyAlignment="0" applyProtection="0">
      <alignment vertical="center"/>
    </xf>
    <xf numFmtId="219" fontId="5" fillId="0" borderId="60" applyFont="0" applyFill="0" applyBorder="0" applyAlignment="0" applyProtection="0">
      <alignment vertical="center"/>
    </xf>
    <xf numFmtId="219" fontId="5" fillId="0" borderId="60" applyFont="0" applyFill="0" applyBorder="0" applyAlignment="0" applyProtection="0">
      <alignment vertical="center"/>
    </xf>
    <xf numFmtId="219" fontId="5" fillId="0" borderId="60" applyFont="0" applyFill="0" applyBorder="0" applyAlignment="0" applyProtection="0">
      <alignment vertical="center"/>
    </xf>
    <xf numFmtId="219" fontId="5" fillId="0" borderId="60" applyFont="0" applyFill="0" applyBorder="0" applyAlignment="0" applyProtection="0">
      <alignment vertical="center"/>
    </xf>
    <xf numFmtId="219" fontId="5" fillId="0" borderId="60" applyFont="0" applyFill="0" applyBorder="0" applyAlignment="0" applyProtection="0">
      <alignment vertical="center"/>
    </xf>
    <xf numFmtId="219" fontId="5" fillId="0" borderId="60" applyFont="0" applyFill="0" applyBorder="0" applyAlignment="0" applyProtection="0">
      <alignment vertical="center"/>
    </xf>
    <xf numFmtId="219" fontId="5" fillId="0" borderId="60" applyFont="0" applyFill="0" applyBorder="0" applyAlignment="0" applyProtection="0">
      <alignment vertical="center"/>
    </xf>
    <xf numFmtId="219" fontId="5" fillId="0" borderId="60" applyFont="0" applyFill="0" applyBorder="0" applyAlignment="0" applyProtection="0">
      <alignment vertical="center"/>
    </xf>
    <xf numFmtId="219" fontId="5" fillId="0" borderId="60" applyFont="0" applyFill="0" applyBorder="0" applyAlignment="0" applyProtection="0">
      <alignment vertical="center"/>
    </xf>
    <xf numFmtId="219" fontId="5" fillId="0" borderId="60" applyFont="0" applyFill="0" applyBorder="0" applyAlignment="0" applyProtection="0">
      <alignment vertical="center"/>
    </xf>
    <xf numFmtId="219" fontId="5" fillId="0" borderId="60" applyFont="0" applyFill="0" applyBorder="0" applyAlignment="0" applyProtection="0">
      <alignment vertical="center"/>
    </xf>
    <xf numFmtId="219" fontId="5" fillId="0" borderId="60" applyFont="0" applyFill="0" applyBorder="0" applyAlignment="0" applyProtection="0">
      <alignment vertical="center"/>
    </xf>
    <xf numFmtId="219" fontId="5" fillId="0" borderId="60" applyFont="0" applyFill="0" applyBorder="0" applyAlignment="0" applyProtection="0">
      <alignment vertical="center"/>
    </xf>
    <xf numFmtId="219" fontId="5" fillId="0" borderId="60" applyFont="0" applyFill="0" applyBorder="0" applyAlignment="0" applyProtection="0">
      <alignment vertical="center"/>
    </xf>
    <xf numFmtId="219" fontId="5" fillId="0" borderId="60" applyFont="0" applyFill="0" applyBorder="0" applyAlignment="0" applyProtection="0">
      <alignment vertical="center"/>
    </xf>
    <xf numFmtId="219" fontId="5" fillId="0" borderId="60" applyFont="0" applyFill="0" applyBorder="0" applyAlignment="0" applyProtection="0">
      <alignment vertical="center"/>
    </xf>
    <xf numFmtId="219" fontId="5" fillId="0" borderId="60" applyFont="0" applyFill="0" applyBorder="0" applyAlignment="0" applyProtection="0">
      <alignment vertical="center"/>
    </xf>
    <xf numFmtId="219" fontId="5" fillId="0" borderId="60" applyFont="0" applyFill="0" applyBorder="0" applyAlignment="0" applyProtection="0">
      <alignment vertical="center"/>
    </xf>
    <xf numFmtId="219" fontId="5" fillId="0" borderId="60" applyFont="0" applyFill="0" applyBorder="0" applyAlignment="0" applyProtection="0">
      <alignment vertical="center"/>
    </xf>
    <xf numFmtId="219" fontId="5" fillId="0" borderId="60" applyFont="0" applyFill="0" applyBorder="0" applyAlignment="0" applyProtection="0">
      <alignment vertical="center"/>
    </xf>
    <xf numFmtId="219" fontId="5" fillId="0" borderId="60" applyFont="0" applyFill="0" applyBorder="0" applyAlignment="0" applyProtection="0">
      <alignment vertical="center"/>
    </xf>
    <xf numFmtId="219" fontId="5" fillId="0" borderId="60" applyFont="0" applyFill="0" applyBorder="0" applyAlignment="0" applyProtection="0">
      <alignment vertical="center"/>
    </xf>
    <xf numFmtId="219" fontId="5" fillId="0" borderId="60" applyFont="0" applyFill="0" applyBorder="0" applyAlignment="0" applyProtection="0">
      <alignment vertical="center"/>
    </xf>
    <xf numFmtId="219" fontId="5" fillId="0" borderId="60" applyFont="0" applyFill="0" applyBorder="0" applyAlignment="0" applyProtection="0">
      <alignment vertical="center"/>
    </xf>
    <xf numFmtId="219" fontId="5" fillId="0" borderId="60" applyFont="0" applyFill="0" applyBorder="0" applyAlignment="0" applyProtection="0">
      <alignment vertical="center"/>
    </xf>
    <xf numFmtId="219" fontId="5" fillId="0" borderId="60" applyFont="0" applyFill="0" applyBorder="0" applyAlignment="0" applyProtection="0">
      <alignment vertical="center"/>
    </xf>
    <xf numFmtId="219" fontId="5" fillId="0" borderId="60" applyFont="0" applyFill="0" applyBorder="0" applyAlignment="0" applyProtection="0">
      <alignment vertical="center"/>
    </xf>
    <xf numFmtId="219" fontId="5" fillId="0" borderId="60" applyFont="0" applyFill="0" applyBorder="0" applyAlignment="0" applyProtection="0">
      <alignment vertical="center"/>
    </xf>
    <xf numFmtId="219" fontId="5" fillId="0" borderId="60" applyFont="0" applyFill="0" applyBorder="0" applyAlignment="0" applyProtection="0">
      <alignment vertical="center"/>
    </xf>
    <xf numFmtId="219" fontId="5" fillId="0" borderId="60" applyFont="0" applyFill="0" applyBorder="0" applyAlignment="0" applyProtection="0">
      <alignment vertical="center"/>
    </xf>
    <xf numFmtId="219" fontId="5" fillId="0" borderId="60" applyFont="0" applyFill="0" applyBorder="0" applyAlignment="0" applyProtection="0">
      <alignment vertical="center"/>
    </xf>
    <xf numFmtId="219" fontId="5" fillId="0" borderId="60" applyFont="0" applyFill="0" applyBorder="0" applyAlignment="0" applyProtection="0">
      <alignment vertical="center"/>
    </xf>
    <xf numFmtId="219" fontId="5" fillId="0" borderId="60" applyFont="0" applyFill="0" applyBorder="0" applyAlignment="0" applyProtection="0">
      <alignment vertical="center"/>
    </xf>
    <xf numFmtId="219" fontId="5" fillId="0" borderId="60" applyFont="0" applyFill="0" applyBorder="0" applyAlignment="0" applyProtection="0">
      <alignment vertical="center"/>
    </xf>
    <xf numFmtId="219" fontId="5" fillId="0" borderId="60" applyFont="0" applyFill="0" applyBorder="0" applyAlignment="0" applyProtection="0">
      <alignment vertical="center"/>
    </xf>
    <xf numFmtId="219" fontId="5" fillId="0" borderId="60" applyFont="0" applyFill="0" applyBorder="0" applyAlignment="0" applyProtection="0">
      <alignment vertical="center"/>
    </xf>
    <xf numFmtId="219" fontId="5" fillId="0" borderId="60" applyFont="0" applyFill="0" applyBorder="0" applyAlignment="0" applyProtection="0">
      <alignment vertical="center"/>
    </xf>
    <xf numFmtId="219" fontId="5" fillId="0" borderId="60" applyFont="0" applyFill="0" applyBorder="0" applyAlignment="0" applyProtection="0">
      <alignment vertical="center"/>
    </xf>
    <xf numFmtId="219" fontId="5" fillId="0" borderId="60" applyFont="0" applyFill="0" applyBorder="0" applyAlignment="0" applyProtection="0">
      <alignment vertical="center"/>
    </xf>
    <xf numFmtId="219" fontId="5" fillId="0" borderId="60" applyFont="0" applyFill="0" applyBorder="0" applyAlignment="0" applyProtection="0">
      <alignment vertical="center"/>
    </xf>
    <xf numFmtId="179" fontId="90" fillId="0" borderId="0" applyFont="0" applyFill="0" applyBorder="0" applyAlignment="0" applyProtection="0"/>
    <xf numFmtId="177" fontId="92" fillId="0" borderId="0" applyFont="0" applyFill="0" applyBorder="0" applyAlignment="0" applyProtection="0"/>
    <xf numFmtId="177" fontId="92" fillId="0" borderId="0" applyFont="0" applyFill="0" applyBorder="0" applyAlignment="0" applyProtection="0"/>
    <xf numFmtId="177" fontId="92" fillId="0" borderId="0" applyFont="0" applyFill="0" applyBorder="0" applyAlignment="0" applyProtection="0"/>
    <xf numFmtId="177" fontId="92" fillId="0" borderId="0" applyFont="0" applyFill="0" applyBorder="0" applyAlignment="0" applyProtection="0"/>
    <xf numFmtId="177" fontId="92" fillId="0" borderId="0" applyFont="0" applyFill="0" applyBorder="0" applyAlignment="0" applyProtection="0"/>
    <xf numFmtId="177" fontId="92" fillId="0" borderId="0" applyFont="0" applyFill="0" applyBorder="0" applyAlignment="0" applyProtection="0"/>
    <xf numFmtId="177" fontId="92" fillId="0" borderId="0" applyFont="0" applyFill="0" applyBorder="0" applyAlignment="0" applyProtection="0"/>
    <xf numFmtId="177" fontId="92" fillId="0" borderId="0" applyFont="0" applyFill="0" applyBorder="0" applyAlignment="0" applyProtection="0"/>
    <xf numFmtId="177" fontId="92" fillId="0" borderId="0" applyFont="0" applyFill="0" applyBorder="0" applyAlignment="0" applyProtection="0"/>
    <xf numFmtId="177" fontId="92" fillId="0" borderId="0" applyFont="0" applyFill="0" applyBorder="0" applyAlignment="0" applyProtection="0"/>
    <xf numFmtId="177" fontId="92" fillId="0" borderId="0" applyFont="0" applyFill="0" applyBorder="0" applyAlignment="0" applyProtection="0"/>
    <xf numFmtId="177" fontId="92" fillId="0" borderId="0" applyFont="0" applyFill="0" applyBorder="0" applyAlignment="0" applyProtection="0"/>
    <xf numFmtId="177" fontId="92" fillId="0" borderId="0" applyFont="0" applyFill="0" applyBorder="0" applyAlignment="0" applyProtection="0"/>
    <xf numFmtId="177" fontId="92" fillId="0" borderId="0" applyFont="0" applyFill="0" applyBorder="0" applyAlignment="0" applyProtection="0"/>
    <xf numFmtId="177" fontId="92" fillId="0" borderId="0" applyFont="0" applyFill="0" applyBorder="0" applyAlignment="0" applyProtection="0"/>
    <xf numFmtId="177" fontId="92" fillId="0" borderId="0" applyFont="0" applyFill="0" applyBorder="0" applyAlignment="0" applyProtection="0"/>
    <xf numFmtId="177" fontId="92" fillId="0" borderId="0" applyFont="0" applyFill="0" applyBorder="0" applyAlignment="0" applyProtection="0"/>
    <xf numFmtId="177" fontId="92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7" fontId="92" fillId="0" borderId="0" applyFont="0" applyFill="0" applyBorder="0" applyAlignment="0" applyProtection="0"/>
    <xf numFmtId="177" fontId="92" fillId="0" borderId="0" applyFont="0" applyFill="0" applyBorder="0" applyAlignment="0" applyProtection="0"/>
    <xf numFmtId="177" fontId="92" fillId="0" borderId="0" applyFont="0" applyFill="0" applyBorder="0" applyAlignment="0" applyProtection="0"/>
    <xf numFmtId="179" fontId="5" fillId="0" borderId="0" applyFont="0" applyFill="0" applyBorder="0" applyAlignment="0" applyProtection="0"/>
    <xf numFmtId="177" fontId="92" fillId="0" borderId="0" applyFont="0" applyFill="0" applyBorder="0" applyAlignment="0" applyProtection="0"/>
    <xf numFmtId="177" fontId="92" fillId="0" borderId="0" applyFont="0" applyFill="0" applyBorder="0" applyAlignment="0" applyProtection="0"/>
    <xf numFmtId="177" fontId="92" fillId="0" borderId="0" applyFont="0" applyFill="0" applyBorder="0" applyAlignment="0" applyProtection="0"/>
    <xf numFmtId="177" fontId="92" fillId="0" borderId="0" applyFont="0" applyFill="0" applyBorder="0" applyAlignment="0" applyProtection="0"/>
    <xf numFmtId="177" fontId="92" fillId="0" borderId="0" applyFont="0" applyFill="0" applyBorder="0" applyAlignment="0" applyProtection="0"/>
    <xf numFmtId="177" fontId="92" fillId="0" borderId="0" applyFont="0" applyFill="0" applyBorder="0" applyAlignment="0" applyProtection="0"/>
    <xf numFmtId="177" fontId="92" fillId="0" borderId="0" applyFont="0" applyFill="0" applyBorder="0" applyAlignment="0" applyProtection="0"/>
    <xf numFmtId="177" fontId="92" fillId="0" borderId="0" applyFont="0" applyFill="0" applyBorder="0" applyAlignment="0" applyProtection="0"/>
    <xf numFmtId="177" fontId="92" fillId="0" borderId="0" applyFont="0" applyFill="0" applyBorder="0" applyAlignment="0" applyProtection="0"/>
    <xf numFmtId="177" fontId="92" fillId="0" borderId="0" applyFont="0" applyFill="0" applyBorder="0" applyAlignment="0" applyProtection="0"/>
    <xf numFmtId="177" fontId="92" fillId="0" borderId="0" applyFont="0" applyFill="0" applyBorder="0" applyAlignment="0" applyProtection="0"/>
    <xf numFmtId="177" fontId="92" fillId="0" borderId="0" applyFont="0" applyFill="0" applyBorder="0" applyAlignment="0" applyProtection="0"/>
    <xf numFmtId="177" fontId="92" fillId="0" borderId="0" applyFont="0" applyFill="0" applyBorder="0" applyAlignment="0" applyProtection="0"/>
    <xf numFmtId="177" fontId="92" fillId="0" borderId="0" applyFont="0" applyFill="0" applyBorder="0" applyAlignment="0" applyProtection="0"/>
    <xf numFmtId="177" fontId="92" fillId="0" borderId="0" applyFont="0" applyFill="0" applyBorder="0" applyAlignment="0" applyProtection="0"/>
    <xf numFmtId="176" fontId="5" fillId="0" borderId="0" applyFont="0" applyFill="0" applyBorder="0" applyAlignment="0" applyProtection="0"/>
    <xf numFmtId="177" fontId="92" fillId="0" borderId="0" applyFont="0" applyFill="0" applyBorder="0" applyAlignment="0" applyProtection="0"/>
    <xf numFmtId="177" fontId="92" fillId="0" borderId="0" applyFont="0" applyFill="0" applyBorder="0" applyAlignment="0" applyProtection="0"/>
    <xf numFmtId="177" fontId="92" fillId="0" borderId="0" applyFont="0" applyFill="0" applyBorder="0" applyAlignment="0" applyProtection="0"/>
    <xf numFmtId="177" fontId="92" fillId="0" borderId="0" applyFont="0" applyFill="0" applyBorder="0" applyAlignment="0" applyProtection="0"/>
    <xf numFmtId="177" fontId="92" fillId="0" borderId="0" applyFont="0" applyFill="0" applyBorder="0" applyAlignment="0" applyProtection="0"/>
    <xf numFmtId="177" fontId="92" fillId="0" borderId="0" applyFont="0" applyFill="0" applyBorder="0" applyAlignment="0" applyProtection="0"/>
    <xf numFmtId="177" fontId="92" fillId="0" borderId="0" applyFont="0" applyFill="0" applyBorder="0" applyAlignment="0" applyProtection="0"/>
    <xf numFmtId="177" fontId="92" fillId="0" borderId="0" applyFont="0" applyFill="0" applyBorder="0" applyAlignment="0" applyProtection="0"/>
    <xf numFmtId="177" fontId="92" fillId="0" borderId="0" applyFont="0" applyFill="0" applyBorder="0" applyAlignment="0" applyProtection="0"/>
    <xf numFmtId="177" fontId="92" fillId="0" borderId="0" applyFont="0" applyFill="0" applyBorder="0" applyAlignment="0" applyProtection="0"/>
    <xf numFmtId="177" fontId="92" fillId="0" borderId="0" applyFont="0" applyFill="0" applyBorder="0" applyAlignment="0" applyProtection="0"/>
    <xf numFmtId="177" fontId="92" fillId="0" borderId="0" applyFont="0" applyFill="0" applyBorder="0" applyAlignment="0" applyProtection="0"/>
    <xf numFmtId="177" fontId="92" fillId="0" borderId="0" applyFont="0" applyFill="0" applyBorder="0" applyAlignment="0" applyProtection="0"/>
    <xf numFmtId="177" fontId="92" fillId="0" borderId="0" applyFont="0" applyFill="0" applyBorder="0" applyAlignment="0" applyProtection="0"/>
    <xf numFmtId="177" fontId="92" fillId="0" borderId="0" applyFont="0" applyFill="0" applyBorder="0" applyAlignment="0" applyProtection="0"/>
    <xf numFmtId="177" fontId="92" fillId="0" borderId="0" applyFont="0" applyFill="0" applyBorder="0" applyAlignment="0" applyProtection="0"/>
    <xf numFmtId="177" fontId="92" fillId="0" borderId="0" applyFont="0" applyFill="0" applyBorder="0" applyAlignment="0" applyProtection="0"/>
    <xf numFmtId="177" fontId="92" fillId="0" borderId="0" applyFont="0" applyFill="0" applyBorder="0" applyAlignment="0" applyProtection="0"/>
    <xf numFmtId="177" fontId="92" fillId="0" borderId="0" applyFont="0" applyFill="0" applyBorder="0" applyAlignment="0" applyProtection="0"/>
    <xf numFmtId="177" fontId="92" fillId="0" borderId="0" applyFont="0" applyFill="0" applyBorder="0" applyAlignment="0" applyProtection="0"/>
    <xf numFmtId="177" fontId="92" fillId="0" borderId="0" applyFont="0" applyFill="0" applyBorder="0" applyAlignment="0" applyProtection="0"/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130" fillId="59" borderId="82" applyNumberFormat="0" applyAlignment="0" applyProtection="0"/>
    <xf numFmtId="0" fontId="130" fillId="59" borderId="82" applyNumberFormat="0" applyAlignment="0" applyProtection="0"/>
    <xf numFmtId="0" fontId="130" fillId="59" borderId="82" applyNumberFormat="0" applyAlignment="0" applyProtection="0"/>
    <xf numFmtId="0" fontId="130" fillId="59" borderId="82" applyNumberFormat="0" applyAlignment="0" applyProtection="0"/>
    <xf numFmtId="0" fontId="130" fillId="59" borderId="82" applyNumberFormat="0" applyAlignment="0" applyProtection="0"/>
    <xf numFmtId="0" fontId="130" fillId="59" borderId="82" applyNumberFormat="0" applyAlignment="0" applyProtection="0"/>
    <xf numFmtId="0" fontId="130" fillId="59" borderId="82" applyNumberFormat="0" applyAlignment="0" applyProtection="0"/>
    <xf numFmtId="0" fontId="130" fillId="59" borderId="82" applyNumberFormat="0" applyAlignment="0" applyProtection="0"/>
    <xf numFmtId="0" fontId="130" fillId="59" borderId="82" applyNumberFormat="0" applyAlignment="0" applyProtection="0"/>
    <xf numFmtId="0" fontId="130" fillId="59" borderId="82" applyNumberFormat="0" applyAlignment="0" applyProtection="0"/>
    <xf numFmtId="0" fontId="130" fillId="59" borderId="82" applyNumberFormat="0" applyAlignment="0" applyProtection="0"/>
    <xf numFmtId="0" fontId="130" fillId="59" borderId="82" applyNumberFormat="0" applyAlignment="0" applyProtection="0"/>
    <xf numFmtId="0" fontId="130" fillId="59" borderId="82" applyNumberFormat="0" applyAlignment="0" applyProtection="0"/>
    <xf numFmtId="0" fontId="130" fillId="59" borderId="82" applyNumberFormat="0" applyAlignment="0" applyProtection="0"/>
    <xf numFmtId="0" fontId="130" fillId="59" borderId="82" applyNumberFormat="0" applyAlignment="0" applyProtection="0"/>
    <xf numFmtId="0" fontId="130" fillId="59" borderId="82" applyNumberFormat="0" applyAlignment="0" applyProtection="0"/>
    <xf numFmtId="0" fontId="130" fillId="59" borderId="82" applyNumberFormat="0" applyAlignment="0" applyProtection="0"/>
    <xf numFmtId="0" fontId="130" fillId="59" borderId="82" applyNumberFormat="0" applyAlignment="0" applyProtection="0"/>
    <xf numFmtId="0" fontId="130" fillId="59" borderId="82" applyNumberFormat="0" applyAlignment="0" applyProtection="0"/>
    <xf numFmtId="0" fontId="130" fillId="59" borderId="82" applyNumberFormat="0" applyAlignment="0" applyProtection="0"/>
    <xf numFmtId="0" fontId="130" fillId="59" borderId="82" applyNumberFormat="0" applyAlignment="0" applyProtection="0"/>
    <xf numFmtId="0" fontId="130" fillId="59" borderId="82" applyNumberFormat="0" applyAlignment="0" applyProtection="0"/>
    <xf numFmtId="0" fontId="130" fillId="59" borderId="82" applyNumberFormat="0" applyAlignment="0" applyProtection="0"/>
    <xf numFmtId="0" fontId="130" fillId="59" borderId="82" applyNumberFormat="0" applyAlignment="0" applyProtection="0"/>
    <xf numFmtId="0" fontId="130" fillId="59" borderId="82" applyNumberFormat="0" applyAlignment="0" applyProtection="0"/>
    <xf numFmtId="0" fontId="130" fillId="59" borderId="82" applyNumberFormat="0" applyAlignment="0" applyProtection="0"/>
    <xf numFmtId="0" fontId="130" fillId="59" borderId="82" applyNumberFormat="0" applyAlignment="0" applyProtection="0"/>
    <xf numFmtId="0" fontId="130" fillId="59" borderId="82" applyNumberFormat="0" applyAlignment="0" applyProtection="0"/>
    <xf numFmtId="0" fontId="130" fillId="59" borderId="82" applyNumberFormat="0" applyAlignment="0" applyProtection="0"/>
    <xf numFmtId="0" fontId="130" fillId="59" borderId="82" applyNumberFormat="0" applyAlignment="0" applyProtection="0"/>
    <xf numFmtId="0" fontId="130" fillId="59" borderId="82" applyNumberFormat="0" applyAlignment="0" applyProtection="0"/>
    <xf numFmtId="0" fontId="130" fillId="59" borderId="82" applyNumberFormat="0" applyAlignment="0" applyProtection="0"/>
    <xf numFmtId="0" fontId="130" fillId="59" borderId="82" applyNumberFormat="0" applyAlignment="0" applyProtection="0"/>
    <xf numFmtId="0" fontId="130" fillId="59" borderId="82" applyNumberFormat="0" applyAlignment="0" applyProtection="0"/>
    <xf numFmtId="0" fontId="130" fillId="59" borderId="82" applyNumberFormat="0" applyAlignment="0" applyProtection="0"/>
    <xf numFmtId="0" fontId="130" fillId="59" borderId="82" applyNumberFormat="0" applyAlignment="0" applyProtection="0"/>
    <xf numFmtId="0" fontId="130" fillId="59" borderId="82" applyNumberFormat="0" applyAlignment="0" applyProtection="0"/>
    <xf numFmtId="0" fontId="130" fillId="59" borderId="82" applyNumberFormat="0" applyAlignment="0" applyProtection="0"/>
    <xf numFmtId="0" fontId="130" fillId="59" borderId="82" applyNumberFormat="0" applyAlignment="0" applyProtection="0"/>
    <xf numFmtId="0" fontId="130" fillId="59" borderId="82" applyNumberFormat="0" applyAlignment="0" applyProtection="0"/>
    <xf numFmtId="0" fontId="130" fillId="59" borderId="82" applyNumberFormat="0" applyAlignment="0" applyProtection="0"/>
    <xf numFmtId="0" fontId="130" fillId="59" borderId="82" applyNumberFormat="0" applyAlignment="0" applyProtection="0"/>
    <xf numFmtId="0" fontId="130" fillId="59" borderId="82" applyNumberFormat="0" applyAlignment="0" applyProtection="0"/>
    <xf numFmtId="0" fontId="130" fillId="59" borderId="82" applyNumberFormat="0" applyAlignment="0" applyProtection="0"/>
    <xf numFmtId="0" fontId="130" fillId="59" borderId="82" applyNumberFormat="0" applyAlignment="0" applyProtection="0"/>
    <xf numFmtId="0" fontId="130" fillId="59" borderId="82" applyNumberFormat="0" applyAlignment="0" applyProtection="0"/>
    <xf numFmtId="0" fontId="130" fillId="59" borderId="82" applyNumberFormat="0" applyAlignment="0" applyProtection="0"/>
    <xf numFmtId="0" fontId="130" fillId="59" borderId="82" applyNumberFormat="0" applyAlignment="0" applyProtection="0"/>
    <xf numFmtId="0" fontId="130" fillId="59" borderId="82" applyNumberFormat="0" applyAlignment="0" applyProtection="0"/>
    <xf numFmtId="0" fontId="130" fillId="59" borderId="82" applyNumberFormat="0" applyAlignment="0" applyProtection="0"/>
    <xf numFmtId="0" fontId="130" fillId="59" borderId="82" applyNumberFormat="0" applyAlignment="0" applyProtection="0"/>
    <xf numFmtId="0" fontId="130" fillId="59" borderId="82" applyNumberFormat="0" applyAlignment="0" applyProtection="0"/>
    <xf numFmtId="0" fontId="130" fillId="59" borderId="82" applyNumberFormat="0" applyAlignment="0" applyProtection="0"/>
    <xf numFmtId="0" fontId="130" fillId="59" borderId="82" applyNumberFormat="0" applyAlignment="0" applyProtection="0"/>
    <xf numFmtId="0" fontId="130" fillId="59" borderId="82" applyNumberFormat="0" applyAlignment="0" applyProtection="0"/>
    <xf numFmtId="0" fontId="130" fillId="59" borderId="82" applyNumberFormat="0" applyAlignment="0" applyProtection="0"/>
    <xf numFmtId="0" fontId="130" fillId="59" borderId="82" applyNumberFormat="0" applyAlignment="0" applyProtection="0"/>
    <xf numFmtId="0" fontId="130" fillId="59" borderId="82" applyNumberFormat="0" applyAlignment="0" applyProtection="0"/>
    <xf numFmtId="0" fontId="130" fillId="59" borderId="82" applyNumberFormat="0" applyAlignment="0" applyProtection="0"/>
    <xf numFmtId="0" fontId="130" fillId="59" borderId="82" applyNumberFormat="0" applyAlignment="0" applyProtection="0"/>
    <xf numFmtId="180" fontId="25" fillId="0" borderId="60" applyFill="0" applyBorder="0" applyAlignment="0"/>
    <xf numFmtId="180" fontId="25" fillId="0" borderId="60" applyFill="0" applyBorder="0" applyAlignment="0"/>
    <xf numFmtId="180" fontId="25" fillId="0" borderId="60" applyFill="0" applyBorder="0" applyAlignment="0"/>
    <xf numFmtId="180" fontId="25" fillId="0" borderId="60" applyFill="0" applyBorder="0" applyAlignment="0"/>
    <xf numFmtId="180" fontId="25" fillId="0" borderId="60" applyFill="0" applyBorder="0" applyAlignment="0"/>
    <xf numFmtId="180" fontId="25" fillId="0" borderId="60" applyFill="0" applyBorder="0" applyAlignment="0"/>
    <xf numFmtId="180" fontId="25" fillId="0" borderId="60" applyFill="0" applyBorder="0" applyAlignment="0"/>
    <xf numFmtId="180" fontId="25" fillId="0" borderId="60" applyFill="0" applyBorder="0" applyAlignment="0"/>
    <xf numFmtId="180" fontId="25" fillId="0" borderId="60" applyFill="0" applyBorder="0" applyAlignment="0"/>
    <xf numFmtId="180" fontId="25" fillId="0" borderId="60" applyFill="0" applyBorder="0" applyAlignment="0"/>
    <xf numFmtId="180" fontId="25" fillId="0" borderId="60" applyFill="0" applyBorder="0" applyAlignment="0"/>
    <xf numFmtId="180" fontId="25" fillId="0" borderId="60" applyFill="0" applyBorder="0" applyAlignment="0"/>
    <xf numFmtId="180" fontId="25" fillId="0" borderId="60" applyFill="0" applyBorder="0" applyAlignment="0"/>
    <xf numFmtId="180" fontId="25" fillId="0" borderId="60" applyFill="0" applyBorder="0" applyAlignment="0"/>
    <xf numFmtId="180" fontId="25" fillId="0" borderId="60" applyFill="0" applyBorder="0" applyAlignment="0"/>
    <xf numFmtId="180" fontId="25" fillId="0" borderId="60" applyFill="0" applyBorder="0" applyAlignment="0"/>
    <xf numFmtId="180" fontId="25" fillId="0" borderId="60" applyFill="0" applyBorder="0" applyAlignment="0"/>
    <xf numFmtId="180" fontId="25" fillId="0" borderId="60" applyFill="0" applyBorder="0" applyAlignment="0"/>
    <xf numFmtId="180" fontId="25" fillId="0" borderId="60" applyFill="0" applyBorder="0" applyAlignment="0"/>
    <xf numFmtId="180" fontId="25" fillId="0" borderId="60" applyFill="0" applyBorder="0" applyAlignment="0"/>
    <xf numFmtId="180" fontId="25" fillId="0" borderId="60" applyFill="0" applyBorder="0" applyAlignment="0"/>
    <xf numFmtId="180" fontId="25" fillId="0" borderId="60" applyFill="0" applyBorder="0" applyAlignment="0"/>
    <xf numFmtId="180" fontId="25" fillId="0" borderId="60" applyFill="0" applyBorder="0" applyAlignment="0"/>
    <xf numFmtId="180" fontId="25" fillId="0" borderId="60" applyFill="0" applyBorder="0" applyAlignment="0"/>
    <xf numFmtId="180" fontId="25" fillId="0" borderId="60" applyFill="0" applyBorder="0" applyAlignment="0"/>
    <xf numFmtId="180" fontId="25" fillId="0" borderId="60" applyFill="0" applyBorder="0" applyAlignment="0"/>
    <xf numFmtId="180" fontId="25" fillId="0" borderId="60" applyFill="0" applyBorder="0" applyAlignment="0"/>
    <xf numFmtId="180" fontId="25" fillId="0" borderId="60" applyFill="0" applyBorder="0" applyAlignment="0"/>
    <xf numFmtId="180" fontId="25" fillId="0" borderId="60" applyFill="0" applyBorder="0" applyAlignment="0"/>
    <xf numFmtId="180" fontId="25" fillId="0" borderId="60" applyFill="0" applyBorder="0" applyAlignment="0"/>
    <xf numFmtId="180" fontId="25" fillId="0" borderId="60" applyFill="0" applyBorder="0" applyAlignment="0"/>
    <xf numFmtId="180" fontId="25" fillId="0" borderId="60" applyFill="0" applyBorder="0" applyAlignment="0"/>
    <xf numFmtId="180" fontId="25" fillId="0" borderId="60" applyFill="0" applyBorder="0" applyAlignment="0"/>
    <xf numFmtId="180" fontId="25" fillId="0" borderId="60" applyFill="0" applyBorder="0" applyAlignment="0"/>
    <xf numFmtId="180" fontId="25" fillId="0" borderId="60" applyFill="0" applyBorder="0" applyAlignment="0"/>
    <xf numFmtId="180" fontId="25" fillId="0" borderId="60" applyFill="0" applyBorder="0" applyAlignment="0"/>
    <xf numFmtId="180" fontId="25" fillId="0" borderId="60" applyFill="0" applyBorder="0" applyAlignment="0"/>
    <xf numFmtId="180" fontId="25" fillId="0" borderId="60" applyFill="0" applyBorder="0" applyAlignment="0"/>
    <xf numFmtId="180" fontId="25" fillId="0" borderId="60" applyFill="0" applyBorder="0" applyAlignment="0"/>
    <xf numFmtId="180" fontId="25" fillId="0" borderId="60" applyFill="0" applyBorder="0" applyAlignment="0"/>
    <xf numFmtId="180" fontId="25" fillId="0" borderId="60" applyFill="0" applyBorder="0" applyAlignment="0"/>
    <xf numFmtId="180" fontId="25" fillId="0" borderId="60" applyFill="0" applyBorder="0" applyAlignment="0"/>
    <xf numFmtId="180" fontId="25" fillId="0" borderId="60" applyFill="0" applyBorder="0" applyAlignment="0"/>
    <xf numFmtId="180" fontId="25" fillId="0" borderId="60" applyFill="0" applyBorder="0" applyAlignment="0"/>
    <xf numFmtId="0" fontId="44" fillId="0" borderId="74">
      <alignment horizontal="left" vertical="center"/>
    </xf>
    <xf numFmtId="0" fontId="44" fillId="0" borderId="74">
      <alignment horizontal="left" vertical="center"/>
    </xf>
    <xf numFmtId="0" fontId="44" fillId="0" borderId="74">
      <alignment horizontal="left" vertical="center"/>
    </xf>
    <xf numFmtId="0" fontId="44" fillId="0" borderId="74">
      <alignment horizontal="left" vertical="center"/>
    </xf>
    <xf numFmtId="0" fontId="44" fillId="0" borderId="74">
      <alignment horizontal="left" vertical="center"/>
    </xf>
    <xf numFmtId="0" fontId="44" fillId="0" borderId="74">
      <alignment horizontal="left" vertical="center"/>
    </xf>
    <xf numFmtId="0" fontId="44" fillId="0" borderId="74">
      <alignment horizontal="left" vertical="center"/>
    </xf>
    <xf numFmtId="0" fontId="44" fillId="0" borderId="74">
      <alignment horizontal="left" vertical="center"/>
    </xf>
    <xf numFmtId="0" fontId="44" fillId="0" borderId="74">
      <alignment horizontal="left" vertical="center"/>
    </xf>
    <xf numFmtId="0" fontId="44" fillId="0" borderId="74">
      <alignment horizontal="left" vertical="center"/>
    </xf>
    <xf numFmtId="0" fontId="44" fillId="0" borderId="74">
      <alignment horizontal="left" vertical="center"/>
    </xf>
    <xf numFmtId="0" fontId="44" fillId="0" borderId="74">
      <alignment horizontal="left" vertical="center"/>
    </xf>
    <xf numFmtId="0" fontId="44" fillId="0" borderId="74">
      <alignment horizontal="left" vertical="center"/>
    </xf>
    <xf numFmtId="0" fontId="44" fillId="0" borderId="74">
      <alignment horizontal="left" vertical="center"/>
    </xf>
    <xf numFmtId="0" fontId="44" fillId="0" borderId="74">
      <alignment horizontal="left" vertical="center"/>
    </xf>
    <xf numFmtId="0" fontId="44" fillId="0" borderId="74">
      <alignment horizontal="left" vertical="center"/>
    </xf>
    <xf numFmtId="0" fontId="44" fillId="0" borderId="74">
      <alignment horizontal="left" vertical="center"/>
    </xf>
    <xf numFmtId="0" fontId="44" fillId="0" borderId="74">
      <alignment horizontal="left" vertical="center"/>
    </xf>
    <xf numFmtId="0" fontId="44" fillId="0" borderId="74">
      <alignment horizontal="left" vertical="center"/>
    </xf>
    <xf numFmtId="0" fontId="44" fillId="0" borderId="74">
      <alignment horizontal="left" vertical="center"/>
    </xf>
    <xf numFmtId="0" fontId="44" fillId="0" borderId="74">
      <alignment horizontal="left" vertical="center"/>
    </xf>
    <xf numFmtId="0" fontId="44" fillId="0" borderId="74">
      <alignment horizontal="left" vertical="center"/>
    </xf>
    <xf numFmtId="0" fontId="44" fillId="0" borderId="74">
      <alignment horizontal="left" vertical="center"/>
    </xf>
    <xf numFmtId="0" fontId="44" fillId="0" borderId="74">
      <alignment horizontal="left" vertical="center"/>
    </xf>
    <xf numFmtId="0" fontId="44" fillId="0" borderId="74">
      <alignment horizontal="left" vertical="center"/>
    </xf>
    <xf numFmtId="0" fontId="44" fillId="0" borderId="74">
      <alignment horizontal="left" vertical="center"/>
    </xf>
    <xf numFmtId="0" fontId="44" fillId="0" borderId="74">
      <alignment horizontal="left" vertical="center"/>
    </xf>
    <xf numFmtId="0" fontId="44" fillId="0" borderId="74">
      <alignment horizontal="left" vertical="center"/>
    </xf>
    <xf numFmtId="0" fontId="44" fillId="0" borderId="74">
      <alignment horizontal="left" vertical="center"/>
    </xf>
    <xf numFmtId="0" fontId="44" fillId="0" borderId="74">
      <alignment horizontal="left" vertical="center"/>
    </xf>
    <xf numFmtId="0" fontId="44" fillId="0" borderId="74">
      <alignment horizontal="left" vertical="center"/>
    </xf>
    <xf numFmtId="0" fontId="44" fillId="0" borderId="74">
      <alignment horizontal="left" vertical="center"/>
    </xf>
    <xf numFmtId="0" fontId="44" fillId="0" borderId="74">
      <alignment horizontal="left" vertical="center"/>
    </xf>
    <xf numFmtId="0" fontId="44" fillId="0" borderId="74">
      <alignment horizontal="left" vertical="center"/>
    </xf>
    <xf numFmtId="0" fontId="44" fillId="0" borderId="74">
      <alignment horizontal="left" vertical="center"/>
    </xf>
    <xf numFmtId="0" fontId="44" fillId="0" borderId="74">
      <alignment horizontal="left" vertical="center"/>
    </xf>
    <xf numFmtId="0" fontId="44" fillId="0" borderId="74">
      <alignment horizontal="left" vertical="center"/>
    </xf>
    <xf numFmtId="0" fontId="44" fillId="0" borderId="74">
      <alignment horizontal="left" vertical="center"/>
    </xf>
    <xf numFmtId="0" fontId="44" fillId="0" borderId="74">
      <alignment horizontal="left" vertical="center"/>
    </xf>
    <xf numFmtId="0" fontId="44" fillId="0" borderId="74">
      <alignment horizontal="left" vertical="center"/>
    </xf>
    <xf numFmtId="0" fontId="44" fillId="0" borderId="74">
      <alignment horizontal="left" vertical="center"/>
    </xf>
    <xf numFmtId="0" fontId="44" fillId="0" borderId="74">
      <alignment horizontal="left" vertical="center"/>
    </xf>
    <xf numFmtId="0" fontId="44" fillId="0" borderId="74">
      <alignment horizontal="left" vertical="center"/>
    </xf>
    <xf numFmtId="0" fontId="44" fillId="0" borderId="74">
      <alignment horizontal="left" vertical="center"/>
    </xf>
    <xf numFmtId="10" fontId="42" fillId="27" borderId="60" applyNumberFormat="0" applyBorder="0" applyAlignment="0" applyProtection="0"/>
    <xf numFmtId="10" fontId="42" fillId="27" borderId="60" applyNumberFormat="0" applyBorder="0" applyAlignment="0" applyProtection="0"/>
    <xf numFmtId="10" fontId="42" fillId="27" borderId="60" applyNumberFormat="0" applyBorder="0" applyAlignment="0" applyProtection="0"/>
    <xf numFmtId="10" fontId="42" fillId="27" borderId="60" applyNumberFormat="0" applyBorder="0" applyAlignment="0" applyProtection="0"/>
    <xf numFmtId="10" fontId="42" fillId="27" borderId="60" applyNumberFormat="0" applyBorder="0" applyAlignment="0" applyProtection="0"/>
    <xf numFmtId="10" fontId="42" fillId="27" borderId="60" applyNumberFormat="0" applyBorder="0" applyAlignment="0" applyProtection="0"/>
    <xf numFmtId="10" fontId="42" fillId="27" borderId="60" applyNumberFormat="0" applyBorder="0" applyAlignment="0" applyProtection="0"/>
    <xf numFmtId="10" fontId="42" fillId="27" borderId="60" applyNumberFormat="0" applyBorder="0" applyAlignment="0" applyProtection="0"/>
    <xf numFmtId="10" fontId="42" fillId="27" borderId="60" applyNumberFormat="0" applyBorder="0" applyAlignment="0" applyProtection="0"/>
    <xf numFmtId="10" fontId="42" fillId="3" borderId="60" applyNumberFormat="0" applyBorder="0" applyAlignment="0" applyProtection="0"/>
    <xf numFmtId="10" fontId="42" fillId="3" borderId="60" applyNumberFormat="0" applyBorder="0" applyAlignment="0" applyProtection="0"/>
    <xf numFmtId="10" fontId="42" fillId="3" borderId="60" applyNumberFormat="0" applyBorder="0" applyAlignment="0" applyProtection="0"/>
    <xf numFmtId="10" fontId="42" fillId="3" borderId="60" applyNumberFormat="0" applyBorder="0" applyAlignment="0" applyProtection="0"/>
    <xf numFmtId="10" fontId="42" fillId="3" borderId="60" applyNumberFormat="0" applyBorder="0" applyAlignment="0" applyProtection="0"/>
    <xf numFmtId="10" fontId="42" fillId="3" borderId="60" applyNumberFormat="0" applyBorder="0" applyAlignment="0" applyProtection="0"/>
    <xf numFmtId="10" fontId="42" fillId="3" borderId="60" applyNumberFormat="0" applyBorder="0" applyAlignment="0" applyProtection="0"/>
    <xf numFmtId="10" fontId="42" fillId="3" borderId="60" applyNumberFormat="0" applyBorder="0" applyAlignment="0" applyProtection="0"/>
    <xf numFmtId="10" fontId="42" fillId="3" borderId="60" applyNumberFormat="0" applyBorder="0" applyAlignment="0" applyProtection="0"/>
    <xf numFmtId="10" fontId="42" fillId="3" borderId="60" applyNumberFormat="0" applyBorder="0" applyAlignment="0" applyProtection="0"/>
    <xf numFmtId="10" fontId="42" fillId="27" borderId="60" applyNumberFormat="0" applyBorder="0" applyAlignment="0" applyProtection="0"/>
    <xf numFmtId="10" fontId="42" fillId="27" borderId="60" applyNumberFormat="0" applyBorder="0" applyAlignment="0" applyProtection="0"/>
    <xf numFmtId="10" fontId="42" fillId="27" borderId="60" applyNumberFormat="0" applyBorder="0" applyAlignment="0" applyProtection="0"/>
    <xf numFmtId="10" fontId="42" fillId="27" borderId="60" applyNumberFormat="0" applyBorder="0" applyAlignment="0" applyProtection="0"/>
    <xf numFmtId="10" fontId="42" fillId="27" borderId="60" applyNumberFormat="0" applyBorder="0" applyAlignment="0" applyProtection="0"/>
    <xf numFmtId="10" fontId="42" fillId="27" borderId="60" applyNumberFormat="0" applyBorder="0" applyAlignment="0" applyProtection="0"/>
    <xf numFmtId="10" fontId="42" fillId="27" borderId="60" applyNumberFormat="0" applyBorder="0" applyAlignment="0" applyProtection="0"/>
    <xf numFmtId="10" fontId="42" fillId="27" borderId="60" applyNumberFormat="0" applyBorder="0" applyAlignment="0" applyProtection="0"/>
    <xf numFmtId="10" fontId="42" fillId="27" borderId="60" applyNumberFormat="0" applyBorder="0" applyAlignment="0" applyProtection="0"/>
    <xf numFmtId="10" fontId="42" fillId="27" borderId="60" applyNumberFormat="0" applyBorder="0" applyAlignment="0" applyProtection="0"/>
    <xf numFmtId="10" fontId="42" fillId="27" borderId="60" applyNumberFormat="0" applyBorder="0" applyAlignment="0" applyProtection="0"/>
    <xf numFmtId="10" fontId="42" fillId="27" borderId="60" applyNumberFormat="0" applyBorder="0" applyAlignment="0" applyProtection="0"/>
    <xf numFmtId="10" fontId="42" fillId="27" borderId="60" applyNumberFormat="0" applyBorder="0" applyAlignment="0" applyProtection="0"/>
    <xf numFmtId="10" fontId="42" fillId="27" borderId="60" applyNumberFormat="0" applyBorder="0" applyAlignment="0" applyProtection="0"/>
    <xf numFmtId="10" fontId="42" fillId="27" borderId="60" applyNumberFormat="0" applyBorder="0" applyAlignment="0" applyProtection="0"/>
    <xf numFmtId="10" fontId="42" fillId="27" borderId="60" applyNumberFormat="0" applyBorder="0" applyAlignment="0" applyProtection="0"/>
    <xf numFmtId="10" fontId="42" fillId="27" borderId="60" applyNumberFormat="0" applyBorder="0" applyAlignment="0" applyProtection="0"/>
    <xf numFmtId="10" fontId="42" fillId="27" borderId="60" applyNumberFormat="0" applyBorder="0" applyAlignment="0" applyProtection="0"/>
    <xf numFmtId="10" fontId="42" fillId="27" borderId="60" applyNumberFormat="0" applyBorder="0" applyAlignment="0" applyProtection="0"/>
    <xf numFmtId="10" fontId="42" fillId="27" borderId="60" applyNumberFormat="0" applyBorder="0" applyAlignment="0" applyProtection="0"/>
    <xf numFmtId="10" fontId="42" fillId="27" borderId="60" applyNumberFormat="0" applyBorder="0" applyAlignment="0" applyProtection="0"/>
    <xf numFmtId="10" fontId="42" fillId="27" borderId="60" applyNumberFormat="0" applyBorder="0" applyAlignment="0" applyProtection="0"/>
    <xf numFmtId="10" fontId="42" fillId="27" borderId="60" applyNumberFormat="0" applyBorder="0" applyAlignment="0" applyProtection="0"/>
    <xf numFmtId="10" fontId="42" fillId="27" borderId="60" applyNumberFormat="0" applyBorder="0" applyAlignment="0" applyProtection="0"/>
    <xf numFmtId="10" fontId="42" fillId="27" borderId="60" applyNumberFormat="0" applyBorder="0" applyAlignment="0" applyProtection="0"/>
    <xf numFmtId="10" fontId="42" fillId="27" borderId="60" applyNumberFormat="0" applyBorder="0" applyAlignment="0" applyProtection="0"/>
    <xf numFmtId="10" fontId="42" fillId="27" borderId="60" applyNumberFormat="0" applyBorder="0" applyAlignment="0" applyProtection="0"/>
    <xf numFmtId="10" fontId="42" fillId="27" borderId="60" applyNumberFormat="0" applyBorder="0" applyAlignment="0" applyProtection="0"/>
    <xf numFmtId="10" fontId="42" fillId="27" borderId="60" applyNumberFormat="0" applyBorder="0" applyAlignment="0" applyProtection="0"/>
    <xf numFmtId="10" fontId="42" fillId="27" borderId="60" applyNumberFormat="0" applyBorder="0" applyAlignment="0" applyProtection="0"/>
    <xf numFmtId="10" fontId="42" fillId="27" borderId="60" applyNumberFormat="0" applyBorder="0" applyAlignment="0" applyProtection="0"/>
    <xf numFmtId="10" fontId="42" fillId="27" borderId="60" applyNumberFormat="0" applyBorder="0" applyAlignment="0" applyProtection="0"/>
    <xf numFmtId="10" fontId="42" fillId="27" borderId="60" applyNumberFormat="0" applyBorder="0" applyAlignment="0" applyProtection="0"/>
    <xf numFmtId="10" fontId="42" fillId="27" borderId="60" applyNumberFormat="0" applyBorder="0" applyAlignment="0" applyProtection="0"/>
    <xf numFmtId="10" fontId="42" fillId="27" borderId="60" applyNumberFormat="0" applyBorder="0" applyAlignment="0" applyProtection="0"/>
    <xf numFmtId="10" fontId="42" fillId="27" borderId="60" applyNumberFormat="0" applyBorder="0" applyAlignment="0" applyProtection="0"/>
    <xf numFmtId="10" fontId="42" fillId="27" borderId="60" applyNumberFormat="0" applyBorder="0" applyAlignment="0" applyProtection="0"/>
    <xf numFmtId="10" fontId="42" fillId="27" borderId="60" applyNumberFormat="0" applyBorder="0" applyAlignment="0" applyProtection="0"/>
    <xf numFmtId="10" fontId="42" fillId="27" borderId="60" applyNumberFormat="0" applyBorder="0" applyAlignment="0" applyProtection="0"/>
    <xf numFmtId="10" fontId="42" fillId="27" borderId="60" applyNumberFormat="0" applyBorder="0" applyAlignment="0" applyProtection="0"/>
    <xf numFmtId="10" fontId="42" fillId="27" borderId="60" applyNumberFormat="0" applyBorder="0" applyAlignment="0" applyProtection="0"/>
    <xf numFmtId="10" fontId="42" fillId="27" borderId="60" applyNumberFormat="0" applyBorder="0" applyAlignment="0" applyProtection="0"/>
    <xf numFmtId="10" fontId="42" fillId="27" borderId="60" applyNumberFormat="0" applyBorder="0" applyAlignment="0" applyProtection="0"/>
    <xf numFmtId="10" fontId="42" fillId="27" borderId="60" applyNumberFormat="0" applyBorder="0" applyAlignment="0" applyProtection="0"/>
    <xf numFmtId="10" fontId="42" fillId="27" borderId="60" applyNumberFormat="0" applyBorder="0" applyAlignment="0" applyProtection="0"/>
    <xf numFmtId="10" fontId="42" fillId="3" borderId="60" applyNumberFormat="0" applyBorder="0" applyAlignment="0" applyProtection="0"/>
    <xf numFmtId="10" fontId="42" fillId="3" borderId="60" applyNumberFormat="0" applyBorder="0" applyAlignment="0" applyProtection="0"/>
    <xf numFmtId="10" fontId="42" fillId="3" borderId="60" applyNumberFormat="0" applyBorder="0" applyAlignment="0" applyProtection="0"/>
    <xf numFmtId="10" fontId="42" fillId="3" borderId="60" applyNumberFormat="0" applyBorder="0" applyAlignment="0" applyProtection="0"/>
    <xf numFmtId="10" fontId="42" fillId="3" borderId="60" applyNumberFormat="0" applyBorder="0" applyAlignment="0" applyProtection="0"/>
    <xf numFmtId="10" fontId="42" fillId="3" borderId="60" applyNumberFormat="0" applyBorder="0" applyAlignment="0" applyProtection="0"/>
    <xf numFmtId="10" fontId="42" fillId="3" borderId="60" applyNumberFormat="0" applyBorder="0" applyAlignment="0" applyProtection="0"/>
    <xf numFmtId="10" fontId="42" fillId="3" borderId="60" applyNumberFormat="0" applyBorder="0" applyAlignment="0" applyProtection="0"/>
    <xf numFmtId="10" fontId="42" fillId="3" borderId="60" applyNumberFormat="0" applyBorder="0" applyAlignment="0" applyProtection="0"/>
    <xf numFmtId="10" fontId="42" fillId="3" borderId="60" applyNumberFormat="0" applyBorder="0" applyAlignment="0" applyProtection="0"/>
    <xf numFmtId="10" fontId="42" fillId="3" borderId="60" applyNumberFormat="0" applyBorder="0" applyAlignment="0" applyProtection="0"/>
    <xf numFmtId="10" fontId="42" fillId="3" borderId="60" applyNumberFormat="0" applyBorder="0" applyAlignment="0" applyProtection="0"/>
    <xf numFmtId="10" fontId="42" fillId="3" borderId="60" applyNumberFormat="0" applyBorder="0" applyAlignment="0" applyProtection="0"/>
    <xf numFmtId="10" fontId="42" fillId="3" borderId="60" applyNumberFormat="0" applyBorder="0" applyAlignment="0" applyProtection="0"/>
    <xf numFmtId="10" fontId="42" fillId="3" borderId="60" applyNumberFormat="0" applyBorder="0" applyAlignment="0" applyProtection="0"/>
    <xf numFmtId="10" fontId="42" fillId="3" borderId="60" applyNumberFormat="0" applyBorder="0" applyAlignment="0" applyProtection="0"/>
    <xf numFmtId="10" fontId="42" fillId="3" borderId="60" applyNumberFormat="0" applyBorder="0" applyAlignment="0" applyProtection="0"/>
    <xf numFmtId="10" fontId="42" fillId="3" borderId="60" applyNumberFormat="0" applyBorder="0" applyAlignment="0" applyProtection="0"/>
    <xf numFmtId="10" fontId="42" fillId="3" borderId="60" applyNumberFormat="0" applyBorder="0" applyAlignment="0" applyProtection="0"/>
    <xf numFmtId="10" fontId="42" fillId="3" borderId="60" applyNumberFormat="0" applyBorder="0" applyAlignment="0" applyProtection="0"/>
    <xf numFmtId="10" fontId="42" fillId="3" borderId="60" applyNumberFormat="0" applyBorder="0" applyAlignment="0" applyProtection="0"/>
    <xf numFmtId="10" fontId="42" fillId="3" borderId="60" applyNumberFormat="0" applyBorder="0" applyAlignment="0" applyProtection="0"/>
    <xf numFmtId="10" fontId="42" fillId="3" borderId="60" applyNumberFormat="0" applyBorder="0" applyAlignment="0" applyProtection="0"/>
    <xf numFmtId="10" fontId="42" fillId="3" borderId="60" applyNumberFormat="0" applyBorder="0" applyAlignment="0" applyProtection="0"/>
    <xf numFmtId="10" fontId="42" fillId="3" borderId="60" applyNumberFormat="0" applyBorder="0" applyAlignment="0" applyProtection="0"/>
    <xf numFmtId="10" fontId="42" fillId="3" borderId="60" applyNumberFormat="0" applyBorder="0" applyAlignment="0" applyProtection="0"/>
    <xf numFmtId="10" fontId="42" fillId="3" borderId="60" applyNumberFormat="0" applyBorder="0" applyAlignment="0" applyProtection="0"/>
    <xf numFmtId="10" fontId="42" fillId="3" borderId="60" applyNumberFormat="0" applyBorder="0" applyAlignment="0" applyProtection="0"/>
    <xf numFmtId="10" fontId="42" fillId="3" borderId="60" applyNumberFormat="0" applyBorder="0" applyAlignment="0" applyProtection="0"/>
    <xf numFmtId="10" fontId="42" fillId="3" borderId="60" applyNumberFormat="0" applyBorder="0" applyAlignment="0" applyProtection="0"/>
    <xf numFmtId="10" fontId="42" fillId="3" borderId="60" applyNumberFormat="0" applyBorder="0" applyAlignment="0" applyProtection="0"/>
    <xf numFmtId="10" fontId="42" fillId="3" borderId="60" applyNumberFormat="0" applyBorder="0" applyAlignment="0" applyProtection="0"/>
    <xf numFmtId="10" fontId="42" fillId="3" borderId="60" applyNumberFormat="0" applyBorder="0" applyAlignment="0" applyProtection="0"/>
    <xf numFmtId="10" fontId="42" fillId="3" borderId="60" applyNumberFormat="0" applyBorder="0" applyAlignment="0" applyProtection="0"/>
    <xf numFmtId="10" fontId="42" fillId="3" borderId="60" applyNumberFormat="0" applyBorder="0" applyAlignment="0" applyProtection="0"/>
    <xf numFmtId="10" fontId="42" fillId="27" borderId="60" applyNumberFormat="0" applyBorder="0" applyAlignment="0" applyProtection="0"/>
    <xf numFmtId="10" fontId="42" fillId="27" borderId="60" applyNumberFormat="0" applyBorder="0" applyAlignment="0" applyProtection="0"/>
    <xf numFmtId="10" fontId="42" fillId="27" borderId="60" applyNumberFormat="0" applyBorder="0" applyAlignment="0" applyProtection="0"/>
    <xf numFmtId="10" fontId="42" fillId="27" borderId="60" applyNumberFormat="0" applyBorder="0" applyAlignment="0" applyProtection="0"/>
    <xf numFmtId="10" fontId="42" fillId="27" borderId="60" applyNumberFormat="0" applyBorder="0" applyAlignment="0" applyProtection="0"/>
    <xf numFmtId="10" fontId="42" fillId="27" borderId="60" applyNumberFormat="0" applyBorder="0" applyAlignment="0" applyProtection="0"/>
    <xf numFmtId="10" fontId="42" fillId="27" borderId="60" applyNumberFormat="0" applyBorder="0" applyAlignment="0" applyProtection="0"/>
    <xf numFmtId="10" fontId="42" fillId="27" borderId="60" applyNumberFormat="0" applyBorder="0" applyAlignment="0" applyProtection="0"/>
    <xf numFmtId="10" fontId="42" fillId="27" borderId="60" applyNumberFormat="0" applyBorder="0" applyAlignment="0" applyProtection="0"/>
    <xf numFmtId="10" fontId="42" fillId="27" borderId="60" applyNumberFormat="0" applyBorder="0" applyAlignment="0" applyProtection="0"/>
    <xf numFmtId="10" fontId="42" fillId="27" borderId="60" applyNumberFormat="0" applyBorder="0" applyAlignment="0" applyProtection="0"/>
    <xf numFmtId="10" fontId="42" fillId="27" borderId="60" applyNumberFormat="0" applyBorder="0" applyAlignment="0" applyProtection="0"/>
    <xf numFmtId="10" fontId="42" fillId="27" borderId="60" applyNumberFormat="0" applyBorder="0" applyAlignment="0" applyProtection="0"/>
    <xf numFmtId="10" fontId="42" fillId="27" borderId="60" applyNumberFormat="0" applyBorder="0" applyAlignment="0" applyProtection="0"/>
    <xf numFmtId="10" fontId="42" fillId="27" borderId="60" applyNumberFormat="0" applyBorder="0" applyAlignment="0" applyProtection="0"/>
    <xf numFmtId="10" fontId="42" fillId="27" borderId="60" applyNumberFormat="0" applyBorder="0" applyAlignment="0" applyProtection="0"/>
    <xf numFmtId="10" fontId="42" fillId="27" borderId="60" applyNumberFormat="0" applyBorder="0" applyAlignment="0" applyProtection="0"/>
    <xf numFmtId="10" fontId="42" fillId="27" borderId="60" applyNumberFormat="0" applyBorder="0" applyAlignment="0" applyProtection="0"/>
    <xf numFmtId="10" fontId="42" fillId="27" borderId="60" applyNumberFormat="0" applyBorder="0" applyAlignment="0" applyProtection="0"/>
    <xf numFmtId="10" fontId="42" fillId="27" borderId="60" applyNumberFormat="0" applyBorder="0" applyAlignment="0" applyProtection="0"/>
    <xf numFmtId="10" fontId="42" fillId="27" borderId="60" applyNumberFormat="0" applyBorder="0" applyAlignment="0" applyProtection="0"/>
    <xf numFmtId="10" fontId="42" fillId="27" borderId="60" applyNumberFormat="0" applyBorder="0" applyAlignment="0" applyProtection="0"/>
    <xf numFmtId="10" fontId="42" fillId="27" borderId="60" applyNumberFormat="0" applyBorder="0" applyAlignment="0" applyProtection="0"/>
    <xf numFmtId="10" fontId="42" fillId="27" borderId="60" applyNumberFormat="0" applyBorder="0" applyAlignment="0" applyProtection="0"/>
    <xf numFmtId="10" fontId="42" fillId="27" borderId="60" applyNumberFormat="0" applyBorder="0" applyAlignment="0" applyProtection="0"/>
    <xf numFmtId="10" fontId="42" fillId="27" borderId="60" applyNumberFormat="0" applyBorder="0" applyAlignment="0" applyProtection="0"/>
    <xf numFmtId="10" fontId="42" fillId="27" borderId="60" applyNumberFormat="0" applyBorder="0" applyAlignment="0" applyProtection="0"/>
    <xf numFmtId="10" fontId="42" fillId="27" borderId="60" applyNumberFormat="0" applyBorder="0" applyAlignment="0" applyProtection="0"/>
    <xf numFmtId="10" fontId="42" fillId="27" borderId="60" applyNumberFormat="0" applyBorder="0" applyAlignment="0" applyProtection="0"/>
    <xf numFmtId="10" fontId="42" fillId="27" borderId="60" applyNumberFormat="0" applyBorder="0" applyAlignment="0" applyProtection="0"/>
    <xf numFmtId="10" fontId="42" fillId="27" borderId="60" applyNumberFormat="0" applyBorder="0" applyAlignment="0" applyProtection="0"/>
    <xf numFmtId="10" fontId="42" fillId="27" borderId="60" applyNumberFormat="0" applyBorder="0" applyAlignment="0" applyProtection="0"/>
    <xf numFmtId="10" fontId="42" fillId="27" borderId="60" applyNumberFormat="0" applyBorder="0" applyAlignment="0" applyProtection="0"/>
    <xf numFmtId="10" fontId="42" fillId="27" borderId="60" applyNumberFormat="0" applyBorder="0" applyAlignment="0" applyProtection="0"/>
    <xf numFmtId="10" fontId="42" fillId="27" borderId="60" applyNumberFormat="0" applyBorder="0" applyAlignment="0" applyProtection="0"/>
    <xf numFmtId="0" fontId="160" fillId="59" borderId="83" applyNumberFormat="0" applyAlignment="0" applyProtection="0"/>
    <xf numFmtId="0" fontId="160" fillId="59" borderId="83" applyNumberFormat="0" applyAlignment="0" applyProtection="0"/>
    <xf numFmtId="0" fontId="160" fillId="59" borderId="83" applyNumberFormat="0" applyAlignment="0" applyProtection="0"/>
    <xf numFmtId="0" fontId="160" fillId="59" borderId="83" applyNumberFormat="0" applyAlignment="0" applyProtection="0"/>
    <xf numFmtId="0" fontId="160" fillId="59" borderId="83" applyNumberFormat="0" applyAlignment="0" applyProtection="0"/>
    <xf numFmtId="0" fontId="160" fillId="59" borderId="83" applyNumberFormat="0" applyAlignment="0" applyProtection="0"/>
    <xf numFmtId="0" fontId="160" fillId="59" borderId="83" applyNumberFormat="0" applyAlignment="0" applyProtection="0"/>
    <xf numFmtId="0" fontId="160" fillId="59" borderId="83" applyNumberFormat="0" applyAlignment="0" applyProtection="0"/>
    <xf numFmtId="0" fontId="160" fillId="59" borderId="83" applyNumberFormat="0" applyAlignment="0" applyProtection="0"/>
    <xf numFmtId="0" fontId="160" fillId="59" borderId="83" applyNumberFormat="0" applyAlignment="0" applyProtection="0"/>
    <xf numFmtId="0" fontId="160" fillId="59" borderId="83" applyNumberFormat="0" applyAlignment="0" applyProtection="0"/>
    <xf numFmtId="0" fontId="160" fillId="59" borderId="83" applyNumberFormat="0" applyAlignment="0" applyProtection="0"/>
    <xf numFmtId="0" fontId="160" fillId="59" borderId="83" applyNumberFormat="0" applyAlignment="0" applyProtection="0"/>
    <xf numFmtId="0" fontId="160" fillId="59" borderId="83" applyNumberFormat="0" applyAlignment="0" applyProtection="0"/>
    <xf numFmtId="0" fontId="160" fillId="59" borderId="83" applyNumberFormat="0" applyAlignment="0" applyProtection="0"/>
    <xf numFmtId="0" fontId="160" fillId="59" borderId="83" applyNumberFormat="0" applyAlignment="0" applyProtection="0"/>
    <xf numFmtId="0" fontId="160" fillId="59" borderId="83" applyNumberFormat="0" applyAlignment="0" applyProtection="0"/>
    <xf numFmtId="0" fontId="160" fillId="59" borderId="83" applyNumberFormat="0" applyAlignment="0" applyProtection="0"/>
    <xf numFmtId="0" fontId="160" fillId="59" borderId="83" applyNumberFormat="0" applyAlignment="0" applyProtection="0"/>
    <xf numFmtId="0" fontId="160" fillId="59" borderId="83" applyNumberFormat="0" applyAlignment="0" applyProtection="0"/>
    <xf numFmtId="0" fontId="160" fillId="59" borderId="83" applyNumberFormat="0" applyAlignment="0" applyProtection="0"/>
    <xf numFmtId="0" fontId="160" fillId="59" borderId="83" applyNumberFormat="0" applyAlignment="0" applyProtection="0"/>
    <xf numFmtId="0" fontId="160" fillId="59" borderId="83" applyNumberFormat="0" applyAlignment="0" applyProtection="0"/>
    <xf numFmtId="0" fontId="160" fillId="59" borderId="83" applyNumberFormat="0" applyAlignment="0" applyProtection="0"/>
    <xf numFmtId="0" fontId="160" fillId="59" borderId="83" applyNumberFormat="0" applyAlignment="0" applyProtection="0"/>
    <xf numFmtId="0" fontId="160" fillId="59" borderId="83" applyNumberFormat="0" applyAlignment="0" applyProtection="0"/>
    <xf numFmtId="0" fontId="160" fillId="59" borderId="83" applyNumberFormat="0" applyAlignment="0" applyProtection="0"/>
    <xf numFmtId="0" fontId="160" fillId="59" borderId="83" applyNumberFormat="0" applyAlignment="0" applyProtection="0"/>
    <xf numFmtId="0" fontId="160" fillId="59" borderId="83" applyNumberFormat="0" applyAlignment="0" applyProtection="0"/>
    <xf numFmtId="0" fontId="160" fillId="59" borderId="83" applyNumberFormat="0" applyAlignment="0" applyProtection="0"/>
    <xf numFmtId="0" fontId="160" fillId="59" borderId="83" applyNumberFormat="0" applyAlignment="0" applyProtection="0"/>
    <xf numFmtId="0" fontId="160" fillId="59" borderId="83" applyNumberFormat="0" applyAlignment="0" applyProtection="0"/>
    <xf numFmtId="0" fontId="160" fillId="59" borderId="83" applyNumberFormat="0" applyAlignment="0" applyProtection="0"/>
    <xf numFmtId="0" fontId="160" fillId="59" borderId="83" applyNumberFormat="0" applyAlignment="0" applyProtection="0"/>
    <xf numFmtId="0" fontId="160" fillId="59" borderId="83" applyNumberFormat="0" applyAlignment="0" applyProtection="0"/>
    <xf numFmtId="0" fontId="160" fillId="59" borderId="83" applyNumberFormat="0" applyAlignment="0" applyProtection="0"/>
    <xf numFmtId="0" fontId="160" fillId="59" borderId="83" applyNumberFormat="0" applyAlignment="0" applyProtection="0"/>
    <xf numFmtId="0" fontId="160" fillId="59" borderId="83" applyNumberFormat="0" applyAlignment="0" applyProtection="0"/>
    <xf numFmtId="0" fontId="160" fillId="59" borderId="83" applyNumberFormat="0" applyAlignment="0" applyProtection="0"/>
    <xf numFmtId="0" fontId="160" fillId="59" borderId="83" applyNumberFormat="0" applyAlignment="0" applyProtection="0"/>
    <xf numFmtId="0" fontId="160" fillId="59" borderId="83" applyNumberFormat="0" applyAlignment="0" applyProtection="0"/>
    <xf numFmtId="0" fontId="160" fillId="59" borderId="83" applyNumberFormat="0" applyAlignment="0" applyProtection="0"/>
    <xf numFmtId="0" fontId="160" fillId="59" borderId="83" applyNumberFormat="0" applyAlignment="0" applyProtection="0"/>
    <xf numFmtId="0" fontId="160" fillId="59" borderId="83" applyNumberFormat="0" applyAlignment="0" applyProtection="0"/>
    <xf numFmtId="0" fontId="160" fillId="59" borderId="83" applyNumberFormat="0" applyAlignment="0" applyProtection="0"/>
    <xf numFmtId="0" fontId="160" fillId="59" borderId="83" applyNumberFormat="0" applyAlignment="0" applyProtection="0"/>
    <xf numFmtId="0" fontId="160" fillId="59" borderId="83" applyNumberFormat="0" applyAlignment="0" applyProtection="0"/>
    <xf numFmtId="0" fontId="160" fillId="59" borderId="83" applyNumberFormat="0" applyAlignment="0" applyProtection="0"/>
    <xf numFmtId="0" fontId="160" fillId="59" borderId="83" applyNumberFormat="0" applyAlignment="0" applyProtection="0"/>
    <xf numFmtId="0" fontId="160" fillId="59" borderId="83" applyNumberFormat="0" applyAlignment="0" applyProtection="0"/>
    <xf numFmtId="0" fontId="160" fillId="59" borderId="83" applyNumberFormat="0" applyAlignment="0" applyProtection="0"/>
    <xf numFmtId="0" fontId="160" fillId="59" borderId="83" applyNumberFormat="0" applyAlignment="0" applyProtection="0"/>
    <xf numFmtId="0" fontId="160" fillId="59" borderId="83" applyNumberFormat="0" applyAlignment="0" applyProtection="0"/>
    <xf numFmtId="0" fontId="160" fillId="59" borderId="83" applyNumberFormat="0" applyAlignment="0" applyProtection="0"/>
    <xf numFmtId="0" fontId="160" fillId="59" borderId="83" applyNumberFormat="0" applyAlignment="0" applyProtection="0"/>
    <xf numFmtId="0" fontId="160" fillId="59" borderId="83" applyNumberFormat="0" applyAlignment="0" applyProtection="0"/>
    <xf numFmtId="0" fontId="160" fillId="59" borderId="83" applyNumberFormat="0" applyAlignment="0" applyProtection="0"/>
    <xf numFmtId="0" fontId="160" fillId="59" borderId="83" applyNumberFormat="0" applyAlignment="0" applyProtection="0"/>
    <xf numFmtId="0" fontId="160" fillId="59" borderId="83" applyNumberFormat="0" applyAlignment="0" applyProtection="0"/>
    <xf numFmtId="0" fontId="160" fillId="59" borderId="83" applyNumberFormat="0" applyAlignment="0" applyProtection="0"/>
    <xf numFmtId="0" fontId="45" fillId="0" borderId="84"/>
    <xf numFmtId="0" fontId="45" fillId="0" borderId="84"/>
    <xf numFmtId="0" fontId="45" fillId="0" borderId="84"/>
    <xf numFmtId="0" fontId="45" fillId="0" borderId="84"/>
    <xf numFmtId="0" fontId="45" fillId="0" borderId="84"/>
    <xf numFmtId="0" fontId="45" fillId="0" borderId="84"/>
    <xf numFmtId="0" fontId="45" fillId="0" borderId="84"/>
    <xf numFmtId="0" fontId="45" fillId="0" borderId="84"/>
    <xf numFmtId="0" fontId="45" fillId="0" borderId="84"/>
    <xf numFmtId="0" fontId="45" fillId="0" borderId="84"/>
    <xf numFmtId="0" fontId="45" fillId="0" borderId="84"/>
    <xf numFmtId="0" fontId="45" fillId="0" borderId="84"/>
    <xf numFmtId="0" fontId="45" fillId="0" borderId="84"/>
    <xf numFmtId="0" fontId="45" fillId="0" borderId="84"/>
    <xf numFmtId="0" fontId="45" fillId="0" borderId="84"/>
    <xf numFmtId="0" fontId="45" fillId="0" borderId="84"/>
    <xf numFmtId="0" fontId="45" fillId="0" borderId="84"/>
    <xf numFmtId="0" fontId="45" fillId="0" borderId="84"/>
    <xf numFmtId="0" fontId="45" fillId="0" borderId="84"/>
    <xf numFmtId="0" fontId="45" fillId="0" borderId="84"/>
    <xf numFmtId="0" fontId="45" fillId="0" borderId="84"/>
    <xf numFmtId="0" fontId="45" fillId="0" borderId="84"/>
    <xf numFmtId="0" fontId="45" fillId="0" borderId="84"/>
    <xf numFmtId="0" fontId="45" fillId="0" borderId="84"/>
    <xf numFmtId="0" fontId="45" fillId="0" borderId="84"/>
    <xf numFmtId="0" fontId="45" fillId="0" borderId="84"/>
    <xf numFmtId="0" fontId="45" fillId="0" borderId="84"/>
    <xf numFmtId="0" fontId="45" fillId="0" borderId="84"/>
    <xf numFmtId="0" fontId="45" fillId="0" borderId="84"/>
    <xf numFmtId="0" fontId="45" fillId="0" borderId="84"/>
    <xf numFmtId="0" fontId="45" fillId="0" borderId="84"/>
    <xf numFmtId="0" fontId="45" fillId="0" borderId="84"/>
    <xf numFmtId="0" fontId="45" fillId="0" borderId="84"/>
    <xf numFmtId="0" fontId="45" fillId="0" borderId="84"/>
    <xf numFmtId="0" fontId="45" fillId="0" borderId="84"/>
    <xf numFmtId="0" fontId="45" fillId="0" borderId="84"/>
    <xf numFmtId="0" fontId="45" fillId="0" borderId="84"/>
    <xf numFmtId="0" fontId="45" fillId="0" borderId="84"/>
    <xf numFmtId="0" fontId="45" fillId="0" borderId="84"/>
    <xf numFmtId="0" fontId="45" fillId="0" borderId="84"/>
    <xf numFmtId="0" fontId="45" fillId="0" borderId="84"/>
    <xf numFmtId="0" fontId="45" fillId="0" borderId="84"/>
    <xf numFmtId="0" fontId="45" fillId="0" borderId="84"/>
    <xf numFmtId="0" fontId="45" fillId="0" borderId="84"/>
    <xf numFmtId="0" fontId="45" fillId="0" borderId="84"/>
    <xf numFmtId="0" fontId="45" fillId="0" borderId="84"/>
    <xf numFmtId="0" fontId="45" fillId="0" borderId="84"/>
    <xf numFmtId="0" fontId="45" fillId="0" borderId="84"/>
    <xf numFmtId="0" fontId="45" fillId="0" borderId="84"/>
    <xf numFmtId="0" fontId="45" fillId="0" borderId="84"/>
    <xf numFmtId="0" fontId="45" fillId="0" borderId="84"/>
    <xf numFmtId="0" fontId="45" fillId="0" borderId="84"/>
    <xf numFmtId="0" fontId="45" fillId="0" borderId="84"/>
    <xf numFmtId="0" fontId="45" fillId="0" borderId="84"/>
    <xf numFmtId="0" fontId="45" fillId="0" borderId="84"/>
    <xf numFmtId="0" fontId="45" fillId="0" borderId="84"/>
    <xf numFmtId="0" fontId="45" fillId="0" borderId="84"/>
    <xf numFmtId="0" fontId="45" fillId="0" borderId="84"/>
    <xf numFmtId="0" fontId="45" fillId="0" borderId="84"/>
    <xf numFmtId="0" fontId="45" fillId="0" borderId="84"/>
    <xf numFmtId="0" fontId="168" fillId="66" borderId="85" applyNumberFormat="0" applyProtection="0">
      <alignment horizontal="center" wrapText="1"/>
    </xf>
    <xf numFmtId="0" fontId="168" fillId="66" borderId="85" applyNumberFormat="0" applyProtection="0">
      <alignment horizontal="center" wrapText="1"/>
    </xf>
    <xf numFmtId="0" fontId="168" fillId="66" borderId="85" applyNumberFormat="0" applyProtection="0">
      <alignment horizontal="center" wrapText="1"/>
    </xf>
    <xf numFmtId="0" fontId="168" fillId="66" borderId="85" applyNumberFormat="0" applyProtection="0">
      <alignment horizontal="center" wrapText="1"/>
    </xf>
    <xf numFmtId="0" fontId="168" fillId="66" borderId="85" applyNumberFormat="0" applyProtection="0">
      <alignment horizontal="center" wrapText="1"/>
    </xf>
    <xf numFmtId="0" fontId="168" fillId="66" borderId="85" applyNumberFormat="0" applyProtection="0">
      <alignment horizontal="center" wrapText="1"/>
    </xf>
    <xf numFmtId="0" fontId="168" fillId="66" borderId="85" applyNumberFormat="0" applyProtection="0">
      <alignment horizontal="center" wrapText="1"/>
    </xf>
    <xf numFmtId="0" fontId="168" fillId="66" borderId="85" applyNumberFormat="0" applyProtection="0">
      <alignment horizontal="center" wrapText="1"/>
    </xf>
    <xf numFmtId="0" fontId="168" fillId="66" borderId="85" applyNumberFormat="0" applyProtection="0">
      <alignment horizontal="center" wrapText="1"/>
    </xf>
    <xf numFmtId="0" fontId="168" fillId="66" borderId="85" applyNumberFormat="0" applyProtection="0">
      <alignment horizontal="center" wrapText="1"/>
    </xf>
    <xf numFmtId="0" fontId="168" fillId="66" borderId="85" applyNumberFormat="0" applyProtection="0">
      <alignment horizontal="center" wrapText="1"/>
    </xf>
    <xf numFmtId="0" fontId="168" fillId="66" borderId="85" applyNumberFormat="0" applyProtection="0">
      <alignment horizontal="center" wrapText="1"/>
    </xf>
    <xf numFmtId="0" fontId="168" fillId="66" borderId="85" applyNumberFormat="0" applyProtection="0">
      <alignment horizontal="center" wrapText="1"/>
    </xf>
    <xf numFmtId="0" fontId="168" fillId="66" borderId="85" applyNumberFormat="0" applyProtection="0">
      <alignment horizontal="center" wrapText="1"/>
    </xf>
    <xf numFmtId="0" fontId="168" fillId="66" borderId="85" applyNumberFormat="0" applyProtection="0">
      <alignment horizontal="center" wrapText="1"/>
    </xf>
    <xf numFmtId="0" fontId="168" fillId="66" borderId="85" applyNumberFormat="0" applyProtection="0">
      <alignment horizontal="center" wrapText="1"/>
    </xf>
    <xf numFmtId="0" fontId="168" fillId="66" borderId="85" applyNumberFormat="0" applyProtection="0">
      <alignment horizontal="center" wrapText="1"/>
    </xf>
    <xf numFmtId="0" fontId="168" fillId="66" borderId="85" applyNumberFormat="0" applyProtection="0">
      <alignment horizontal="center" wrapText="1"/>
    </xf>
    <xf numFmtId="0" fontId="168" fillId="66" borderId="85" applyNumberFormat="0" applyProtection="0">
      <alignment horizontal="center" wrapText="1"/>
    </xf>
    <xf numFmtId="0" fontId="168" fillId="66" borderId="85" applyNumberFormat="0" applyProtection="0">
      <alignment horizontal="center" wrapText="1"/>
    </xf>
    <xf numFmtId="0" fontId="168" fillId="66" borderId="85" applyNumberFormat="0" applyProtection="0">
      <alignment horizontal="center" wrapText="1"/>
    </xf>
    <xf numFmtId="0" fontId="168" fillId="66" borderId="85" applyNumberFormat="0" applyProtection="0">
      <alignment horizontal="center" wrapText="1"/>
    </xf>
    <xf numFmtId="0" fontId="168" fillId="66" borderId="85" applyNumberFormat="0" applyProtection="0">
      <alignment horizontal="center" wrapText="1"/>
    </xf>
    <xf numFmtId="0" fontId="168" fillId="66" borderId="85" applyNumberFormat="0" applyProtection="0">
      <alignment horizontal="center" wrapText="1"/>
    </xf>
    <xf numFmtId="0" fontId="168" fillId="66" borderId="85" applyNumberFormat="0" applyProtection="0">
      <alignment horizontal="center" wrapText="1"/>
    </xf>
    <xf numFmtId="0" fontId="168" fillId="66" borderId="85" applyNumberFormat="0" applyProtection="0">
      <alignment horizontal="center" wrapText="1"/>
    </xf>
    <xf numFmtId="0" fontId="168" fillId="66" borderId="85" applyNumberFormat="0" applyProtection="0">
      <alignment horizontal="center" wrapText="1"/>
    </xf>
    <xf numFmtId="0" fontId="168" fillId="66" borderId="85" applyNumberFormat="0" applyProtection="0">
      <alignment horizontal="center" wrapText="1"/>
    </xf>
    <xf numFmtId="0" fontId="168" fillId="66" borderId="85" applyNumberFormat="0" applyProtection="0">
      <alignment horizontal="center" wrapText="1"/>
    </xf>
    <xf numFmtId="0" fontId="168" fillId="66" borderId="85" applyNumberFormat="0" applyProtection="0">
      <alignment horizontal="center" wrapText="1"/>
    </xf>
    <xf numFmtId="0" fontId="168" fillId="66" borderId="85" applyNumberFormat="0" applyProtection="0">
      <alignment horizontal="center" wrapText="1"/>
    </xf>
    <xf numFmtId="0" fontId="168" fillId="66" borderId="85" applyNumberFormat="0" applyProtection="0">
      <alignment horizontal="center" wrapText="1"/>
    </xf>
    <xf numFmtId="0" fontId="168" fillId="66" borderId="85" applyNumberFormat="0" applyProtection="0">
      <alignment horizontal="center" wrapText="1"/>
    </xf>
    <xf numFmtId="0" fontId="168" fillId="66" borderId="85" applyNumberFormat="0" applyProtection="0">
      <alignment horizontal="center" wrapText="1"/>
    </xf>
    <xf numFmtId="0" fontId="168" fillId="66" borderId="85" applyNumberFormat="0" applyProtection="0">
      <alignment horizontal="center" wrapText="1"/>
    </xf>
    <xf numFmtId="0" fontId="168" fillId="66" borderId="85" applyNumberFormat="0" applyProtection="0">
      <alignment horizontal="center" wrapText="1"/>
    </xf>
    <xf numFmtId="0" fontId="168" fillId="66" borderId="85" applyNumberFormat="0" applyProtection="0">
      <alignment horizontal="center" wrapText="1"/>
    </xf>
    <xf numFmtId="0" fontId="168" fillId="66" borderId="85" applyNumberFormat="0" applyProtection="0">
      <alignment horizontal="center" wrapText="1"/>
    </xf>
    <xf numFmtId="0" fontId="168" fillId="66" borderId="85" applyNumberFormat="0" applyProtection="0">
      <alignment horizontal="center" wrapText="1"/>
    </xf>
    <xf numFmtId="0" fontId="168" fillId="66" borderId="85" applyNumberFormat="0" applyProtection="0">
      <alignment horizontal="center" wrapText="1"/>
    </xf>
    <xf numFmtId="0" fontId="168" fillId="66" borderId="85" applyNumberFormat="0" applyProtection="0">
      <alignment horizontal="center" wrapText="1"/>
    </xf>
    <xf numFmtId="0" fontId="168" fillId="66" borderId="85" applyNumberFormat="0" applyProtection="0">
      <alignment horizontal="center" wrapText="1"/>
    </xf>
    <xf numFmtId="0" fontId="168" fillId="66" borderId="85" applyNumberFormat="0" applyProtection="0">
      <alignment horizontal="center" wrapText="1"/>
    </xf>
    <xf numFmtId="0" fontId="168" fillId="66" borderId="85" applyNumberFormat="0" applyProtection="0">
      <alignment horizontal="center" wrapText="1"/>
    </xf>
    <xf numFmtId="0" fontId="168" fillId="66" borderId="85" applyNumberFormat="0" applyProtection="0">
      <alignment horizontal="center" wrapText="1"/>
    </xf>
    <xf numFmtId="0" fontId="168" fillId="66" borderId="85" applyNumberFormat="0" applyProtection="0">
      <alignment horizontal="center" wrapText="1"/>
    </xf>
    <xf numFmtId="0" fontId="168" fillId="66" borderId="85" applyNumberFormat="0" applyProtection="0">
      <alignment horizontal="center" wrapText="1"/>
    </xf>
    <xf numFmtId="0" fontId="168" fillId="66" borderId="85" applyNumberFormat="0" applyProtection="0">
      <alignment horizontal="center" wrapText="1"/>
    </xf>
    <xf numFmtId="0" fontId="168" fillId="66" borderId="85" applyNumberFormat="0" applyProtection="0">
      <alignment horizontal="center" wrapText="1"/>
    </xf>
    <xf numFmtId="0" fontId="168" fillId="66" borderId="85" applyNumberFormat="0" applyProtection="0">
      <alignment horizontal="center" wrapText="1"/>
    </xf>
    <xf numFmtId="0" fontId="168" fillId="66" borderId="85" applyNumberFormat="0" applyProtection="0">
      <alignment horizontal="center" wrapText="1"/>
    </xf>
    <xf numFmtId="0" fontId="168" fillId="66" borderId="85" applyNumberFormat="0" applyProtection="0">
      <alignment horizontal="center" wrapText="1"/>
    </xf>
    <xf numFmtId="0" fontId="168" fillId="66" borderId="85" applyNumberFormat="0" applyProtection="0">
      <alignment horizontal="center" wrapText="1"/>
    </xf>
    <xf numFmtId="0" fontId="168" fillId="66" borderId="85" applyNumberFormat="0" applyProtection="0">
      <alignment horizontal="center" wrapText="1"/>
    </xf>
    <xf numFmtId="0" fontId="168" fillId="66" borderId="85" applyNumberFormat="0" applyProtection="0">
      <alignment horizontal="center" wrapText="1"/>
    </xf>
    <xf numFmtId="0" fontId="168" fillId="66" borderId="85" applyNumberFormat="0" applyProtection="0">
      <alignment horizontal="center" wrapText="1"/>
    </xf>
    <xf numFmtId="0" fontId="168" fillId="66" borderId="85" applyNumberFormat="0" applyProtection="0">
      <alignment horizontal="center" wrapText="1"/>
    </xf>
    <xf numFmtId="0" fontId="168" fillId="66" borderId="85" applyNumberFormat="0" applyProtection="0">
      <alignment horizontal="center" wrapText="1"/>
    </xf>
    <xf numFmtId="0" fontId="168" fillId="66" borderId="85" applyNumberFormat="0" applyProtection="0">
      <alignment horizontal="center" wrapText="1"/>
    </xf>
    <xf numFmtId="0" fontId="168" fillId="66" borderId="85" applyNumberFormat="0" applyProtection="0">
      <alignment horizontal="center" wrapText="1"/>
    </xf>
    <xf numFmtId="4" fontId="8" fillId="3" borderId="60" applyFont="0" applyFill="0" applyAlignment="0" applyProtection="0"/>
    <xf numFmtId="4" fontId="8" fillId="3" borderId="60" applyFont="0" applyFill="0" applyAlignment="0" applyProtection="0"/>
    <xf numFmtId="4" fontId="8" fillId="3" borderId="60" applyFont="0" applyFill="0" applyAlignment="0" applyProtection="0"/>
    <xf numFmtId="4" fontId="8" fillId="3" borderId="60" applyFont="0" applyFill="0" applyAlignment="0" applyProtection="0"/>
    <xf numFmtId="4" fontId="8" fillId="3" borderId="60" applyFont="0" applyFill="0" applyAlignment="0" applyProtection="0"/>
    <xf numFmtId="4" fontId="8" fillId="3" borderId="60" applyFont="0" applyFill="0" applyAlignment="0" applyProtection="0"/>
    <xf numFmtId="4" fontId="8" fillId="3" borderId="60" applyFont="0" applyFill="0" applyAlignment="0" applyProtection="0"/>
    <xf numFmtId="4" fontId="8" fillId="3" borderId="60" applyFont="0" applyFill="0" applyAlignment="0" applyProtection="0"/>
    <xf numFmtId="4" fontId="8" fillId="3" borderId="60" applyFont="0" applyFill="0" applyAlignment="0" applyProtection="0"/>
    <xf numFmtId="4" fontId="8" fillId="3" borderId="60" applyFont="0" applyFill="0" applyAlignment="0" applyProtection="0"/>
    <xf numFmtId="4" fontId="8" fillId="3" borderId="60" applyFont="0" applyFill="0" applyAlignment="0" applyProtection="0"/>
    <xf numFmtId="4" fontId="8" fillId="3" borderId="60" applyFont="0" applyFill="0" applyAlignment="0" applyProtection="0"/>
    <xf numFmtId="4" fontId="8" fillId="3" borderId="60" applyFont="0" applyFill="0" applyAlignment="0" applyProtection="0"/>
    <xf numFmtId="4" fontId="8" fillId="3" borderId="60" applyFont="0" applyFill="0" applyAlignment="0" applyProtection="0"/>
    <xf numFmtId="4" fontId="8" fillId="3" borderId="60" applyFont="0" applyFill="0" applyAlignment="0" applyProtection="0"/>
    <xf numFmtId="4" fontId="8" fillId="3" borderId="60" applyFont="0" applyFill="0" applyAlignment="0" applyProtection="0"/>
    <xf numFmtId="4" fontId="8" fillId="3" borderId="60" applyFont="0" applyFill="0" applyAlignment="0" applyProtection="0"/>
    <xf numFmtId="4" fontId="8" fillId="3" borderId="60" applyFont="0" applyFill="0" applyAlignment="0" applyProtection="0"/>
    <xf numFmtId="4" fontId="8" fillId="3" borderId="60" applyFont="0" applyFill="0" applyAlignment="0" applyProtection="0"/>
    <xf numFmtId="4" fontId="8" fillId="3" borderId="60" applyFont="0" applyFill="0" applyAlignment="0" applyProtection="0"/>
    <xf numFmtId="4" fontId="8" fillId="3" borderId="60" applyFont="0" applyFill="0" applyAlignment="0" applyProtection="0"/>
    <xf numFmtId="4" fontId="8" fillId="3" borderId="60" applyFont="0" applyFill="0" applyAlignment="0" applyProtection="0"/>
    <xf numFmtId="4" fontId="8" fillId="3" borderId="60" applyFont="0" applyFill="0" applyAlignment="0" applyProtection="0"/>
    <xf numFmtId="4" fontId="8" fillId="3" borderId="60" applyFont="0" applyFill="0" applyAlignment="0" applyProtection="0"/>
    <xf numFmtId="4" fontId="8" fillId="3" borderId="60" applyFont="0" applyFill="0" applyAlignment="0" applyProtection="0"/>
    <xf numFmtId="4" fontId="8" fillId="3" borderId="60" applyFont="0" applyFill="0" applyAlignment="0" applyProtection="0"/>
    <xf numFmtId="4" fontId="8" fillId="3" borderId="60" applyFont="0" applyFill="0" applyAlignment="0" applyProtection="0"/>
    <xf numFmtId="4" fontId="8" fillId="3" borderId="60" applyFont="0" applyFill="0" applyAlignment="0" applyProtection="0"/>
    <xf numFmtId="4" fontId="8" fillId="3" borderId="60" applyFont="0" applyFill="0" applyAlignment="0" applyProtection="0"/>
    <xf numFmtId="4" fontId="8" fillId="3" borderId="60" applyFont="0" applyFill="0" applyAlignment="0" applyProtection="0"/>
    <xf numFmtId="4" fontId="8" fillId="3" borderId="60" applyFont="0" applyFill="0" applyAlignment="0" applyProtection="0"/>
    <xf numFmtId="4" fontId="8" fillId="3" borderId="60" applyFont="0" applyFill="0" applyAlignment="0" applyProtection="0"/>
    <xf numFmtId="4" fontId="8" fillId="3" borderId="60" applyFont="0" applyFill="0" applyAlignment="0" applyProtection="0"/>
    <xf numFmtId="4" fontId="8" fillId="3" borderId="60" applyFont="0" applyFill="0" applyAlignment="0" applyProtection="0"/>
    <xf numFmtId="4" fontId="8" fillId="3" borderId="60" applyFont="0" applyFill="0" applyAlignment="0" applyProtection="0"/>
    <xf numFmtId="4" fontId="8" fillId="3" borderId="60" applyFont="0" applyFill="0" applyAlignment="0" applyProtection="0"/>
    <xf numFmtId="4" fontId="8" fillId="3" borderId="60" applyFont="0" applyFill="0" applyAlignment="0" applyProtection="0"/>
    <xf numFmtId="4" fontId="8" fillId="3" borderId="60" applyFont="0" applyFill="0" applyAlignment="0" applyProtection="0"/>
    <xf numFmtId="4" fontId="8" fillId="3" borderId="60" applyFont="0" applyFill="0" applyAlignment="0" applyProtection="0"/>
    <xf numFmtId="4" fontId="8" fillId="3" borderId="60" applyFont="0" applyFill="0" applyAlignment="0" applyProtection="0"/>
    <xf numFmtId="4" fontId="8" fillId="3" borderId="60" applyFont="0" applyFill="0" applyAlignment="0" applyProtection="0"/>
    <xf numFmtId="4" fontId="8" fillId="3" borderId="60" applyFont="0" applyFill="0" applyAlignment="0" applyProtection="0"/>
    <xf numFmtId="4" fontId="8" fillId="3" borderId="60" applyFont="0" applyFill="0" applyAlignment="0" applyProtection="0"/>
    <xf numFmtId="4" fontId="8" fillId="3" borderId="60" applyFont="0" applyFill="0" applyAlignment="0" applyProtection="0"/>
    <xf numFmtId="4" fontId="8" fillId="3" borderId="60" applyFont="0" applyFill="0" applyAlignment="0" applyProtection="0"/>
    <xf numFmtId="0" fontId="186" fillId="59" borderId="82" applyNumberFormat="0" applyAlignment="0" applyProtection="0">
      <alignment vertical="center"/>
    </xf>
    <xf numFmtId="0" fontId="186" fillId="59" borderId="82" applyNumberFormat="0" applyAlignment="0" applyProtection="0">
      <alignment vertical="center"/>
    </xf>
    <xf numFmtId="0" fontId="186" fillId="59" borderId="82" applyNumberFormat="0" applyAlignment="0" applyProtection="0">
      <alignment vertical="center"/>
    </xf>
    <xf numFmtId="0" fontId="186" fillId="59" borderId="82" applyNumberFormat="0" applyAlignment="0" applyProtection="0">
      <alignment vertical="center"/>
    </xf>
    <xf numFmtId="0" fontId="186" fillId="59" borderId="82" applyNumberFormat="0" applyAlignment="0" applyProtection="0">
      <alignment vertical="center"/>
    </xf>
    <xf numFmtId="0" fontId="186" fillId="59" borderId="82" applyNumberFormat="0" applyAlignment="0" applyProtection="0">
      <alignment vertical="center"/>
    </xf>
    <xf numFmtId="0" fontId="186" fillId="59" borderId="82" applyNumberFormat="0" applyAlignment="0" applyProtection="0">
      <alignment vertical="center"/>
    </xf>
    <xf numFmtId="0" fontId="186" fillId="59" borderId="82" applyNumberFormat="0" applyAlignment="0" applyProtection="0">
      <alignment vertical="center"/>
    </xf>
    <xf numFmtId="0" fontId="186" fillId="59" borderId="82" applyNumberFormat="0" applyAlignment="0" applyProtection="0">
      <alignment vertical="center"/>
    </xf>
    <xf numFmtId="0" fontId="186" fillId="59" borderId="82" applyNumberFormat="0" applyAlignment="0" applyProtection="0">
      <alignment vertical="center"/>
    </xf>
    <xf numFmtId="0" fontId="186" fillId="59" borderId="82" applyNumberFormat="0" applyAlignment="0" applyProtection="0">
      <alignment vertical="center"/>
    </xf>
    <xf numFmtId="0" fontId="186" fillId="59" borderId="82" applyNumberFormat="0" applyAlignment="0" applyProtection="0">
      <alignment vertical="center"/>
    </xf>
    <xf numFmtId="0" fontId="186" fillId="59" borderId="82" applyNumberFormat="0" applyAlignment="0" applyProtection="0">
      <alignment vertical="center"/>
    </xf>
    <xf numFmtId="0" fontId="186" fillId="59" borderId="82" applyNumberFormat="0" applyAlignment="0" applyProtection="0">
      <alignment vertical="center"/>
    </xf>
    <xf numFmtId="0" fontId="186" fillId="59" borderId="82" applyNumberFormat="0" applyAlignment="0" applyProtection="0">
      <alignment vertical="center"/>
    </xf>
    <xf numFmtId="0" fontId="186" fillId="59" borderId="82" applyNumberFormat="0" applyAlignment="0" applyProtection="0">
      <alignment vertical="center"/>
    </xf>
    <xf numFmtId="0" fontId="186" fillId="59" borderId="82" applyNumberFormat="0" applyAlignment="0" applyProtection="0">
      <alignment vertical="center"/>
    </xf>
    <xf numFmtId="0" fontId="186" fillId="59" borderId="82" applyNumberFormat="0" applyAlignment="0" applyProtection="0">
      <alignment vertical="center"/>
    </xf>
    <xf numFmtId="0" fontId="186" fillId="59" borderId="82" applyNumberFormat="0" applyAlignment="0" applyProtection="0">
      <alignment vertical="center"/>
    </xf>
    <xf numFmtId="0" fontId="186" fillId="59" borderId="82" applyNumberFormat="0" applyAlignment="0" applyProtection="0">
      <alignment vertical="center"/>
    </xf>
    <xf numFmtId="0" fontId="186" fillId="59" borderId="82" applyNumberFormat="0" applyAlignment="0" applyProtection="0">
      <alignment vertical="center"/>
    </xf>
    <xf numFmtId="0" fontId="186" fillId="59" borderId="82" applyNumberFormat="0" applyAlignment="0" applyProtection="0">
      <alignment vertical="center"/>
    </xf>
    <xf numFmtId="0" fontId="186" fillId="59" borderId="82" applyNumberFormat="0" applyAlignment="0" applyProtection="0">
      <alignment vertical="center"/>
    </xf>
    <xf numFmtId="0" fontId="186" fillId="59" borderId="82" applyNumberFormat="0" applyAlignment="0" applyProtection="0">
      <alignment vertical="center"/>
    </xf>
    <xf numFmtId="0" fontId="186" fillId="59" borderId="82" applyNumberFormat="0" applyAlignment="0" applyProtection="0">
      <alignment vertical="center"/>
    </xf>
    <xf numFmtId="0" fontId="186" fillId="59" borderId="82" applyNumberFormat="0" applyAlignment="0" applyProtection="0">
      <alignment vertical="center"/>
    </xf>
    <xf numFmtId="0" fontId="186" fillId="59" borderId="82" applyNumberFormat="0" applyAlignment="0" applyProtection="0">
      <alignment vertical="center"/>
    </xf>
    <xf numFmtId="0" fontId="186" fillId="59" borderId="82" applyNumberFormat="0" applyAlignment="0" applyProtection="0">
      <alignment vertical="center"/>
    </xf>
    <xf numFmtId="0" fontId="186" fillId="59" borderId="82" applyNumberFormat="0" applyAlignment="0" applyProtection="0">
      <alignment vertical="center"/>
    </xf>
    <xf numFmtId="0" fontId="186" fillId="59" borderId="82" applyNumberFormat="0" applyAlignment="0" applyProtection="0">
      <alignment vertical="center"/>
    </xf>
    <xf numFmtId="0" fontId="187" fillId="59" borderId="82" applyNumberFormat="0" applyAlignment="0" applyProtection="0">
      <alignment vertical="center"/>
    </xf>
    <xf numFmtId="0" fontId="186" fillId="59" borderId="82" applyNumberFormat="0" applyAlignment="0" applyProtection="0">
      <alignment vertical="center"/>
    </xf>
    <xf numFmtId="0" fontId="187" fillId="59" borderId="82" applyNumberFormat="0" applyAlignment="0" applyProtection="0">
      <alignment vertical="center"/>
    </xf>
    <xf numFmtId="0" fontId="187" fillId="59" borderId="82" applyNumberFormat="0" applyAlignment="0" applyProtection="0">
      <alignment vertical="center"/>
    </xf>
    <xf numFmtId="0" fontId="187" fillId="59" borderId="82" applyNumberFormat="0" applyAlignment="0" applyProtection="0">
      <alignment vertical="center"/>
    </xf>
    <xf numFmtId="0" fontId="187" fillId="59" borderId="82" applyNumberFormat="0" applyAlignment="0" applyProtection="0">
      <alignment vertical="center"/>
    </xf>
    <xf numFmtId="0" fontId="187" fillId="59" borderId="82" applyNumberFormat="0" applyAlignment="0" applyProtection="0">
      <alignment vertical="center"/>
    </xf>
    <xf numFmtId="0" fontId="187" fillId="59" borderId="82" applyNumberFormat="0" applyAlignment="0" applyProtection="0">
      <alignment vertical="center"/>
    </xf>
    <xf numFmtId="0" fontId="187" fillId="59" borderId="82" applyNumberFormat="0" applyAlignment="0" applyProtection="0">
      <alignment vertical="center"/>
    </xf>
    <xf numFmtId="0" fontId="187" fillId="59" borderId="82" applyNumberFormat="0" applyAlignment="0" applyProtection="0">
      <alignment vertical="center"/>
    </xf>
    <xf numFmtId="0" fontId="187" fillId="59" borderId="82" applyNumberFormat="0" applyAlignment="0" applyProtection="0">
      <alignment vertical="center"/>
    </xf>
    <xf numFmtId="0" fontId="187" fillId="59" borderId="82" applyNumberFormat="0" applyAlignment="0" applyProtection="0">
      <alignment vertical="center"/>
    </xf>
    <xf numFmtId="0" fontId="187" fillId="59" borderId="82" applyNumberFormat="0" applyAlignment="0" applyProtection="0">
      <alignment vertical="center"/>
    </xf>
    <xf numFmtId="0" fontId="187" fillId="59" borderId="82" applyNumberFormat="0" applyAlignment="0" applyProtection="0">
      <alignment vertical="center"/>
    </xf>
    <xf numFmtId="0" fontId="187" fillId="59" borderId="82" applyNumberFormat="0" applyAlignment="0" applyProtection="0">
      <alignment vertical="center"/>
    </xf>
    <xf numFmtId="0" fontId="187" fillId="59" borderId="82" applyNumberFormat="0" applyAlignment="0" applyProtection="0">
      <alignment vertical="center"/>
    </xf>
    <xf numFmtId="0" fontId="187" fillId="59" borderId="82" applyNumberFormat="0" applyAlignment="0" applyProtection="0">
      <alignment vertical="center"/>
    </xf>
    <xf numFmtId="0" fontId="187" fillId="59" borderId="82" applyNumberFormat="0" applyAlignment="0" applyProtection="0">
      <alignment vertical="center"/>
    </xf>
    <xf numFmtId="0" fontId="187" fillId="59" borderId="82" applyNumberFormat="0" applyAlignment="0" applyProtection="0">
      <alignment vertical="center"/>
    </xf>
    <xf numFmtId="0" fontId="187" fillId="59" borderId="82" applyNumberFormat="0" applyAlignment="0" applyProtection="0">
      <alignment vertical="center"/>
    </xf>
    <xf numFmtId="0" fontId="187" fillId="59" borderId="82" applyNumberFormat="0" applyAlignment="0" applyProtection="0">
      <alignment vertical="center"/>
    </xf>
    <xf numFmtId="0" fontId="187" fillId="59" borderId="82" applyNumberFormat="0" applyAlignment="0" applyProtection="0">
      <alignment vertical="center"/>
    </xf>
    <xf numFmtId="0" fontId="187" fillId="59" borderId="82" applyNumberFormat="0" applyAlignment="0" applyProtection="0">
      <alignment vertical="center"/>
    </xf>
    <xf numFmtId="0" fontId="187" fillId="59" borderId="82" applyNumberFormat="0" applyAlignment="0" applyProtection="0">
      <alignment vertical="center"/>
    </xf>
    <xf numFmtId="0" fontId="187" fillId="59" borderId="82" applyNumberFormat="0" applyAlignment="0" applyProtection="0">
      <alignment vertical="center"/>
    </xf>
    <xf numFmtId="0" fontId="187" fillId="59" borderId="82" applyNumberFormat="0" applyAlignment="0" applyProtection="0">
      <alignment vertical="center"/>
    </xf>
    <xf numFmtId="0" fontId="187" fillId="59" borderId="82" applyNumberFormat="0" applyAlignment="0" applyProtection="0">
      <alignment vertical="center"/>
    </xf>
    <xf numFmtId="0" fontId="187" fillId="59" borderId="82" applyNumberFormat="0" applyAlignment="0" applyProtection="0">
      <alignment vertical="center"/>
    </xf>
    <xf numFmtId="0" fontId="187" fillId="59" borderId="82" applyNumberFormat="0" applyAlignment="0" applyProtection="0">
      <alignment vertical="center"/>
    </xf>
    <xf numFmtId="0" fontId="187" fillId="59" borderId="82" applyNumberFormat="0" applyAlignment="0" applyProtection="0">
      <alignment vertical="center"/>
    </xf>
    <xf numFmtId="0" fontId="187" fillId="59" borderId="82" applyNumberFormat="0" applyAlignment="0" applyProtection="0">
      <alignment vertical="center"/>
    </xf>
    <xf numFmtId="0" fontId="187" fillId="59" borderId="82" applyNumberFormat="0" applyAlignment="0" applyProtection="0">
      <alignment vertical="center"/>
    </xf>
    <xf numFmtId="0" fontId="187" fillId="59" borderId="82" applyNumberFormat="0" applyAlignment="0" applyProtection="0">
      <alignment vertical="center"/>
    </xf>
    <xf numFmtId="0" fontId="187" fillId="59" borderId="82" applyNumberFormat="0" applyAlignment="0" applyProtection="0">
      <alignment vertical="center"/>
    </xf>
    <xf numFmtId="0" fontId="187" fillId="59" borderId="82" applyNumberFormat="0" applyAlignment="0" applyProtection="0">
      <alignment vertical="center"/>
    </xf>
    <xf numFmtId="0" fontId="187" fillId="59" borderId="82" applyNumberFormat="0" applyAlignment="0" applyProtection="0">
      <alignment vertical="center"/>
    </xf>
    <xf numFmtId="0" fontId="187" fillId="59" borderId="82" applyNumberFormat="0" applyAlignment="0" applyProtection="0">
      <alignment vertical="center"/>
    </xf>
    <xf numFmtId="0" fontId="187" fillId="59" borderId="82" applyNumberFormat="0" applyAlignment="0" applyProtection="0">
      <alignment vertical="center"/>
    </xf>
    <xf numFmtId="0" fontId="187" fillId="59" borderId="82" applyNumberFormat="0" applyAlignment="0" applyProtection="0">
      <alignment vertical="center"/>
    </xf>
    <xf numFmtId="0" fontId="187" fillId="59" borderId="82" applyNumberFormat="0" applyAlignment="0" applyProtection="0">
      <alignment vertical="center"/>
    </xf>
    <xf numFmtId="0" fontId="187" fillId="59" borderId="82" applyNumberFormat="0" applyAlignment="0" applyProtection="0">
      <alignment vertical="center"/>
    </xf>
    <xf numFmtId="0" fontId="186" fillId="59" borderId="82" applyNumberFormat="0" applyAlignment="0" applyProtection="0">
      <alignment vertical="center"/>
    </xf>
    <xf numFmtId="0" fontId="187" fillId="59" borderId="82" applyNumberFormat="0" applyAlignment="0" applyProtection="0">
      <alignment vertical="center"/>
    </xf>
    <xf numFmtId="0" fontId="187" fillId="59" borderId="82" applyNumberFormat="0" applyAlignment="0" applyProtection="0">
      <alignment vertical="center"/>
    </xf>
    <xf numFmtId="0" fontId="187" fillId="59" borderId="82" applyNumberFormat="0" applyAlignment="0" applyProtection="0">
      <alignment vertical="center"/>
    </xf>
    <xf numFmtId="0" fontId="187" fillId="59" borderId="82" applyNumberFormat="0" applyAlignment="0" applyProtection="0">
      <alignment vertical="center"/>
    </xf>
    <xf numFmtId="0" fontId="187" fillId="59" borderId="82" applyNumberFormat="0" applyAlignment="0" applyProtection="0">
      <alignment vertical="center"/>
    </xf>
    <xf numFmtId="0" fontId="187" fillId="59" borderId="82" applyNumberFormat="0" applyAlignment="0" applyProtection="0">
      <alignment vertical="center"/>
    </xf>
    <xf numFmtId="0" fontId="186" fillId="59" borderId="82" applyNumberFormat="0" applyAlignment="0" applyProtection="0">
      <alignment vertical="center"/>
    </xf>
    <xf numFmtId="0" fontId="187" fillId="59" borderId="82" applyNumberFormat="0" applyAlignment="0" applyProtection="0">
      <alignment vertical="center"/>
    </xf>
    <xf numFmtId="0" fontId="187" fillId="59" borderId="82" applyNumberFormat="0" applyAlignment="0" applyProtection="0">
      <alignment vertical="center"/>
    </xf>
    <xf numFmtId="0" fontId="187" fillId="59" borderId="82" applyNumberFormat="0" applyAlignment="0" applyProtection="0">
      <alignment vertical="center"/>
    </xf>
    <xf numFmtId="0" fontId="187" fillId="59" borderId="82" applyNumberFormat="0" applyAlignment="0" applyProtection="0">
      <alignment vertical="center"/>
    </xf>
    <xf numFmtId="0" fontId="187" fillId="59" borderId="82" applyNumberFormat="0" applyAlignment="0" applyProtection="0">
      <alignment vertical="center"/>
    </xf>
    <xf numFmtId="0" fontId="186" fillId="59" borderId="82" applyNumberFormat="0" applyAlignment="0" applyProtection="0">
      <alignment vertical="center"/>
    </xf>
    <xf numFmtId="0" fontId="187" fillId="59" borderId="82" applyNumberFormat="0" applyAlignment="0" applyProtection="0">
      <alignment vertical="center"/>
    </xf>
    <xf numFmtId="0" fontId="187" fillId="59" borderId="82" applyNumberFormat="0" applyAlignment="0" applyProtection="0">
      <alignment vertical="center"/>
    </xf>
    <xf numFmtId="0" fontId="187" fillId="59" borderId="82" applyNumberFormat="0" applyAlignment="0" applyProtection="0">
      <alignment vertical="center"/>
    </xf>
    <xf numFmtId="0" fontId="187" fillId="59" borderId="82" applyNumberFormat="0" applyAlignment="0" applyProtection="0">
      <alignment vertical="center"/>
    </xf>
    <xf numFmtId="0" fontId="187" fillId="59" borderId="82" applyNumberFormat="0" applyAlignment="0" applyProtection="0">
      <alignment vertical="center"/>
    </xf>
    <xf numFmtId="0" fontId="186" fillId="59" borderId="82" applyNumberFormat="0" applyAlignment="0" applyProtection="0">
      <alignment vertical="center"/>
    </xf>
    <xf numFmtId="0" fontId="187" fillId="59" borderId="82" applyNumberFormat="0" applyAlignment="0" applyProtection="0">
      <alignment vertical="center"/>
    </xf>
    <xf numFmtId="0" fontId="187" fillId="59" borderId="82" applyNumberFormat="0" applyAlignment="0" applyProtection="0">
      <alignment vertical="center"/>
    </xf>
    <xf numFmtId="0" fontId="187" fillId="59" borderId="82" applyNumberFormat="0" applyAlignment="0" applyProtection="0">
      <alignment vertical="center"/>
    </xf>
    <xf numFmtId="0" fontId="187" fillId="59" borderId="82" applyNumberFormat="0" applyAlignment="0" applyProtection="0">
      <alignment vertical="center"/>
    </xf>
    <xf numFmtId="0" fontId="187" fillId="59" borderId="82" applyNumberFormat="0" applyAlignment="0" applyProtection="0">
      <alignment vertical="center"/>
    </xf>
    <xf numFmtId="0" fontId="187" fillId="59" borderId="82" applyNumberFormat="0" applyAlignment="0" applyProtection="0">
      <alignment vertical="center"/>
    </xf>
    <xf numFmtId="0" fontId="187" fillId="59" borderId="82" applyNumberFormat="0" applyAlignment="0" applyProtection="0">
      <alignment vertical="center"/>
    </xf>
    <xf numFmtId="0" fontId="187" fillId="59" borderId="82" applyNumberFormat="0" applyAlignment="0" applyProtection="0">
      <alignment vertical="center"/>
    </xf>
    <xf numFmtId="0" fontId="187" fillId="59" borderId="82" applyNumberFormat="0" applyAlignment="0" applyProtection="0">
      <alignment vertical="center"/>
    </xf>
    <xf numFmtId="0" fontId="187" fillId="59" borderId="82" applyNumberFormat="0" applyAlignment="0" applyProtection="0">
      <alignment vertical="center"/>
    </xf>
    <xf numFmtId="0" fontId="187" fillId="59" borderId="82" applyNumberFormat="0" applyAlignment="0" applyProtection="0">
      <alignment vertical="center"/>
    </xf>
    <xf numFmtId="0" fontId="187" fillId="59" borderId="82" applyNumberFormat="0" applyAlignment="0" applyProtection="0">
      <alignment vertical="center"/>
    </xf>
    <xf numFmtId="0" fontId="187" fillId="59" borderId="82" applyNumberFormat="0" applyAlignment="0" applyProtection="0">
      <alignment vertical="center"/>
    </xf>
    <xf numFmtId="0" fontId="187" fillId="59" borderId="82" applyNumberFormat="0" applyAlignment="0" applyProtection="0">
      <alignment vertical="center"/>
    </xf>
    <xf numFmtId="0" fontId="187" fillId="59" borderId="82" applyNumberFormat="0" applyAlignment="0" applyProtection="0">
      <alignment vertical="center"/>
    </xf>
    <xf numFmtId="0" fontId="187" fillId="59" borderId="82" applyNumberFormat="0" applyAlignment="0" applyProtection="0">
      <alignment vertical="center"/>
    </xf>
    <xf numFmtId="0" fontId="187" fillId="59" borderId="82" applyNumberFormat="0" applyAlignment="0" applyProtection="0">
      <alignment vertical="center"/>
    </xf>
    <xf numFmtId="0" fontId="187" fillId="59" borderId="82" applyNumberFormat="0" applyAlignment="0" applyProtection="0">
      <alignment vertical="center"/>
    </xf>
    <xf numFmtId="0" fontId="187" fillId="59" borderId="82" applyNumberFormat="0" applyAlignment="0" applyProtection="0">
      <alignment vertical="center"/>
    </xf>
    <xf numFmtId="0" fontId="187" fillId="59" borderId="82" applyNumberFormat="0" applyAlignment="0" applyProtection="0">
      <alignment vertical="center"/>
    </xf>
    <xf numFmtId="0" fontId="187" fillId="59" borderId="82" applyNumberFormat="0" applyAlignment="0" applyProtection="0">
      <alignment vertical="center"/>
    </xf>
    <xf numFmtId="0" fontId="187" fillId="59" borderId="82" applyNumberFormat="0" applyAlignment="0" applyProtection="0">
      <alignment vertical="center"/>
    </xf>
    <xf numFmtId="0" fontId="187" fillId="59" borderId="82" applyNumberFormat="0" applyAlignment="0" applyProtection="0">
      <alignment vertical="center"/>
    </xf>
    <xf numFmtId="0" fontId="187" fillId="59" borderId="82" applyNumberFormat="0" applyAlignment="0" applyProtection="0">
      <alignment vertical="center"/>
    </xf>
    <xf numFmtId="0" fontId="186" fillId="59" borderId="82" applyNumberFormat="0" applyAlignment="0" applyProtection="0">
      <alignment vertical="center"/>
    </xf>
    <xf numFmtId="0" fontId="186" fillId="59" borderId="82" applyNumberFormat="0" applyAlignment="0" applyProtection="0">
      <alignment vertical="center"/>
    </xf>
    <xf numFmtId="0" fontId="186" fillId="59" borderId="82" applyNumberFormat="0" applyAlignment="0" applyProtection="0">
      <alignment vertical="center"/>
    </xf>
    <xf numFmtId="0" fontId="186" fillId="59" borderId="82" applyNumberFormat="0" applyAlignment="0" applyProtection="0">
      <alignment vertical="center"/>
    </xf>
    <xf numFmtId="0" fontId="186" fillId="59" borderId="82" applyNumberFormat="0" applyAlignment="0" applyProtection="0">
      <alignment vertical="center"/>
    </xf>
    <xf numFmtId="0" fontId="186" fillId="59" borderId="82" applyNumberFormat="0" applyAlignment="0" applyProtection="0">
      <alignment vertical="center"/>
    </xf>
    <xf numFmtId="0" fontId="186" fillId="59" borderId="82" applyNumberFormat="0" applyAlignment="0" applyProtection="0">
      <alignment vertical="center"/>
    </xf>
    <xf numFmtId="0" fontId="186" fillId="59" borderId="82" applyNumberFormat="0" applyAlignment="0" applyProtection="0">
      <alignment vertical="center"/>
    </xf>
    <xf numFmtId="0" fontId="186" fillId="59" borderId="82" applyNumberFormat="0" applyAlignment="0" applyProtection="0">
      <alignment vertical="center"/>
    </xf>
    <xf numFmtId="0" fontId="186" fillId="59" borderId="82" applyNumberFormat="0" applyAlignment="0" applyProtection="0">
      <alignment vertical="center"/>
    </xf>
    <xf numFmtId="0" fontId="186" fillId="59" borderId="82" applyNumberFormat="0" applyAlignment="0" applyProtection="0">
      <alignment vertical="center"/>
    </xf>
    <xf numFmtId="0" fontId="186" fillId="59" borderId="82" applyNumberFormat="0" applyAlignment="0" applyProtection="0">
      <alignment vertical="center"/>
    </xf>
    <xf numFmtId="0" fontId="186" fillId="59" borderId="82" applyNumberFormat="0" applyAlignment="0" applyProtection="0">
      <alignment vertical="center"/>
    </xf>
    <xf numFmtId="0" fontId="186" fillId="59" borderId="82" applyNumberFormat="0" applyAlignment="0" applyProtection="0">
      <alignment vertical="center"/>
    </xf>
    <xf numFmtId="0" fontId="186" fillId="59" borderId="82" applyNumberFormat="0" applyAlignment="0" applyProtection="0">
      <alignment vertical="center"/>
    </xf>
    <xf numFmtId="0" fontId="186" fillId="59" borderId="82" applyNumberFormat="0" applyAlignment="0" applyProtection="0">
      <alignment vertical="center"/>
    </xf>
    <xf numFmtId="0" fontId="186" fillId="59" borderId="82" applyNumberFormat="0" applyAlignment="0" applyProtection="0">
      <alignment vertical="center"/>
    </xf>
    <xf numFmtId="0" fontId="186" fillId="59" borderId="82" applyNumberFormat="0" applyAlignment="0" applyProtection="0">
      <alignment vertical="center"/>
    </xf>
    <xf numFmtId="0" fontId="186" fillId="59" borderId="82" applyNumberFormat="0" applyAlignment="0" applyProtection="0">
      <alignment vertical="center"/>
    </xf>
    <xf numFmtId="0" fontId="186" fillId="59" borderId="82" applyNumberFormat="0" applyAlignment="0" applyProtection="0">
      <alignment vertical="center"/>
    </xf>
    <xf numFmtId="0" fontId="186" fillId="59" borderId="82" applyNumberFormat="0" applyAlignment="0" applyProtection="0">
      <alignment vertical="center"/>
    </xf>
    <xf numFmtId="0" fontId="186" fillId="59" borderId="82" applyNumberFormat="0" applyAlignment="0" applyProtection="0">
      <alignment vertical="center"/>
    </xf>
    <xf numFmtId="0" fontId="186" fillId="59" borderId="82" applyNumberFormat="0" applyAlignment="0" applyProtection="0">
      <alignment vertical="center"/>
    </xf>
    <xf numFmtId="0" fontId="186" fillId="59" borderId="82" applyNumberFormat="0" applyAlignment="0" applyProtection="0">
      <alignment vertical="center"/>
    </xf>
    <xf numFmtId="0" fontId="186" fillId="59" borderId="82" applyNumberFormat="0" applyAlignment="0" applyProtection="0">
      <alignment vertical="center"/>
    </xf>
    <xf numFmtId="0" fontId="186" fillId="59" borderId="82" applyNumberFormat="0" applyAlignment="0" applyProtection="0">
      <alignment vertical="center"/>
    </xf>
    <xf numFmtId="0" fontId="186" fillId="59" borderId="82" applyNumberFormat="0" applyAlignment="0" applyProtection="0">
      <alignment vertical="center"/>
    </xf>
    <xf numFmtId="0" fontId="186" fillId="59" borderId="82" applyNumberFormat="0" applyAlignment="0" applyProtection="0">
      <alignment vertical="center"/>
    </xf>
    <xf numFmtId="0" fontId="186" fillId="59" borderId="82" applyNumberFormat="0" applyAlignment="0" applyProtection="0">
      <alignment vertical="center"/>
    </xf>
    <xf numFmtId="0" fontId="186" fillId="59" borderId="82" applyNumberFormat="0" applyAlignment="0" applyProtection="0">
      <alignment vertical="center"/>
    </xf>
    <xf numFmtId="0" fontId="186" fillId="59" borderId="82" applyNumberFormat="0" applyAlignment="0" applyProtection="0">
      <alignment vertical="center"/>
    </xf>
    <xf numFmtId="0" fontId="186" fillId="59" borderId="82" applyNumberFormat="0" applyAlignment="0" applyProtection="0">
      <alignment vertical="center"/>
    </xf>
    <xf numFmtId="0" fontId="186" fillId="59" borderId="82" applyNumberFormat="0" applyAlignment="0" applyProtection="0">
      <alignment vertical="center"/>
    </xf>
    <xf numFmtId="0" fontId="186" fillId="59" borderId="82" applyNumberFormat="0" applyAlignment="0" applyProtection="0">
      <alignment vertical="center"/>
    </xf>
    <xf numFmtId="0" fontId="186" fillId="59" borderId="82" applyNumberFormat="0" applyAlignment="0" applyProtection="0">
      <alignment vertical="center"/>
    </xf>
    <xf numFmtId="225" fontId="8" fillId="0" borderId="60">
      <alignment horizontal="right" vertical="center" shrinkToFit="1"/>
    </xf>
    <xf numFmtId="225" fontId="8" fillId="0" borderId="60">
      <alignment horizontal="right" vertical="center" shrinkToFit="1"/>
    </xf>
    <xf numFmtId="225" fontId="8" fillId="0" borderId="60">
      <alignment horizontal="right" vertical="center" shrinkToFit="1"/>
    </xf>
    <xf numFmtId="225" fontId="8" fillId="0" borderId="60">
      <alignment horizontal="right" vertical="center" shrinkToFit="1"/>
    </xf>
    <xf numFmtId="225" fontId="8" fillId="0" borderId="60">
      <alignment horizontal="right" vertical="center" shrinkToFit="1"/>
    </xf>
    <xf numFmtId="225" fontId="8" fillId="0" borderId="60">
      <alignment horizontal="right" vertical="center" shrinkToFit="1"/>
    </xf>
    <xf numFmtId="225" fontId="8" fillId="0" borderId="60">
      <alignment horizontal="right" vertical="center" shrinkToFit="1"/>
    </xf>
    <xf numFmtId="225" fontId="8" fillId="0" borderId="60">
      <alignment horizontal="right" vertical="center" shrinkToFit="1"/>
    </xf>
    <xf numFmtId="225" fontId="8" fillId="0" borderId="60">
      <alignment horizontal="right" vertical="center" shrinkToFit="1"/>
    </xf>
    <xf numFmtId="225" fontId="8" fillId="0" borderId="60">
      <alignment horizontal="right" vertical="center" shrinkToFit="1"/>
    </xf>
    <xf numFmtId="225" fontId="8" fillId="0" borderId="60">
      <alignment horizontal="right" vertical="center" shrinkToFit="1"/>
    </xf>
    <xf numFmtId="225" fontId="8" fillId="0" borderId="60">
      <alignment horizontal="right" vertical="center" shrinkToFit="1"/>
    </xf>
    <xf numFmtId="225" fontId="8" fillId="0" borderId="60">
      <alignment horizontal="right" vertical="center" shrinkToFit="1"/>
    </xf>
    <xf numFmtId="225" fontId="8" fillId="0" borderId="60">
      <alignment horizontal="right" vertical="center" shrinkToFit="1"/>
    </xf>
    <xf numFmtId="225" fontId="8" fillId="0" borderId="60">
      <alignment horizontal="right" vertical="center" shrinkToFit="1"/>
    </xf>
    <xf numFmtId="225" fontId="8" fillId="0" borderId="60">
      <alignment horizontal="right" vertical="center" shrinkToFit="1"/>
    </xf>
    <xf numFmtId="225" fontId="8" fillId="0" borderId="60">
      <alignment horizontal="right" vertical="center" shrinkToFit="1"/>
    </xf>
    <xf numFmtId="225" fontId="8" fillId="0" borderId="60">
      <alignment horizontal="right" vertical="center" shrinkToFit="1"/>
    </xf>
    <xf numFmtId="225" fontId="8" fillId="0" borderId="60">
      <alignment horizontal="right" vertical="center" shrinkToFit="1"/>
    </xf>
    <xf numFmtId="225" fontId="8" fillId="0" borderId="60">
      <alignment horizontal="right" vertical="center" shrinkToFit="1"/>
    </xf>
    <xf numFmtId="225" fontId="8" fillId="0" borderId="60">
      <alignment horizontal="right" vertical="center" shrinkToFit="1"/>
    </xf>
    <xf numFmtId="225" fontId="8" fillId="0" borderId="60">
      <alignment horizontal="right" vertical="center" shrinkToFit="1"/>
    </xf>
    <xf numFmtId="225" fontId="8" fillId="0" borderId="60">
      <alignment horizontal="right" vertical="center" shrinkToFit="1"/>
    </xf>
    <xf numFmtId="225" fontId="8" fillId="0" borderId="60">
      <alignment horizontal="right" vertical="center" shrinkToFit="1"/>
    </xf>
    <xf numFmtId="225" fontId="8" fillId="0" borderId="60">
      <alignment horizontal="right" vertical="center" shrinkToFit="1"/>
    </xf>
    <xf numFmtId="225" fontId="8" fillId="0" borderId="60">
      <alignment horizontal="right" vertical="center" shrinkToFit="1"/>
    </xf>
    <xf numFmtId="225" fontId="8" fillId="0" borderId="60">
      <alignment horizontal="right" vertical="center" shrinkToFit="1"/>
    </xf>
    <xf numFmtId="225" fontId="8" fillId="0" borderId="60">
      <alignment horizontal="right" vertical="center" shrinkToFit="1"/>
    </xf>
    <xf numFmtId="225" fontId="8" fillId="0" borderId="60">
      <alignment horizontal="right" vertical="center" shrinkToFit="1"/>
    </xf>
    <xf numFmtId="225" fontId="8" fillId="0" borderId="60">
      <alignment horizontal="right" vertical="center" shrinkToFit="1"/>
    </xf>
    <xf numFmtId="225" fontId="8" fillId="0" borderId="60">
      <alignment horizontal="right" vertical="center" shrinkToFit="1"/>
    </xf>
    <xf numFmtId="225" fontId="8" fillId="0" borderId="60">
      <alignment horizontal="right" vertical="center" shrinkToFit="1"/>
    </xf>
    <xf numFmtId="225" fontId="8" fillId="0" borderId="60">
      <alignment horizontal="right" vertical="center" shrinkToFit="1"/>
    </xf>
    <xf numFmtId="225" fontId="8" fillId="0" borderId="60">
      <alignment horizontal="right" vertical="center" shrinkToFit="1"/>
    </xf>
    <xf numFmtId="225" fontId="8" fillId="0" borderId="60">
      <alignment horizontal="right" vertical="center" shrinkToFit="1"/>
    </xf>
    <xf numFmtId="225" fontId="8" fillId="0" borderId="60">
      <alignment horizontal="right" vertical="center" shrinkToFit="1"/>
    </xf>
    <xf numFmtId="225" fontId="8" fillId="0" borderId="60">
      <alignment horizontal="right" vertical="center" shrinkToFit="1"/>
    </xf>
    <xf numFmtId="225" fontId="8" fillId="0" borderId="60">
      <alignment horizontal="right" vertical="center" shrinkToFit="1"/>
    </xf>
    <xf numFmtId="225" fontId="8" fillId="0" borderId="60">
      <alignment horizontal="right" vertical="center" shrinkToFit="1"/>
    </xf>
    <xf numFmtId="225" fontId="8" fillId="0" borderId="60">
      <alignment horizontal="right" vertical="center" shrinkToFit="1"/>
    </xf>
    <xf numFmtId="225" fontId="8" fillId="0" borderId="60">
      <alignment horizontal="right" vertical="center" shrinkToFit="1"/>
    </xf>
    <xf numFmtId="225" fontId="8" fillId="0" borderId="60">
      <alignment horizontal="right" vertical="center" shrinkToFit="1"/>
    </xf>
    <xf numFmtId="225" fontId="8" fillId="0" borderId="60">
      <alignment horizontal="right" vertical="center" shrinkToFit="1"/>
    </xf>
    <xf numFmtId="225" fontId="8" fillId="0" borderId="60">
      <alignment horizontal="right" vertical="center" shrinkToFit="1"/>
    </xf>
    <xf numFmtId="37" fontId="27" fillId="0" borderId="20"/>
    <xf numFmtId="1" fontId="17" fillId="0" borderId="60" applyFill="0" applyBorder="0">
      <alignment horizontal="center"/>
    </xf>
    <xf numFmtId="1" fontId="17" fillId="0" borderId="60" applyFill="0" applyBorder="0">
      <alignment horizontal="center"/>
    </xf>
    <xf numFmtId="1" fontId="17" fillId="0" borderId="60" applyFill="0" applyBorder="0">
      <alignment horizontal="center"/>
    </xf>
    <xf numFmtId="1" fontId="17" fillId="0" borderId="60" applyFill="0" applyBorder="0">
      <alignment horizontal="center"/>
    </xf>
    <xf numFmtId="1" fontId="17" fillId="0" borderId="60" applyFill="0" applyBorder="0">
      <alignment horizontal="center"/>
    </xf>
    <xf numFmtId="1" fontId="17" fillId="0" borderId="60" applyFill="0" applyBorder="0">
      <alignment horizontal="center"/>
    </xf>
    <xf numFmtId="1" fontId="17" fillId="0" borderId="60" applyFill="0" applyBorder="0">
      <alignment horizontal="center"/>
    </xf>
    <xf numFmtId="1" fontId="17" fillId="0" borderId="60" applyFill="0" applyBorder="0">
      <alignment horizontal="center"/>
    </xf>
    <xf numFmtId="1" fontId="17" fillId="0" borderId="60" applyFill="0" applyBorder="0">
      <alignment horizontal="center"/>
    </xf>
    <xf numFmtId="1" fontId="17" fillId="0" borderId="60" applyFill="0" applyBorder="0">
      <alignment horizontal="center"/>
    </xf>
    <xf numFmtId="1" fontId="17" fillId="0" borderId="60" applyFill="0" applyBorder="0">
      <alignment horizontal="center"/>
    </xf>
    <xf numFmtId="1" fontId="17" fillId="0" borderId="60" applyFill="0" applyBorder="0">
      <alignment horizontal="center"/>
    </xf>
    <xf numFmtId="1" fontId="17" fillId="0" borderId="60" applyFill="0" applyBorder="0">
      <alignment horizontal="center"/>
    </xf>
    <xf numFmtId="1" fontId="17" fillId="0" borderId="60" applyFill="0" applyBorder="0">
      <alignment horizontal="center"/>
    </xf>
    <xf numFmtId="1" fontId="17" fillId="0" borderId="60" applyFill="0" applyBorder="0">
      <alignment horizontal="center"/>
    </xf>
    <xf numFmtId="1" fontId="17" fillId="0" borderId="60" applyFill="0" applyBorder="0">
      <alignment horizontal="center"/>
    </xf>
    <xf numFmtId="1" fontId="17" fillId="0" borderId="60" applyFill="0" applyBorder="0">
      <alignment horizontal="center"/>
    </xf>
    <xf numFmtId="1" fontId="17" fillId="0" borderId="60" applyFill="0" applyBorder="0">
      <alignment horizontal="center"/>
    </xf>
    <xf numFmtId="1" fontId="17" fillId="0" borderId="60" applyFill="0" applyBorder="0">
      <alignment horizontal="center"/>
    </xf>
    <xf numFmtId="1" fontId="17" fillId="0" borderId="60" applyFill="0" applyBorder="0">
      <alignment horizontal="center"/>
    </xf>
    <xf numFmtId="1" fontId="17" fillId="0" borderId="60" applyFill="0" applyBorder="0">
      <alignment horizontal="center"/>
    </xf>
    <xf numFmtId="1" fontId="17" fillId="0" borderId="60" applyFill="0" applyBorder="0">
      <alignment horizontal="center"/>
    </xf>
    <xf numFmtId="1" fontId="17" fillId="0" borderId="60" applyFill="0" applyBorder="0">
      <alignment horizontal="center"/>
    </xf>
    <xf numFmtId="1" fontId="17" fillId="0" borderId="60" applyFill="0" applyBorder="0">
      <alignment horizontal="center"/>
    </xf>
    <xf numFmtId="1" fontId="17" fillId="0" borderId="60" applyFill="0" applyBorder="0">
      <alignment horizontal="center"/>
    </xf>
    <xf numFmtId="1" fontId="17" fillId="0" borderId="60" applyFill="0" applyBorder="0">
      <alignment horizontal="center"/>
    </xf>
    <xf numFmtId="1" fontId="17" fillId="0" borderId="60" applyFill="0" applyBorder="0">
      <alignment horizontal="center"/>
    </xf>
    <xf numFmtId="1" fontId="17" fillId="0" borderId="60" applyFill="0" applyBorder="0">
      <alignment horizontal="center"/>
    </xf>
    <xf numFmtId="1" fontId="17" fillId="0" borderId="60" applyFill="0" applyBorder="0">
      <alignment horizontal="center"/>
    </xf>
    <xf numFmtId="1" fontId="17" fillId="0" borderId="60" applyFill="0" applyBorder="0">
      <alignment horizontal="center"/>
    </xf>
    <xf numFmtId="1" fontId="17" fillId="0" borderId="60" applyFill="0" applyBorder="0">
      <alignment horizontal="center"/>
    </xf>
    <xf numFmtId="1" fontId="17" fillId="0" borderId="60" applyFill="0" applyBorder="0">
      <alignment horizontal="center"/>
    </xf>
    <xf numFmtId="1" fontId="17" fillId="0" borderId="60" applyFill="0" applyBorder="0">
      <alignment horizontal="center"/>
    </xf>
    <xf numFmtId="1" fontId="17" fillId="0" borderId="60" applyFill="0" applyBorder="0">
      <alignment horizontal="center"/>
    </xf>
    <xf numFmtId="1" fontId="17" fillId="0" borderId="60" applyFill="0" applyBorder="0">
      <alignment horizontal="center"/>
    </xf>
    <xf numFmtId="1" fontId="17" fillId="0" borderId="60" applyFill="0" applyBorder="0">
      <alignment horizontal="center"/>
    </xf>
    <xf numFmtId="1" fontId="17" fillId="0" borderId="60" applyFill="0" applyBorder="0">
      <alignment horizontal="center"/>
    </xf>
    <xf numFmtId="1" fontId="17" fillId="0" borderId="60" applyFill="0" applyBorder="0">
      <alignment horizontal="center"/>
    </xf>
    <xf numFmtId="1" fontId="17" fillId="0" borderId="60" applyFill="0" applyBorder="0">
      <alignment horizontal="center"/>
    </xf>
    <xf numFmtId="1" fontId="17" fillId="0" borderId="60" applyFill="0" applyBorder="0">
      <alignment horizontal="center"/>
    </xf>
    <xf numFmtId="1" fontId="17" fillId="0" borderId="60" applyFill="0" applyBorder="0">
      <alignment horizontal="center"/>
    </xf>
    <xf numFmtId="1" fontId="17" fillId="0" borderId="60" applyFill="0" applyBorder="0">
      <alignment horizontal="center"/>
    </xf>
    <xf numFmtId="1" fontId="17" fillId="0" borderId="60" applyFill="0" applyBorder="0">
      <alignment horizontal="center"/>
    </xf>
    <xf numFmtId="1" fontId="17" fillId="0" borderId="60" applyFill="0" applyBorder="0">
      <alignment horizontal="center"/>
    </xf>
    <xf numFmtId="1" fontId="17" fillId="0" borderId="60" applyFill="0" applyBorder="0">
      <alignment horizontal="center"/>
    </xf>
    <xf numFmtId="0" fontId="2" fillId="10" borderId="32" applyNumberFormat="0" applyFont="0" applyAlignment="0" applyProtection="0">
      <alignment vertical="center"/>
    </xf>
    <xf numFmtId="0" fontId="193" fillId="70" borderId="86" applyNumberFormat="0" applyFont="0" applyAlignment="0" applyProtection="0">
      <alignment vertical="center"/>
    </xf>
    <xf numFmtId="0" fontId="193" fillId="70" borderId="86" applyNumberFormat="0" applyFont="0" applyAlignment="0" applyProtection="0">
      <alignment vertical="center"/>
    </xf>
    <xf numFmtId="0" fontId="193" fillId="70" borderId="86" applyNumberFormat="0" applyFont="0" applyAlignment="0" applyProtection="0">
      <alignment vertical="center"/>
    </xf>
    <xf numFmtId="0" fontId="193" fillId="70" borderId="86" applyNumberFormat="0" applyFont="0" applyAlignment="0" applyProtection="0">
      <alignment vertical="center"/>
    </xf>
    <xf numFmtId="0" fontId="193" fillId="70" borderId="86" applyNumberFormat="0" applyFont="0" applyAlignment="0" applyProtection="0">
      <alignment vertical="center"/>
    </xf>
    <xf numFmtId="0" fontId="193" fillId="70" borderId="86" applyNumberFormat="0" applyFont="0" applyAlignment="0" applyProtection="0">
      <alignment vertical="center"/>
    </xf>
    <xf numFmtId="0" fontId="193" fillId="70" borderId="86" applyNumberFormat="0" applyFont="0" applyAlignment="0" applyProtection="0">
      <alignment vertical="center"/>
    </xf>
    <xf numFmtId="0" fontId="193" fillId="70" borderId="86" applyNumberFormat="0" applyFont="0" applyAlignment="0" applyProtection="0">
      <alignment vertical="center"/>
    </xf>
    <xf numFmtId="0" fontId="193" fillId="70" borderId="86" applyNumberFormat="0" applyFont="0" applyAlignment="0" applyProtection="0">
      <alignment vertical="center"/>
    </xf>
    <xf numFmtId="0" fontId="193" fillId="70" borderId="86" applyNumberFormat="0" applyFont="0" applyAlignment="0" applyProtection="0">
      <alignment vertical="center"/>
    </xf>
    <xf numFmtId="0" fontId="193" fillId="70" borderId="86" applyNumberFormat="0" applyFont="0" applyAlignment="0" applyProtection="0">
      <alignment vertical="center"/>
    </xf>
    <xf numFmtId="0" fontId="193" fillId="70" borderId="86" applyNumberFormat="0" applyFont="0" applyAlignment="0" applyProtection="0">
      <alignment vertical="center"/>
    </xf>
    <xf numFmtId="0" fontId="193" fillId="70" borderId="86" applyNumberFormat="0" applyFont="0" applyAlignment="0" applyProtection="0">
      <alignment vertical="center"/>
    </xf>
    <xf numFmtId="0" fontId="193" fillId="70" borderId="86" applyNumberFormat="0" applyFont="0" applyAlignment="0" applyProtection="0">
      <alignment vertical="center"/>
    </xf>
    <xf numFmtId="0" fontId="193" fillId="70" borderId="86" applyNumberFormat="0" applyFont="0" applyAlignment="0" applyProtection="0">
      <alignment vertical="center"/>
    </xf>
    <xf numFmtId="0" fontId="193" fillId="70" borderId="86" applyNumberFormat="0" applyFont="0" applyAlignment="0" applyProtection="0">
      <alignment vertical="center"/>
    </xf>
    <xf numFmtId="0" fontId="193" fillId="70" borderId="86" applyNumberFormat="0" applyFont="0" applyAlignment="0" applyProtection="0">
      <alignment vertical="center"/>
    </xf>
    <xf numFmtId="0" fontId="193" fillId="70" borderId="86" applyNumberFormat="0" applyFont="0" applyAlignment="0" applyProtection="0">
      <alignment vertical="center"/>
    </xf>
    <xf numFmtId="0" fontId="193" fillId="70" borderId="86" applyNumberFormat="0" applyFont="0" applyAlignment="0" applyProtection="0">
      <alignment vertical="center"/>
    </xf>
    <xf numFmtId="0" fontId="2" fillId="10" borderId="32" applyNumberFormat="0" applyFont="0" applyAlignment="0" applyProtection="0">
      <alignment vertical="center"/>
    </xf>
    <xf numFmtId="0" fontId="2" fillId="10" borderId="32" applyNumberFormat="0" applyFont="0" applyAlignment="0" applyProtection="0">
      <alignment vertical="center"/>
    </xf>
    <xf numFmtId="0" fontId="2" fillId="10" borderId="32" applyNumberFormat="0" applyFont="0" applyAlignment="0" applyProtection="0">
      <alignment vertical="center"/>
    </xf>
    <xf numFmtId="0" fontId="2" fillId="10" borderId="32" applyNumberFormat="0" applyFont="0" applyAlignment="0" applyProtection="0">
      <alignment vertical="center"/>
    </xf>
    <xf numFmtId="0" fontId="16" fillId="71" borderId="87" applyNumberFormat="0" applyAlignment="0" applyProtection="0"/>
    <xf numFmtId="0" fontId="2" fillId="10" borderId="32" applyNumberFormat="0" applyFont="0" applyAlignment="0" applyProtection="0">
      <alignment vertical="center"/>
    </xf>
    <xf numFmtId="0" fontId="2" fillId="10" borderId="32" applyNumberFormat="0" applyFont="0" applyAlignment="0" applyProtection="0">
      <alignment vertical="center"/>
    </xf>
    <xf numFmtId="0" fontId="2" fillId="10" borderId="32" applyNumberFormat="0" applyFont="0" applyAlignment="0" applyProtection="0">
      <alignment vertical="center"/>
    </xf>
    <xf numFmtId="0" fontId="16" fillId="71" borderId="87" applyNumberFormat="0" applyAlignment="0" applyProtection="0"/>
    <xf numFmtId="0" fontId="2" fillId="10" borderId="32" applyNumberFormat="0" applyFont="0" applyAlignment="0" applyProtection="0">
      <alignment vertical="center"/>
    </xf>
    <xf numFmtId="0" fontId="2" fillId="10" borderId="32" applyNumberFormat="0" applyFont="0" applyAlignment="0" applyProtection="0">
      <alignment vertical="center"/>
    </xf>
    <xf numFmtId="0" fontId="2" fillId="10" borderId="32" applyNumberFormat="0" applyFont="0" applyAlignment="0" applyProtection="0">
      <alignment vertical="center"/>
    </xf>
    <xf numFmtId="0" fontId="2" fillId="10" borderId="32" applyNumberFormat="0" applyFont="0" applyAlignment="0" applyProtection="0">
      <alignment vertical="center"/>
    </xf>
    <xf numFmtId="0" fontId="16" fillId="71" borderId="87" applyNumberFormat="0" applyAlignment="0" applyProtection="0"/>
    <xf numFmtId="0" fontId="2" fillId="10" borderId="32" applyNumberFormat="0" applyFont="0" applyAlignment="0" applyProtection="0">
      <alignment vertical="center"/>
    </xf>
    <xf numFmtId="0" fontId="193" fillId="70" borderId="86" applyNumberFormat="0" applyFont="0" applyAlignment="0" applyProtection="0">
      <alignment vertical="center"/>
    </xf>
    <xf numFmtId="0" fontId="2" fillId="10" borderId="32" applyNumberFormat="0" applyFont="0" applyAlignment="0" applyProtection="0">
      <alignment vertical="center"/>
    </xf>
    <xf numFmtId="0" fontId="2" fillId="10" borderId="32" applyNumberFormat="0" applyFont="0" applyAlignment="0" applyProtection="0">
      <alignment vertical="center"/>
    </xf>
    <xf numFmtId="0" fontId="193" fillId="70" borderId="86" applyNumberFormat="0" applyFont="0" applyAlignment="0" applyProtection="0">
      <alignment vertical="center"/>
    </xf>
    <xf numFmtId="0" fontId="193" fillId="70" borderId="86" applyNumberFormat="0" applyFont="0" applyAlignment="0" applyProtection="0">
      <alignment vertical="center"/>
    </xf>
    <xf numFmtId="0" fontId="193" fillId="70" borderId="86" applyNumberFormat="0" applyFont="0" applyAlignment="0" applyProtection="0">
      <alignment vertical="center"/>
    </xf>
    <xf numFmtId="0" fontId="16" fillId="71" borderId="87" applyNumberFormat="0" applyAlignment="0" applyProtection="0"/>
    <xf numFmtId="0" fontId="193" fillId="70" borderId="86" applyNumberFormat="0" applyFont="0" applyAlignment="0" applyProtection="0">
      <alignment vertical="center"/>
    </xf>
    <xf numFmtId="0" fontId="193" fillId="70" borderId="86" applyNumberFormat="0" applyFont="0" applyAlignment="0" applyProtection="0">
      <alignment vertical="center"/>
    </xf>
    <xf numFmtId="0" fontId="193" fillId="70" borderId="86" applyNumberFormat="0" applyFont="0" applyAlignment="0" applyProtection="0">
      <alignment vertical="center"/>
    </xf>
    <xf numFmtId="0" fontId="193" fillId="70" borderId="86" applyNumberFormat="0" applyFont="0" applyAlignment="0" applyProtection="0">
      <alignment vertical="center"/>
    </xf>
    <xf numFmtId="0" fontId="2" fillId="10" borderId="32" applyNumberFormat="0" applyFont="0" applyAlignment="0" applyProtection="0">
      <alignment vertical="center"/>
    </xf>
    <xf numFmtId="0" fontId="193" fillId="70" borderId="86" applyNumberFormat="0" applyFont="0" applyAlignment="0" applyProtection="0">
      <alignment vertical="center"/>
    </xf>
    <xf numFmtId="0" fontId="193" fillId="70" borderId="86" applyNumberFormat="0" applyFont="0" applyAlignment="0" applyProtection="0">
      <alignment vertical="center"/>
    </xf>
    <xf numFmtId="0" fontId="193" fillId="70" borderId="86" applyNumberFormat="0" applyFont="0" applyAlignment="0" applyProtection="0">
      <alignment vertical="center"/>
    </xf>
    <xf numFmtId="0" fontId="193" fillId="70" borderId="86" applyNumberFormat="0" applyFont="0" applyAlignment="0" applyProtection="0">
      <alignment vertical="center"/>
    </xf>
    <xf numFmtId="0" fontId="193" fillId="70" borderId="86" applyNumberFormat="0" applyFont="0" applyAlignment="0" applyProtection="0">
      <alignment vertical="center"/>
    </xf>
    <xf numFmtId="0" fontId="193" fillId="70" borderId="86" applyNumberFormat="0" applyFont="0" applyAlignment="0" applyProtection="0">
      <alignment vertical="center"/>
    </xf>
    <xf numFmtId="0" fontId="193" fillId="70" borderId="86" applyNumberFormat="0" applyFont="0" applyAlignment="0" applyProtection="0">
      <alignment vertical="center"/>
    </xf>
    <xf numFmtId="0" fontId="193" fillId="70" borderId="86" applyNumberFormat="0" applyFont="0" applyAlignment="0" applyProtection="0">
      <alignment vertical="center"/>
    </xf>
    <xf numFmtId="0" fontId="193" fillId="70" borderId="86" applyNumberFormat="0" applyFont="0" applyAlignment="0" applyProtection="0">
      <alignment vertical="center"/>
    </xf>
    <xf numFmtId="0" fontId="193" fillId="70" borderId="86" applyNumberFormat="0" applyFont="0" applyAlignment="0" applyProtection="0">
      <alignment vertical="center"/>
    </xf>
    <xf numFmtId="0" fontId="193" fillId="70" borderId="86" applyNumberFormat="0" applyFont="0" applyAlignment="0" applyProtection="0">
      <alignment vertical="center"/>
    </xf>
    <xf numFmtId="0" fontId="193" fillId="70" borderId="86" applyNumberFormat="0" applyFont="0" applyAlignment="0" applyProtection="0">
      <alignment vertical="center"/>
    </xf>
    <xf numFmtId="0" fontId="193" fillId="70" borderId="86" applyNumberFormat="0" applyFont="0" applyAlignment="0" applyProtection="0">
      <alignment vertical="center"/>
    </xf>
    <xf numFmtId="0" fontId="193" fillId="70" borderId="86" applyNumberFormat="0" applyFont="0" applyAlignment="0" applyProtection="0">
      <alignment vertical="center"/>
    </xf>
    <xf numFmtId="0" fontId="193" fillId="70" borderId="86" applyNumberFormat="0" applyFont="0" applyAlignment="0" applyProtection="0">
      <alignment vertical="center"/>
    </xf>
    <xf numFmtId="0" fontId="193" fillId="70" borderId="86" applyNumberFormat="0" applyFont="0" applyAlignment="0" applyProtection="0">
      <alignment vertical="center"/>
    </xf>
    <xf numFmtId="0" fontId="193" fillId="70" borderId="86" applyNumberFormat="0" applyFont="0" applyAlignment="0" applyProtection="0">
      <alignment vertical="center"/>
    </xf>
    <xf numFmtId="0" fontId="193" fillId="70" borderId="86" applyNumberFormat="0" applyFont="0" applyAlignment="0" applyProtection="0">
      <alignment vertical="center"/>
    </xf>
    <xf numFmtId="0" fontId="193" fillId="70" borderId="86" applyNumberFormat="0" applyFont="0" applyAlignment="0" applyProtection="0">
      <alignment vertical="center"/>
    </xf>
    <xf numFmtId="0" fontId="2" fillId="10" borderId="32" applyNumberFormat="0" applyFont="0" applyAlignment="0" applyProtection="0">
      <alignment vertical="center"/>
    </xf>
    <xf numFmtId="0" fontId="19" fillId="70" borderId="86" applyNumberFormat="0" applyFont="0" applyAlignment="0" applyProtection="0">
      <alignment vertical="center"/>
    </xf>
    <xf numFmtId="0" fontId="19" fillId="70" borderId="86" applyNumberFormat="0" applyFont="0" applyAlignment="0" applyProtection="0">
      <alignment vertical="center"/>
    </xf>
    <xf numFmtId="0" fontId="19" fillId="70" borderId="86" applyNumberFormat="0" applyFont="0" applyAlignment="0" applyProtection="0">
      <alignment vertical="center"/>
    </xf>
    <xf numFmtId="0" fontId="19" fillId="70" borderId="86" applyNumberFormat="0" applyFont="0" applyAlignment="0" applyProtection="0">
      <alignment vertical="center"/>
    </xf>
    <xf numFmtId="0" fontId="19" fillId="70" borderId="86" applyNumberFormat="0" applyFont="0" applyAlignment="0" applyProtection="0">
      <alignment vertical="center"/>
    </xf>
    <xf numFmtId="0" fontId="19" fillId="70" borderId="86" applyNumberFormat="0" applyFont="0" applyAlignment="0" applyProtection="0">
      <alignment vertical="center"/>
    </xf>
    <xf numFmtId="0" fontId="19" fillId="70" borderId="86" applyNumberFormat="0" applyFont="0" applyAlignment="0" applyProtection="0">
      <alignment vertical="center"/>
    </xf>
    <xf numFmtId="0" fontId="19" fillId="70" borderId="86" applyNumberFormat="0" applyFont="0" applyAlignment="0" applyProtection="0">
      <alignment vertical="center"/>
    </xf>
    <xf numFmtId="0" fontId="19" fillId="70" borderId="86" applyNumberFormat="0" applyFont="0" applyAlignment="0" applyProtection="0">
      <alignment vertical="center"/>
    </xf>
    <xf numFmtId="0" fontId="19" fillId="70" borderId="86" applyNumberFormat="0" applyFont="0" applyAlignment="0" applyProtection="0">
      <alignment vertical="center"/>
    </xf>
    <xf numFmtId="0" fontId="19" fillId="70" borderId="86" applyNumberFormat="0" applyFont="0" applyAlignment="0" applyProtection="0">
      <alignment vertical="center"/>
    </xf>
    <xf numFmtId="0" fontId="19" fillId="70" borderId="86" applyNumberFormat="0" applyFont="0" applyAlignment="0" applyProtection="0">
      <alignment vertical="center"/>
    </xf>
    <xf numFmtId="0" fontId="19" fillId="70" borderId="86" applyNumberFormat="0" applyFont="0" applyAlignment="0" applyProtection="0">
      <alignment vertical="center"/>
    </xf>
    <xf numFmtId="0" fontId="19" fillId="70" borderId="86" applyNumberFormat="0" applyFont="0" applyAlignment="0" applyProtection="0">
      <alignment vertical="center"/>
    </xf>
    <xf numFmtId="0" fontId="19" fillId="70" borderId="86" applyNumberFormat="0" applyFont="0" applyAlignment="0" applyProtection="0">
      <alignment vertical="center"/>
    </xf>
    <xf numFmtId="0" fontId="19" fillId="70" borderId="86" applyNumberFormat="0" applyFont="0" applyAlignment="0" applyProtection="0">
      <alignment vertical="center"/>
    </xf>
    <xf numFmtId="0" fontId="19" fillId="70" borderId="86" applyNumberFormat="0" applyFont="0" applyAlignment="0" applyProtection="0">
      <alignment vertical="center"/>
    </xf>
    <xf numFmtId="0" fontId="19" fillId="70" borderId="86" applyNumberFormat="0" applyFont="0" applyAlignment="0" applyProtection="0">
      <alignment vertical="center"/>
    </xf>
    <xf numFmtId="0" fontId="19" fillId="70" borderId="86" applyNumberFormat="0" applyFont="0" applyAlignment="0" applyProtection="0">
      <alignment vertical="center"/>
    </xf>
    <xf numFmtId="0" fontId="2" fillId="10" borderId="32" applyNumberFormat="0" applyFont="0" applyAlignment="0" applyProtection="0">
      <alignment vertical="center"/>
    </xf>
    <xf numFmtId="0" fontId="2" fillId="10" borderId="32" applyNumberFormat="0" applyFont="0" applyAlignment="0" applyProtection="0">
      <alignment vertical="center"/>
    </xf>
    <xf numFmtId="0" fontId="2" fillId="10" borderId="32" applyNumberFormat="0" applyFont="0" applyAlignment="0" applyProtection="0">
      <alignment vertical="center"/>
    </xf>
    <xf numFmtId="0" fontId="16" fillId="71" borderId="87" applyNumberFormat="0" applyAlignment="0" applyProtection="0"/>
    <xf numFmtId="0" fontId="2" fillId="10" borderId="32" applyNumberFormat="0" applyFont="0" applyAlignment="0" applyProtection="0">
      <alignment vertical="center"/>
    </xf>
    <xf numFmtId="0" fontId="19" fillId="70" borderId="86" applyNumberFormat="0" applyFont="0" applyAlignment="0" applyProtection="0">
      <alignment vertical="center"/>
    </xf>
    <xf numFmtId="0" fontId="2" fillId="10" borderId="32" applyNumberFormat="0" applyFont="0" applyAlignment="0" applyProtection="0">
      <alignment vertical="center"/>
    </xf>
    <xf numFmtId="0" fontId="2" fillId="10" borderId="32" applyNumberFormat="0" applyFont="0" applyAlignment="0" applyProtection="0">
      <alignment vertical="center"/>
    </xf>
    <xf numFmtId="0" fontId="19" fillId="70" borderId="86" applyNumberFormat="0" applyFont="0" applyAlignment="0" applyProtection="0">
      <alignment vertical="center"/>
    </xf>
    <xf numFmtId="0" fontId="19" fillId="70" borderId="86" applyNumberFormat="0" applyFont="0" applyAlignment="0" applyProtection="0">
      <alignment vertical="center"/>
    </xf>
    <xf numFmtId="0" fontId="19" fillId="70" borderId="86" applyNumberFormat="0" applyFont="0" applyAlignment="0" applyProtection="0">
      <alignment vertical="center"/>
    </xf>
    <xf numFmtId="0" fontId="16" fillId="71" borderId="87" applyNumberFormat="0" applyAlignment="0" applyProtection="0"/>
    <xf numFmtId="0" fontId="19" fillId="70" borderId="86" applyNumberFormat="0" applyFont="0" applyAlignment="0" applyProtection="0">
      <alignment vertical="center"/>
    </xf>
    <xf numFmtId="0" fontId="19" fillId="70" borderId="86" applyNumberFormat="0" applyFont="0" applyAlignment="0" applyProtection="0">
      <alignment vertical="center"/>
    </xf>
    <xf numFmtId="0" fontId="19" fillId="70" borderId="86" applyNumberFormat="0" applyFont="0" applyAlignment="0" applyProtection="0">
      <alignment vertical="center"/>
    </xf>
    <xf numFmtId="0" fontId="19" fillId="70" borderId="86" applyNumberFormat="0" applyFont="0" applyAlignment="0" applyProtection="0">
      <alignment vertical="center"/>
    </xf>
    <xf numFmtId="0" fontId="2" fillId="10" borderId="32" applyNumberFormat="0" applyFont="0" applyAlignment="0" applyProtection="0">
      <alignment vertical="center"/>
    </xf>
    <xf numFmtId="0" fontId="19" fillId="70" borderId="86" applyNumberFormat="0" applyFont="0" applyAlignment="0" applyProtection="0">
      <alignment vertical="center"/>
    </xf>
    <xf numFmtId="0" fontId="19" fillId="70" borderId="86" applyNumberFormat="0" applyFont="0" applyAlignment="0" applyProtection="0">
      <alignment vertical="center"/>
    </xf>
    <xf numFmtId="0" fontId="19" fillId="70" borderId="86" applyNumberFormat="0" applyFont="0" applyAlignment="0" applyProtection="0">
      <alignment vertical="center"/>
    </xf>
    <xf numFmtId="0" fontId="19" fillId="70" borderId="86" applyNumberFormat="0" applyFont="0" applyAlignment="0" applyProtection="0">
      <alignment vertical="center"/>
    </xf>
    <xf numFmtId="0" fontId="19" fillId="70" borderId="86" applyNumberFormat="0" applyFont="0" applyAlignment="0" applyProtection="0">
      <alignment vertical="center"/>
    </xf>
    <xf numFmtId="0" fontId="19" fillId="70" borderId="86" applyNumberFormat="0" applyFont="0" applyAlignment="0" applyProtection="0">
      <alignment vertical="center"/>
    </xf>
    <xf numFmtId="0" fontId="19" fillId="70" borderId="86" applyNumberFormat="0" applyFont="0" applyAlignment="0" applyProtection="0">
      <alignment vertical="center"/>
    </xf>
    <xf numFmtId="0" fontId="19" fillId="70" borderId="86" applyNumberFormat="0" applyFont="0" applyAlignment="0" applyProtection="0">
      <alignment vertical="center"/>
    </xf>
    <xf numFmtId="0" fontId="19" fillId="70" borderId="86" applyNumberFormat="0" applyFont="0" applyAlignment="0" applyProtection="0">
      <alignment vertical="center"/>
    </xf>
    <xf numFmtId="0" fontId="19" fillId="70" borderId="86" applyNumberFormat="0" applyFont="0" applyAlignment="0" applyProtection="0">
      <alignment vertical="center"/>
    </xf>
    <xf numFmtId="0" fontId="19" fillId="70" borderId="86" applyNumberFormat="0" applyFont="0" applyAlignment="0" applyProtection="0">
      <alignment vertical="center"/>
    </xf>
    <xf numFmtId="0" fontId="19" fillId="70" borderId="86" applyNumberFormat="0" applyFont="0" applyAlignment="0" applyProtection="0">
      <alignment vertical="center"/>
    </xf>
    <xf numFmtId="0" fontId="19" fillId="70" borderId="86" applyNumberFormat="0" applyFont="0" applyAlignment="0" applyProtection="0">
      <alignment vertical="center"/>
    </xf>
    <xf numFmtId="0" fontId="19" fillId="70" borderId="86" applyNumberFormat="0" applyFont="0" applyAlignment="0" applyProtection="0">
      <alignment vertical="center"/>
    </xf>
    <xf numFmtId="0" fontId="19" fillId="70" borderId="86" applyNumberFormat="0" applyFont="0" applyAlignment="0" applyProtection="0">
      <alignment vertical="center"/>
    </xf>
    <xf numFmtId="0" fontId="19" fillId="70" borderId="86" applyNumberFormat="0" applyFont="0" applyAlignment="0" applyProtection="0">
      <alignment vertical="center"/>
    </xf>
    <xf numFmtId="0" fontId="19" fillId="70" borderId="86" applyNumberFormat="0" applyFont="0" applyAlignment="0" applyProtection="0">
      <alignment vertical="center"/>
    </xf>
    <xf numFmtId="0" fontId="19" fillId="70" borderId="86" applyNumberFormat="0" applyFont="0" applyAlignment="0" applyProtection="0">
      <alignment vertical="center"/>
    </xf>
    <xf numFmtId="0" fontId="19" fillId="70" borderId="86" applyNumberFormat="0" applyFont="0" applyAlignment="0" applyProtection="0">
      <alignment vertical="center"/>
    </xf>
    <xf numFmtId="0" fontId="19" fillId="70" borderId="86" applyNumberFormat="0" applyFont="0" applyAlignment="0" applyProtection="0">
      <alignment vertical="center"/>
    </xf>
    <xf numFmtId="0" fontId="19" fillId="70" borderId="86" applyNumberFormat="0" applyFont="0" applyAlignment="0" applyProtection="0">
      <alignment vertical="center"/>
    </xf>
    <xf numFmtId="0" fontId="19" fillId="70" borderId="86" applyNumberFormat="0" applyFont="0" applyAlignment="0" applyProtection="0">
      <alignment vertical="center"/>
    </xf>
    <xf numFmtId="0" fontId="19" fillId="70" borderId="86" applyNumberFormat="0" applyFont="0" applyAlignment="0" applyProtection="0">
      <alignment vertical="center"/>
    </xf>
    <xf numFmtId="0" fontId="19" fillId="70" borderId="86" applyNumberFormat="0" applyFont="0" applyAlignment="0" applyProtection="0">
      <alignment vertical="center"/>
    </xf>
    <xf numFmtId="0" fontId="2" fillId="10" borderId="32" applyNumberFormat="0" applyFont="0" applyAlignment="0" applyProtection="0">
      <alignment vertical="center"/>
    </xf>
    <xf numFmtId="0" fontId="2" fillId="10" borderId="32" applyNumberFormat="0" applyFont="0" applyAlignment="0" applyProtection="0">
      <alignment vertical="center"/>
    </xf>
    <xf numFmtId="0" fontId="2" fillId="10" borderId="32" applyNumberFormat="0" applyFont="0" applyAlignment="0" applyProtection="0">
      <alignment vertical="center"/>
    </xf>
    <xf numFmtId="0" fontId="16" fillId="71" borderId="87" applyNumberFormat="0" applyAlignment="0" applyProtection="0"/>
    <xf numFmtId="0" fontId="2" fillId="10" borderId="32" applyNumberFormat="0" applyFont="0" applyAlignment="0" applyProtection="0">
      <alignment vertical="center"/>
    </xf>
    <xf numFmtId="0" fontId="2" fillId="10" borderId="32" applyNumberFormat="0" applyFont="0" applyAlignment="0" applyProtection="0">
      <alignment vertical="center"/>
    </xf>
    <xf numFmtId="0" fontId="2" fillId="10" borderId="32" applyNumberFormat="0" applyFont="0" applyAlignment="0" applyProtection="0">
      <alignment vertical="center"/>
    </xf>
    <xf numFmtId="0" fontId="2" fillId="10" borderId="32" applyNumberFormat="0" applyFont="0" applyAlignment="0" applyProtection="0">
      <alignment vertical="center"/>
    </xf>
    <xf numFmtId="181" fontId="10" fillId="0" borderId="88" applyFill="0" applyBorder="0" applyProtection="0">
      <alignment vertical="center"/>
    </xf>
    <xf numFmtId="181" fontId="10" fillId="0" borderId="88" applyFill="0" applyBorder="0" applyProtection="0">
      <alignment vertical="center"/>
    </xf>
    <xf numFmtId="181" fontId="10" fillId="0" borderId="88" applyFill="0" applyBorder="0" applyProtection="0">
      <alignment vertical="center"/>
    </xf>
    <xf numFmtId="181" fontId="10" fillId="0" borderId="88" applyFill="0" applyBorder="0" applyProtection="0">
      <alignment vertical="center"/>
    </xf>
    <xf numFmtId="181" fontId="10" fillId="0" borderId="88" applyFill="0" applyBorder="0" applyProtection="0">
      <alignment vertical="center"/>
    </xf>
    <xf numFmtId="181" fontId="10" fillId="0" borderId="88" applyFill="0" applyBorder="0" applyProtection="0">
      <alignment vertical="center"/>
    </xf>
    <xf numFmtId="181" fontId="10" fillId="0" borderId="88" applyFill="0" applyBorder="0" applyProtection="0">
      <alignment vertical="center"/>
    </xf>
    <xf numFmtId="181" fontId="10" fillId="0" borderId="88" applyFill="0" applyBorder="0" applyProtection="0">
      <alignment vertical="center"/>
    </xf>
    <xf numFmtId="181" fontId="10" fillId="0" borderId="88" applyFill="0" applyBorder="0" applyProtection="0">
      <alignment vertical="center"/>
    </xf>
    <xf numFmtId="181" fontId="10" fillId="0" borderId="88" applyFill="0" applyBorder="0" applyProtection="0">
      <alignment vertical="center"/>
    </xf>
    <xf numFmtId="181" fontId="10" fillId="0" borderId="88" applyFill="0" applyBorder="0" applyProtection="0">
      <alignment vertical="center"/>
    </xf>
    <xf numFmtId="181" fontId="10" fillId="0" borderId="88" applyFill="0" applyBorder="0" applyProtection="0">
      <alignment vertical="center"/>
    </xf>
    <xf numFmtId="181" fontId="10" fillId="0" borderId="88" applyFill="0" applyBorder="0" applyProtection="0">
      <alignment vertical="center"/>
    </xf>
    <xf numFmtId="181" fontId="10" fillId="0" borderId="88" applyFill="0" applyBorder="0" applyProtection="0">
      <alignment vertical="center"/>
    </xf>
    <xf numFmtId="181" fontId="10" fillId="0" borderId="88" applyFill="0" applyBorder="0" applyProtection="0">
      <alignment vertical="center"/>
    </xf>
    <xf numFmtId="181" fontId="10" fillId="0" borderId="88" applyFill="0" applyBorder="0" applyProtection="0">
      <alignment vertical="center"/>
    </xf>
    <xf numFmtId="181" fontId="10" fillId="0" borderId="88" applyFill="0" applyBorder="0" applyProtection="0">
      <alignment vertical="center"/>
    </xf>
    <xf numFmtId="181" fontId="10" fillId="0" borderId="88" applyFill="0" applyBorder="0" applyProtection="0">
      <alignment vertical="center"/>
    </xf>
    <xf numFmtId="181" fontId="10" fillId="0" borderId="88" applyFill="0" applyBorder="0" applyProtection="0">
      <alignment vertical="center"/>
    </xf>
    <xf numFmtId="181" fontId="10" fillId="0" borderId="88" applyFill="0" applyBorder="0" applyProtection="0">
      <alignment vertical="center"/>
    </xf>
    <xf numFmtId="181" fontId="10" fillId="0" borderId="88" applyFill="0" applyBorder="0" applyProtection="0">
      <alignment vertical="center"/>
    </xf>
    <xf numFmtId="181" fontId="10" fillId="0" borderId="88" applyFill="0" applyBorder="0" applyProtection="0">
      <alignment vertical="center"/>
    </xf>
    <xf numFmtId="181" fontId="10" fillId="0" borderId="88" applyFill="0" applyBorder="0" applyProtection="0">
      <alignment vertical="center"/>
    </xf>
    <xf numFmtId="181" fontId="10" fillId="0" borderId="88" applyFill="0" applyBorder="0" applyProtection="0">
      <alignment vertical="center"/>
    </xf>
    <xf numFmtId="181" fontId="10" fillId="0" borderId="88" applyFill="0" applyBorder="0" applyProtection="0">
      <alignment vertical="center"/>
    </xf>
    <xf numFmtId="181" fontId="10" fillId="0" borderId="88" applyFill="0" applyBorder="0" applyProtection="0">
      <alignment vertical="center"/>
    </xf>
    <xf numFmtId="181" fontId="10" fillId="0" borderId="88" applyFill="0" applyBorder="0" applyProtection="0">
      <alignment vertical="center"/>
    </xf>
    <xf numFmtId="181" fontId="10" fillId="0" borderId="88" applyFill="0" applyBorder="0" applyProtection="0">
      <alignment vertical="center"/>
    </xf>
    <xf numFmtId="181" fontId="10" fillId="0" borderId="88" applyFill="0" applyBorder="0" applyProtection="0">
      <alignment vertical="center"/>
    </xf>
    <xf numFmtId="181" fontId="10" fillId="0" borderId="88" applyFill="0" applyBorder="0" applyProtection="0">
      <alignment vertical="center"/>
    </xf>
    <xf numFmtId="181" fontId="10" fillId="0" borderId="88" applyFill="0" applyBorder="0" applyProtection="0">
      <alignment vertical="center"/>
    </xf>
    <xf numFmtId="181" fontId="10" fillId="0" borderId="88" applyFill="0" applyBorder="0" applyProtection="0">
      <alignment vertical="center"/>
    </xf>
    <xf numFmtId="181" fontId="10" fillId="0" borderId="88" applyFill="0" applyBorder="0" applyProtection="0">
      <alignment vertical="center"/>
    </xf>
    <xf numFmtId="181" fontId="10" fillId="0" borderId="88" applyFill="0" applyBorder="0" applyProtection="0">
      <alignment vertical="center"/>
    </xf>
    <xf numFmtId="181" fontId="10" fillId="0" borderId="88" applyFill="0" applyBorder="0" applyProtection="0">
      <alignment vertical="center"/>
    </xf>
    <xf numFmtId="181" fontId="10" fillId="0" borderId="88" applyFill="0" applyBorder="0" applyProtection="0">
      <alignment vertical="center"/>
    </xf>
    <xf numFmtId="181" fontId="10" fillId="0" borderId="88" applyFill="0" applyBorder="0" applyProtection="0">
      <alignment vertical="center"/>
    </xf>
    <xf numFmtId="181" fontId="10" fillId="0" borderId="88" applyFill="0" applyBorder="0" applyProtection="0">
      <alignment vertical="center"/>
    </xf>
    <xf numFmtId="181" fontId="10" fillId="0" borderId="88" applyFill="0" applyBorder="0" applyProtection="0">
      <alignment vertical="center"/>
    </xf>
    <xf numFmtId="181" fontId="10" fillId="0" borderId="88" applyFill="0" applyBorder="0" applyProtection="0">
      <alignment vertical="center"/>
    </xf>
    <xf numFmtId="181" fontId="10" fillId="0" borderId="88" applyFill="0" applyBorder="0" applyProtection="0">
      <alignment vertical="center"/>
    </xf>
    <xf numFmtId="181" fontId="10" fillId="0" borderId="88" applyFill="0" applyBorder="0" applyProtection="0">
      <alignment vertical="center"/>
    </xf>
    <xf numFmtId="181" fontId="10" fillId="0" borderId="88" applyFill="0" applyBorder="0" applyProtection="0">
      <alignment vertical="center"/>
    </xf>
    <xf numFmtId="181" fontId="10" fillId="0" borderId="88" applyFill="0" applyBorder="0" applyProtection="0">
      <alignment vertical="center"/>
    </xf>
    <xf numFmtId="181" fontId="10" fillId="0" borderId="88" applyFill="0" applyBorder="0" applyProtection="0">
      <alignment vertical="center"/>
    </xf>
    <xf numFmtId="181" fontId="10" fillId="0" borderId="88" applyFill="0" applyBorder="0" applyProtection="0">
      <alignment vertical="center"/>
    </xf>
    <xf numFmtId="181" fontId="10" fillId="0" borderId="88" applyFill="0" applyBorder="0" applyProtection="0">
      <alignment vertical="center"/>
    </xf>
    <xf numFmtId="181" fontId="10" fillId="0" borderId="88" applyFill="0" applyBorder="0" applyProtection="0">
      <alignment vertical="center"/>
    </xf>
    <xf numFmtId="181" fontId="10" fillId="0" borderId="88" applyFill="0" applyBorder="0" applyProtection="0">
      <alignment vertical="center"/>
    </xf>
    <xf numFmtId="181" fontId="10" fillId="0" borderId="88" applyFill="0" applyBorder="0" applyProtection="0">
      <alignment vertical="center"/>
    </xf>
    <xf numFmtId="181" fontId="10" fillId="0" borderId="88" applyFill="0" applyBorder="0" applyProtection="0">
      <alignment vertical="center"/>
    </xf>
    <xf numFmtId="181" fontId="10" fillId="0" borderId="88" applyFill="0" applyBorder="0" applyProtection="0">
      <alignment vertical="center"/>
    </xf>
    <xf numFmtId="181" fontId="10" fillId="0" borderId="88" applyFill="0" applyBorder="0" applyProtection="0">
      <alignment vertical="center"/>
    </xf>
    <xf numFmtId="181" fontId="10" fillId="0" borderId="88" applyFill="0" applyBorder="0" applyProtection="0">
      <alignment vertical="center"/>
    </xf>
    <xf numFmtId="181" fontId="10" fillId="0" borderId="88" applyFill="0" applyBorder="0" applyProtection="0">
      <alignment vertical="center"/>
    </xf>
    <xf numFmtId="227" fontId="40" fillId="0" borderId="60" applyFont="0" applyBorder="0" applyAlignment="0">
      <alignment horizontal="center" vertical="center"/>
    </xf>
    <xf numFmtId="227" fontId="40" fillId="0" borderId="60" applyFont="0" applyBorder="0" applyAlignment="0">
      <alignment horizontal="center" vertical="center"/>
    </xf>
    <xf numFmtId="227" fontId="40" fillId="0" borderId="60" applyFont="0" applyBorder="0" applyAlignment="0">
      <alignment horizontal="center" vertical="center"/>
    </xf>
    <xf numFmtId="227" fontId="40" fillId="0" borderId="60" applyFont="0" applyBorder="0" applyAlignment="0">
      <alignment horizontal="center" vertical="center"/>
    </xf>
    <xf numFmtId="227" fontId="40" fillId="0" borderId="60" applyFont="0" applyBorder="0" applyAlignment="0">
      <alignment horizontal="center" vertical="center"/>
    </xf>
    <xf numFmtId="227" fontId="40" fillId="0" borderId="60" applyFont="0" applyBorder="0" applyAlignment="0">
      <alignment horizontal="center" vertical="center"/>
    </xf>
    <xf numFmtId="227" fontId="40" fillId="0" borderId="60" applyFont="0" applyBorder="0" applyAlignment="0">
      <alignment horizontal="center" vertical="center"/>
    </xf>
    <xf numFmtId="227" fontId="40" fillId="0" borderId="60" applyFont="0" applyBorder="0" applyAlignment="0">
      <alignment horizontal="center" vertical="center"/>
    </xf>
    <xf numFmtId="227" fontId="40" fillId="0" borderId="60" applyFont="0" applyBorder="0" applyAlignment="0">
      <alignment horizontal="center" vertical="center"/>
    </xf>
    <xf numFmtId="227" fontId="40" fillId="0" borderId="60" applyFont="0" applyBorder="0" applyAlignment="0">
      <alignment horizontal="center" vertical="center"/>
    </xf>
    <xf numFmtId="227" fontId="40" fillId="0" borderId="60" applyFont="0" applyBorder="0" applyAlignment="0">
      <alignment horizontal="center" vertical="center"/>
    </xf>
    <xf numFmtId="227" fontId="40" fillId="0" borderId="60" applyFont="0" applyBorder="0" applyAlignment="0">
      <alignment horizontal="center" vertical="center"/>
    </xf>
    <xf numFmtId="227" fontId="40" fillId="0" borderId="60" applyFont="0" applyBorder="0" applyAlignment="0">
      <alignment horizontal="center" vertical="center"/>
    </xf>
    <xf numFmtId="227" fontId="40" fillId="0" borderId="60" applyFont="0" applyBorder="0" applyAlignment="0">
      <alignment horizontal="center" vertical="center"/>
    </xf>
    <xf numFmtId="227" fontId="40" fillId="0" borderId="60" applyFont="0" applyBorder="0" applyAlignment="0">
      <alignment horizontal="center" vertical="center"/>
    </xf>
    <xf numFmtId="227" fontId="40" fillId="0" borderId="60" applyFont="0" applyBorder="0" applyAlignment="0">
      <alignment horizontal="center" vertical="center"/>
    </xf>
    <xf numFmtId="227" fontId="40" fillId="0" borderId="60" applyFont="0" applyBorder="0" applyAlignment="0">
      <alignment horizontal="center" vertical="center"/>
    </xf>
    <xf numFmtId="227" fontId="40" fillId="0" borderId="60" applyFont="0" applyBorder="0" applyAlignment="0">
      <alignment horizontal="center" vertical="center"/>
    </xf>
    <xf numFmtId="227" fontId="40" fillId="0" borderId="60" applyFont="0" applyBorder="0" applyAlignment="0">
      <alignment horizontal="center" vertical="center"/>
    </xf>
    <xf numFmtId="227" fontId="40" fillId="0" borderId="60" applyFont="0" applyBorder="0" applyAlignment="0">
      <alignment horizontal="center" vertical="center"/>
    </xf>
    <xf numFmtId="227" fontId="40" fillId="0" borderId="60" applyFont="0" applyBorder="0" applyAlignment="0">
      <alignment horizontal="center" vertical="center"/>
    </xf>
    <xf numFmtId="227" fontId="40" fillId="0" borderId="60" applyFont="0" applyBorder="0" applyAlignment="0">
      <alignment horizontal="center" vertical="center"/>
    </xf>
    <xf numFmtId="227" fontId="40" fillId="0" borderId="60" applyFont="0" applyBorder="0" applyAlignment="0">
      <alignment horizontal="center" vertical="center"/>
    </xf>
    <xf numFmtId="227" fontId="40" fillId="0" borderId="60" applyFont="0" applyBorder="0" applyAlignment="0">
      <alignment horizontal="center" vertical="center"/>
    </xf>
    <xf numFmtId="227" fontId="40" fillId="0" borderId="60" applyFont="0" applyBorder="0" applyAlignment="0">
      <alignment horizontal="center" vertical="center"/>
    </xf>
    <xf numFmtId="227" fontId="40" fillId="0" borderId="60" applyFont="0" applyBorder="0" applyAlignment="0">
      <alignment horizontal="center" vertical="center"/>
    </xf>
    <xf numFmtId="227" fontId="40" fillId="0" borderId="60" applyFont="0" applyBorder="0" applyAlignment="0">
      <alignment horizontal="center" vertical="center"/>
    </xf>
    <xf numFmtId="227" fontId="40" fillId="0" borderId="60" applyFont="0" applyBorder="0" applyAlignment="0">
      <alignment horizontal="center" vertical="center"/>
    </xf>
    <xf numFmtId="227" fontId="40" fillId="0" borderId="60" applyFont="0" applyBorder="0" applyAlignment="0">
      <alignment horizontal="center" vertical="center"/>
    </xf>
    <xf numFmtId="227" fontId="40" fillId="0" borderId="60" applyFont="0" applyBorder="0" applyAlignment="0">
      <alignment horizontal="center" vertical="center"/>
    </xf>
    <xf numFmtId="227" fontId="40" fillId="0" borderId="60" applyFont="0" applyBorder="0" applyAlignment="0">
      <alignment horizontal="center" vertical="center"/>
    </xf>
    <xf numFmtId="227" fontId="40" fillId="0" borderId="60" applyFont="0" applyBorder="0" applyAlignment="0">
      <alignment horizontal="center" vertical="center"/>
    </xf>
    <xf numFmtId="227" fontId="40" fillId="0" borderId="60" applyFont="0" applyBorder="0" applyAlignment="0">
      <alignment horizontal="center" vertical="center"/>
    </xf>
    <xf numFmtId="227" fontId="40" fillId="0" borderId="60" applyFont="0" applyBorder="0" applyAlignment="0">
      <alignment horizontal="center" vertical="center"/>
    </xf>
    <xf numFmtId="227" fontId="40" fillId="0" borderId="60" applyFont="0" applyBorder="0" applyAlignment="0">
      <alignment horizontal="center" vertical="center"/>
    </xf>
    <xf numFmtId="227" fontId="40" fillId="0" borderId="60" applyFont="0" applyBorder="0" applyAlignment="0">
      <alignment horizontal="center" vertical="center"/>
    </xf>
    <xf numFmtId="227" fontId="40" fillId="0" borderId="60" applyFont="0" applyBorder="0" applyAlignment="0">
      <alignment horizontal="center" vertical="center"/>
    </xf>
    <xf numFmtId="227" fontId="40" fillId="0" borderId="60" applyFont="0" applyBorder="0" applyAlignment="0">
      <alignment horizontal="center" vertical="center"/>
    </xf>
    <xf numFmtId="227" fontId="40" fillId="0" borderId="60" applyFont="0" applyBorder="0" applyAlignment="0">
      <alignment horizontal="center" vertical="center"/>
    </xf>
    <xf numFmtId="227" fontId="40" fillId="0" borderId="60" applyFont="0" applyBorder="0" applyAlignment="0">
      <alignment horizontal="center" vertical="center"/>
    </xf>
    <xf numFmtId="227" fontId="40" fillId="0" borderId="60" applyFont="0" applyBorder="0" applyAlignment="0">
      <alignment horizontal="center" vertical="center"/>
    </xf>
    <xf numFmtId="227" fontId="40" fillId="0" borderId="60" applyFont="0" applyBorder="0" applyAlignment="0">
      <alignment horizontal="center" vertical="center"/>
    </xf>
    <xf numFmtId="227" fontId="40" fillId="0" borderId="60" applyFont="0" applyBorder="0" applyAlignment="0">
      <alignment horizontal="center" vertical="center"/>
    </xf>
    <xf numFmtId="227" fontId="40" fillId="0" borderId="60" applyFont="0" applyBorder="0" applyAlignment="0">
      <alignment horizontal="center" vertical="center"/>
    </xf>
    <xf numFmtId="0" fontId="199" fillId="33" borderId="82" applyNumberFormat="0" applyAlignment="0" applyProtection="0">
      <alignment vertical="center"/>
    </xf>
    <xf numFmtId="0" fontId="199" fillId="33" borderId="82" applyNumberFormat="0" applyAlignment="0" applyProtection="0">
      <alignment vertical="center"/>
    </xf>
    <xf numFmtId="0" fontId="199" fillId="33" borderId="82" applyNumberFormat="0" applyAlignment="0" applyProtection="0">
      <alignment vertical="center"/>
    </xf>
    <xf numFmtId="0" fontId="199" fillId="33" borderId="82" applyNumberFormat="0" applyAlignment="0" applyProtection="0">
      <alignment vertical="center"/>
    </xf>
    <xf numFmtId="0" fontId="199" fillId="33" borderId="82" applyNumberFormat="0" applyAlignment="0" applyProtection="0">
      <alignment vertical="center"/>
    </xf>
    <xf numFmtId="0" fontId="199" fillId="33" borderId="82" applyNumberFormat="0" applyAlignment="0" applyProtection="0">
      <alignment vertical="center"/>
    </xf>
    <xf numFmtId="0" fontId="199" fillId="33" borderId="82" applyNumberFormat="0" applyAlignment="0" applyProtection="0">
      <alignment vertical="center"/>
    </xf>
    <xf numFmtId="0" fontId="199" fillId="33" borderId="82" applyNumberFormat="0" applyAlignment="0" applyProtection="0">
      <alignment vertical="center"/>
    </xf>
    <xf numFmtId="0" fontId="199" fillId="33" borderId="82" applyNumberFormat="0" applyAlignment="0" applyProtection="0">
      <alignment vertical="center"/>
    </xf>
    <xf numFmtId="0" fontId="199" fillId="33" borderId="82" applyNumberFormat="0" applyAlignment="0" applyProtection="0">
      <alignment vertical="center"/>
    </xf>
    <xf numFmtId="0" fontId="199" fillId="33" borderId="82" applyNumberFormat="0" applyAlignment="0" applyProtection="0">
      <alignment vertical="center"/>
    </xf>
    <xf numFmtId="0" fontId="199" fillId="33" borderId="82" applyNumberFormat="0" applyAlignment="0" applyProtection="0">
      <alignment vertical="center"/>
    </xf>
    <xf numFmtId="0" fontId="199" fillId="33" borderId="82" applyNumberFormat="0" applyAlignment="0" applyProtection="0">
      <alignment vertical="center"/>
    </xf>
    <xf numFmtId="0" fontId="199" fillId="33" borderId="82" applyNumberFormat="0" applyAlignment="0" applyProtection="0">
      <alignment vertical="center"/>
    </xf>
    <xf numFmtId="0" fontId="199" fillId="33" borderId="82" applyNumberFormat="0" applyAlignment="0" applyProtection="0">
      <alignment vertical="center"/>
    </xf>
    <xf numFmtId="0" fontId="199" fillId="33" borderId="82" applyNumberFormat="0" applyAlignment="0" applyProtection="0">
      <alignment vertical="center"/>
    </xf>
    <xf numFmtId="0" fontId="199" fillId="33" borderId="82" applyNumberFormat="0" applyAlignment="0" applyProtection="0">
      <alignment vertical="center"/>
    </xf>
    <xf numFmtId="0" fontId="199" fillId="33" borderId="82" applyNumberFormat="0" applyAlignment="0" applyProtection="0">
      <alignment vertical="center"/>
    </xf>
    <xf numFmtId="0" fontId="199" fillId="33" borderId="82" applyNumberFormat="0" applyAlignment="0" applyProtection="0">
      <alignment vertical="center"/>
    </xf>
    <xf numFmtId="0" fontId="199" fillId="33" borderId="82" applyNumberFormat="0" applyAlignment="0" applyProtection="0">
      <alignment vertical="center"/>
    </xf>
    <xf numFmtId="0" fontId="199" fillId="33" borderId="82" applyNumberFormat="0" applyAlignment="0" applyProtection="0">
      <alignment vertical="center"/>
    </xf>
    <xf numFmtId="0" fontId="199" fillId="33" borderId="82" applyNumberFormat="0" applyAlignment="0" applyProtection="0">
      <alignment vertical="center"/>
    </xf>
    <xf numFmtId="0" fontId="199" fillId="33" borderId="82" applyNumberFormat="0" applyAlignment="0" applyProtection="0">
      <alignment vertical="center"/>
    </xf>
    <xf numFmtId="0" fontId="199" fillId="33" borderId="82" applyNumberFormat="0" applyAlignment="0" applyProtection="0">
      <alignment vertical="center"/>
    </xf>
    <xf numFmtId="0" fontId="199" fillId="33" borderId="82" applyNumberFormat="0" applyAlignment="0" applyProtection="0">
      <alignment vertical="center"/>
    </xf>
    <xf numFmtId="0" fontId="199" fillId="33" borderId="82" applyNumberFormat="0" applyAlignment="0" applyProtection="0">
      <alignment vertical="center"/>
    </xf>
    <xf numFmtId="0" fontId="199" fillId="33" borderId="82" applyNumberFormat="0" applyAlignment="0" applyProtection="0">
      <alignment vertical="center"/>
    </xf>
    <xf numFmtId="0" fontId="199" fillId="33" borderId="82" applyNumberFormat="0" applyAlignment="0" applyProtection="0">
      <alignment vertical="center"/>
    </xf>
    <xf numFmtId="0" fontId="199" fillId="33" borderId="82" applyNumberFormat="0" applyAlignment="0" applyProtection="0">
      <alignment vertical="center"/>
    </xf>
    <xf numFmtId="0" fontId="199" fillId="33" borderId="82" applyNumberFormat="0" applyAlignment="0" applyProtection="0">
      <alignment vertical="center"/>
    </xf>
    <xf numFmtId="0" fontId="199" fillId="33" borderId="82" applyNumberFormat="0" applyAlignment="0" applyProtection="0">
      <alignment vertical="center"/>
    </xf>
    <xf numFmtId="0" fontId="199" fillId="33" borderId="82" applyNumberFormat="0" applyAlignment="0" applyProtection="0">
      <alignment vertical="center"/>
    </xf>
    <xf numFmtId="0" fontId="199" fillId="33" borderId="82" applyNumberFormat="0" applyAlignment="0" applyProtection="0">
      <alignment vertical="center"/>
    </xf>
    <xf numFmtId="0" fontId="199" fillId="33" borderId="82" applyNumberFormat="0" applyAlignment="0" applyProtection="0">
      <alignment vertical="center"/>
    </xf>
    <xf numFmtId="0" fontId="199" fillId="33" borderId="82" applyNumberFormat="0" applyAlignment="0" applyProtection="0">
      <alignment vertical="center"/>
    </xf>
    <xf numFmtId="0" fontId="199" fillId="33" borderId="82" applyNumberFormat="0" applyAlignment="0" applyProtection="0">
      <alignment vertical="center"/>
    </xf>
    <xf numFmtId="0" fontId="199" fillId="33" borderId="82" applyNumberFormat="0" applyAlignment="0" applyProtection="0">
      <alignment vertical="center"/>
    </xf>
    <xf numFmtId="0" fontId="199" fillId="33" borderId="82" applyNumberFormat="0" applyAlignment="0" applyProtection="0">
      <alignment vertical="center"/>
    </xf>
    <xf numFmtId="0" fontId="199" fillId="33" borderId="82" applyNumberFormat="0" applyAlignment="0" applyProtection="0">
      <alignment vertical="center"/>
    </xf>
    <xf numFmtId="0" fontId="199" fillId="33" borderId="82" applyNumberFormat="0" applyAlignment="0" applyProtection="0">
      <alignment vertical="center"/>
    </xf>
    <xf numFmtId="0" fontId="199" fillId="33" borderId="82" applyNumberFormat="0" applyAlignment="0" applyProtection="0">
      <alignment vertical="center"/>
    </xf>
    <xf numFmtId="0" fontId="199" fillId="33" borderId="82" applyNumberFormat="0" applyAlignment="0" applyProtection="0">
      <alignment vertical="center"/>
    </xf>
    <xf numFmtId="0" fontId="199" fillId="33" borderId="82" applyNumberFormat="0" applyAlignment="0" applyProtection="0">
      <alignment vertical="center"/>
    </xf>
    <xf numFmtId="0" fontId="199" fillId="33" borderId="82" applyNumberFormat="0" applyAlignment="0" applyProtection="0">
      <alignment vertical="center"/>
    </xf>
    <xf numFmtId="0" fontId="199" fillId="33" borderId="82" applyNumberFormat="0" applyAlignment="0" applyProtection="0">
      <alignment vertical="center"/>
    </xf>
    <xf numFmtId="0" fontId="199" fillId="33" borderId="82" applyNumberFormat="0" applyAlignment="0" applyProtection="0">
      <alignment vertical="center"/>
    </xf>
    <xf numFmtId="0" fontId="199" fillId="33" borderId="82" applyNumberFormat="0" applyAlignment="0" applyProtection="0">
      <alignment vertical="center"/>
    </xf>
    <xf numFmtId="0" fontId="199" fillId="33" borderId="82" applyNumberFormat="0" applyAlignment="0" applyProtection="0">
      <alignment vertical="center"/>
    </xf>
    <xf numFmtId="0" fontId="199" fillId="33" borderId="82" applyNumberFormat="0" applyAlignment="0" applyProtection="0">
      <alignment vertical="center"/>
    </xf>
    <xf numFmtId="0" fontId="199" fillId="33" borderId="82" applyNumberFormat="0" applyAlignment="0" applyProtection="0">
      <alignment vertical="center"/>
    </xf>
    <xf numFmtId="0" fontId="199" fillId="33" borderId="82" applyNumberFormat="0" applyAlignment="0" applyProtection="0">
      <alignment vertical="center"/>
    </xf>
    <xf numFmtId="0" fontId="199" fillId="33" borderId="82" applyNumberFormat="0" applyAlignment="0" applyProtection="0">
      <alignment vertical="center"/>
    </xf>
    <xf numFmtId="0" fontId="199" fillId="33" borderId="82" applyNumberFormat="0" applyAlignment="0" applyProtection="0">
      <alignment vertical="center"/>
    </xf>
    <xf numFmtId="0" fontId="199" fillId="33" borderId="82" applyNumberFormat="0" applyAlignment="0" applyProtection="0">
      <alignment vertical="center"/>
    </xf>
    <xf numFmtId="0" fontId="199" fillId="33" borderId="82" applyNumberFormat="0" applyAlignment="0" applyProtection="0">
      <alignment vertical="center"/>
    </xf>
    <xf numFmtId="0" fontId="199" fillId="33" borderId="82" applyNumberFormat="0" applyAlignment="0" applyProtection="0">
      <alignment vertical="center"/>
    </xf>
    <xf numFmtId="0" fontId="199" fillId="33" borderId="82" applyNumberFormat="0" applyAlignment="0" applyProtection="0">
      <alignment vertical="center"/>
    </xf>
    <xf numFmtId="0" fontId="199" fillId="33" borderId="82" applyNumberFormat="0" applyAlignment="0" applyProtection="0">
      <alignment vertical="center"/>
    </xf>
    <xf numFmtId="0" fontId="199" fillId="33" borderId="82" applyNumberFormat="0" applyAlignment="0" applyProtection="0">
      <alignment vertical="center"/>
    </xf>
    <xf numFmtId="0" fontId="199" fillId="33" borderId="82" applyNumberFormat="0" applyAlignment="0" applyProtection="0">
      <alignment vertical="center"/>
    </xf>
    <xf numFmtId="0" fontId="200" fillId="59" borderId="83" applyNumberFormat="0" applyAlignment="0" applyProtection="0">
      <alignment vertical="center"/>
    </xf>
    <xf numFmtId="0" fontId="200" fillId="59" borderId="83" applyNumberFormat="0" applyAlignment="0" applyProtection="0">
      <alignment vertical="center"/>
    </xf>
    <xf numFmtId="0" fontId="200" fillId="59" borderId="83" applyNumberFormat="0" applyAlignment="0" applyProtection="0">
      <alignment vertical="center"/>
    </xf>
    <xf numFmtId="0" fontId="200" fillId="59" borderId="83" applyNumberFormat="0" applyAlignment="0" applyProtection="0">
      <alignment vertical="center"/>
    </xf>
    <xf numFmtId="0" fontId="200" fillId="59" borderId="83" applyNumberFormat="0" applyAlignment="0" applyProtection="0">
      <alignment vertical="center"/>
    </xf>
    <xf numFmtId="0" fontId="200" fillId="59" borderId="83" applyNumberFormat="0" applyAlignment="0" applyProtection="0">
      <alignment vertical="center"/>
    </xf>
    <xf numFmtId="0" fontId="200" fillId="59" borderId="83" applyNumberFormat="0" applyAlignment="0" applyProtection="0">
      <alignment vertical="center"/>
    </xf>
    <xf numFmtId="0" fontId="200" fillId="59" borderId="83" applyNumberFormat="0" applyAlignment="0" applyProtection="0">
      <alignment vertical="center"/>
    </xf>
    <xf numFmtId="0" fontId="200" fillId="59" borderId="83" applyNumberFormat="0" applyAlignment="0" applyProtection="0">
      <alignment vertical="center"/>
    </xf>
    <xf numFmtId="0" fontId="200" fillId="59" borderId="83" applyNumberFormat="0" applyAlignment="0" applyProtection="0">
      <alignment vertical="center"/>
    </xf>
    <xf numFmtId="0" fontId="200" fillId="59" borderId="83" applyNumberFormat="0" applyAlignment="0" applyProtection="0">
      <alignment vertical="center"/>
    </xf>
    <xf numFmtId="0" fontId="200" fillId="59" borderId="83" applyNumberFormat="0" applyAlignment="0" applyProtection="0">
      <alignment vertical="center"/>
    </xf>
    <xf numFmtId="0" fontId="200" fillId="59" borderId="83" applyNumberFormat="0" applyAlignment="0" applyProtection="0">
      <alignment vertical="center"/>
    </xf>
    <xf numFmtId="0" fontId="200" fillId="59" borderId="83" applyNumberFormat="0" applyAlignment="0" applyProtection="0">
      <alignment vertical="center"/>
    </xf>
    <xf numFmtId="0" fontId="200" fillId="59" borderId="83" applyNumberFormat="0" applyAlignment="0" applyProtection="0">
      <alignment vertical="center"/>
    </xf>
    <xf numFmtId="0" fontId="200" fillId="59" borderId="83" applyNumberFormat="0" applyAlignment="0" applyProtection="0">
      <alignment vertical="center"/>
    </xf>
    <xf numFmtId="0" fontId="200" fillId="59" borderId="83" applyNumberFormat="0" applyAlignment="0" applyProtection="0">
      <alignment vertical="center"/>
    </xf>
    <xf numFmtId="0" fontId="200" fillId="59" borderId="83" applyNumberFormat="0" applyAlignment="0" applyProtection="0">
      <alignment vertical="center"/>
    </xf>
    <xf numFmtId="0" fontId="200" fillId="59" borderId="83" applyNumberFormat="0" applyAlignment="0" applyProtection="0">
      <alignment vertical="center"/>
    </xf>
    <xf numFmtId="0" fontId="200" fillId="59" borderId="83" applyNumberFormat="0" applyAlignment="0" applyProtection="0">
      <alignment vertical="center"/>
    </xf>
    <xf numFmtId="0" fontId="200" fillId="59" borderId="83" applyNumberFormat="0" applyAlignment="0" applyProtection="0">
      <alignment vertical="center"/>
    </xf>
    <xf numFmtId="0" fontId="200" fillId="59" borderId="83" applyNumberFormat="0" applyAlignment="0" applyProtection="0">
      <alignment vertical="center"/>
    </xf>
    <xf numFmtId="0" fontId="200" fillId="59" borderId="83" applyNumberFormat="0" applyAlignment="0" applyProtection="0">
      <alignment vertical="center"/>
    </xf>
    <xf numFmtId="0" fontId="200" fillId="59" borderId="83" applyNumberFormat="0" applyAlignment="0" applyProtection="0">
      <alignment vertical="center"/>
    </xf>
    <xf numFmtId="0" fontId="200" fillId="59" borderId="83" applyNumberFormat="0" applyAlignment="0" applyProtection="0">
      <alignment vertical="center"/>
    </xf>
    <xf numFmtId="0" fontId="200" fillId="59" borderId="83" applyNumberFormat="0" applyAlignment="0" applyProtection="0">
      <alignment vertical="center"/>
    </xf>
    <xf numFmtId="0" fontId="200" fillId="59" borderId="83" applyNumberFormat="0" applyAlignment="0" applyProtection="0">
      <alignment vertical="center"/>
    </xf>
    <xf numFmtId="0" fontId="200" fillId="59" borderId="83" applyNumberFormat="0" applyAlignment="0" applyProtection="0">
      <alignment vertical="center"/>
    </xf>
    <xf numFmtId="0" fontId="200" fillId="59" borderId="83" applyNumberFormat="0" applyAlignment="0" applyProtection="0">
      <alignment vertical="center"/>
    </xf>
    <xf numFmtId="0" fontId="200" fillId="59" borderId="83" applyNumberFormat="0" applyAlignment="0" applyProtection="0">
      <alignment vertical="center"/>
    </xf>
    <xf numFmtId="0" fontId="200" fillId="59" borderId="83" applyNumberFormat="0" applyAlignment="0" applyProtection="0">
      <alignment vertical="center"/>
    </xf>
    <xf numFmtId="0" fontId="200" fillId="59" borderId="83" applyNumberFormat="0" applyAlignment="0" applyProtection="0">
      <alignment vertical="center"/>
    </xf>
    <xf numFmtId="0" fontId="200" fillId="59" borderId="83" applyNumberFormat="0" applyAlignment="0" applyProtection="0">
      <alignment vertical="center"/>
    </xf>
    <xf numFmtId="0" fontId="200" fillId="59" borderId="83" applyNumberFormat="0" applyAlignment="0" applyProtection="0">
      <alignment vertical="center"/>
    </xf>
    <xf numFmtId="0" fontId="200" fillId="59" borderId="83" applyNumberFormat="0" applyAlignment="0" applyProtection="0">
      <alignment vertical="center"/>
    </xf>
    <xf numFmtId="0" fontId="200" fillId="59" borderId="83" applyNumberFormat="0" applyAlignment="0" applyProtection="0">
      <alignment vertical="center"/>
    </xf>
    <xf numFmtId="0" fontId="200" fillId="59" borderId="83" applyNumberFormat="0" applyAlignment="0" applyProtection="0">
      <alignment vertical="center"/>
    </xf>
    <xf numFmtId="0" fontId="200" fillId="59" borderId="83" applyNumberFormat="0" applyAlignment="0" applyProtection="0">
      <alignment vertical="center"/>
    </xf>
    <xf numFmtId="0" fontId="200" fillId="59" borderId="83" applyNumberFormat="0" applyAlignment="0" applyProtection="0">
      <alignment vertical="center"/>
    </xf>
    <xf numFmtId="0" fontId="200" fillId="59" borderId="83" applyNumberFormat="0" applyAlignment="0" applyProtection="0">
      <alignment vertical="center"/>
    </xf>
    <xf numFmtId="0" fontId="200" fillId="59" borderId="83" applyNumberFormat="0" applyAlignment="0" applyProtection="0">
      <alignment vertical="center"/>
    </xf>
    <xf numFmtId="0" fontId="200" fillId="59" borderId="83" applyNumberFormat="0" applyAlignment="0" applyProtection="0">
      <alignment vertical="center"/>
    </xf>
    <xf numFmtId="0" fontId="200" fillId="59" borderId="83" applyNumberFormat="0" applyAlignment="0" applyProtection="0">
      <alignment vertical="center"/>
    </xf>
    <xf numFmtId="0" fontId="200" fillId="59" borderId="83" applyNumberFormat="0" applyAlignment="0" applyProtection="0">
      <alignment vertical="center"/>
    </xf>
    <xf numFmtId="0" fontId="200" fillId="59" borderId="83" applyNumberFormat="0" applyAlignment="0" applyProtection="0">
      <alignment vertical="center"/>
    </xf>
    <xf numFmtId="0" fontId="200" fillId="59" borderId="83" applyNumberFormat="0" applyAlignment="0" applyProtection="0">
      <alignment vertical="center"/>
    </xf>
    <xf numFmtId="0" fontId="200" fillId="59" borderId="83" applyNumberFormat="0" applyAlignment="0" applyProtection="0">
      <alignment vertical="center"/>
    </xf>
    <xf numFmtId="0" fontId="200" fillId="59" borderId="83" applyNumberFormat="0" applyAlignment="0" applyProtection="0">
      <alignment vertical="center"/>
    </xf>
    <xf numFmtId="0" fontId="200" fillId="59" borderId="83" applyNumberFormat="0" applyAlignment="0" applyProtection="0">
      <alignment vertical="center"/>
    </xf>
    <xf numFmtId="0" fontId="200" fillId="59" borderId="83" applyNumberFormat="0" applyAlignment="0" applyProtection="0">
      <alignment vertical="center"/>
    </xf>
    <xf numFmtId="0" fontId="200" fillId="59" borderId="83" applyNumberFormat="0" applyAlignment="0" applyProtection="0">
      <alignment vertical="center"/>
    </xf>
    <xf numFmtId="0" fontId="200" fillId="59" borderId="83" applyNumberFormat="0" applyAlignment="0" applyProtection="0">
      <alignment vertical="center"/>
    </xf>
    <xf numFmtId="0" fontId="200" fillId="59" borderId="83" applyNumberFormat="0" applyAlignment="0" applyProtection="0">
      <alignment vertical="center"/>
    </xf>
    <xf numFmtId="0" fontId="200" fillId="59" borderId="83" applyNumberFormat="0" applyAlignment="0" applyProtection="0">
      <alignment vertical="center"/>
    </xf>
    <xf numFmtId="0" fontId="200" fillId="59" borderId="83" applyNumberFormat="0" applyAlignment="0" applyProtection="0">
      <alignment vertical="center"/>
    </xf>
    <xf numFmtId="0" fontId="200" fillId="59" borderId="83" applyNumberFormat="0" applyAlignment="0" applyProtection="0">
      <alignment vertical="center"/>
    </xf>
    <xf numFmtId="0" fontId="200" fillId="59" borderId="83" applyNumberFormat="0" applyAlignment="0" applyProtection="0">
      <alignment vertical="center"/>
    </xf>
    <xf numFmtId="0" fontId="200" fillId="59" borderId="83" applyNumberFormat="0" applyAlignment="0" applyProtection="0">
      <alignment vertical="center"/>
    </xf>
    <xf numFmtId="0" fontId="200" fillId="59" borderId="83" applyNumberFormat="0" applyAlignment="0" applyProtection="0">
      <alignment vertical="center"/>
    </xf>
    <xf numFmtId="0" fontId="200" fillId="59" borderId="83" applyNumberFormat="0" applyAlignment="0" applyProtection="0">
      <alignment vertical="center"/>
    </xf>
    <xf numFmtId="180" fontId="20" fillId="3" borderId="60">
      <alignment horizontal="right" vertical="center"/>
      <protection locked="0"/>
    </xf>
    <xf numFmtId="180" fontId="20" fillId="3" borderId="60">
      <alignment horizontal="right" vertical="center"/>
      <protection locked="0"/>
    </xf>
    <xf numFmtId="180" fontId="20" fillId="3" borderId="60">
      <alignment horizontal="right" vertical="center"/>
      <protection locked="0"/>
    </xf>
    <xf numFmtId="180" fontId="20" fillId="3" borderId="60">
      <alignment horizontal="right" vertical="center"/>
      <protection locked="0"/>
    </xf>
    <xf numFmtId="180" fontId="20" fillId="3" borderId="60">
      <alignment horizontal="right" vertical="center"/>
      <protection locked="0"/>
    </xf>
    <xf numFmtId="180" fontId="20" fillId="3" borderId="60">
      <alignment horizontal="right" vertical="center"/>
      <protection locked="0"/>
    </xf>
    <xf numFmtId="180" fontId="20" fillId="3" borderId="60">
      <alignment horizontal="right" vertical="center"/>
      <protection locked="0"/>
    </xf>
    <xf numFmtId="180" fontId="20" fillId="3" borderId="60">
      <alignment horizontal="right" vertical="center"/>
      <protection locked="0"/>
    </xf>
    <xf numFmtId="180" fontId="20" fillId="3" borderId="60">
      <alignment horizontal="right" vertical="center"/>
      <protection locked="0"/>
    </xf>
    <xf numFmtId="180" fontId="20" fillId="3" borderId="60">
      <alignment horizontal="right" vertical="center"/>
      <protection locked="0"/>
    </xf>
    <xf numFmtId="180" fontId="20" fillId="3" borderId="60">
      <alignment horizontal="right" vertical="center"/>
      <protection locked="0"/>
    </xf>
    <xf numFmtId="180" fontId="20" fillId="3" borderId="60">
      <alignment horizontal="right" vertical="center"/>
      <protection locked="0"/>
    </xf>
    <xf numFmtId="180" fontId="20" fillId="3" borderId="60">
      <alignment horizontal="right" vertical="center"/>
      <protection locked="0"/>
    </xf>
    <xf numFmtId="180" fontId="20" fillId="3" borderId="60">
      <alignment horizontal="right" vertical="center"/>
      <protection locked="0"/>
    </xf>
    <xf numFmtId="180" fontId="20" fillId="3" borderId="60">
      <alignment horizontal="right" vertical="center"/>
      <protection locked="0"/>
    </xf>
    <xf numFmtId="180" fontId="20" fillId="3" borderId="60">
      <alignment horizontal="right" vertical="center"/>
      <protection locked="0"/>
    </xf>
    <xf numFmtId="180" fontId="20" fillId="3" borderId="60">
      <alignment horizontal="right" vertical="center"/>
      <protection locked="0"/>
    </xf>
    <xf numFmtId="180" fontId="20" fillId="3" borderId="60">
      <alignment horizontal="right" vertical="center"/>
      <protection locked="0"/>
    </xf>
    <xf numFmtId="180" fontId="20" fillId="3" borderId="60">
      <alignment horizontal="right" vertical="center"/>
      <protection locked="0"/>
    </xf>
    <xf numFmtId="180" fontId="20" fillId="3" borderId="60">
      <alignment horizontal="right" vertical="center"/>
      <protection locked="0"/>
    </xf>
    <xf numFmtId="180" fontId="20" fillId="3" borderId="60">
      <alignment horizontal="right" vertical="center"/>
      <protection locked="0"/>
    </xf>
    <xf numFmtId="180" fontId="20" fillId="3" borderId="60">
      <alignment horizontal="right" vertical="center"/>
      <protection locked="0"/>
    </xf>
    <xf numFmtId="180" fontId="20" fillId="3" borderId="60">
      <alignment horizontal="right" vertical="center"/>
      <protection locked="0"/>
    </xf>
    <xf numFmtId="180" fontId="20" fillId="3" borderId="60">
      <alignment horizontal="right" vertical="center"/>
      <protection locked="0"/>
    </xf>
    <xf numFmtId="180" fontId="20" fillId="3" borderId="60">
      <alignment horizontal="right" vertical="center"/>
      <protection locked="0"/>
    </xf>
    <xf numFmtId="180" fontId="20" fillId="3" borderId="60">
      <alignment horizontal="right" vertical="center"/>
      <protection locked="0"/>
    </xf>
    <xf numFmtId="180" fontId="20" fillId="3" borderId="60">
      <alignment horizontal="right" vertical="center"/>
      <protection locked="0"/>
    </xf>
    <xf numFmtId="180" fontId="20" fillId="3" borderId="60">
      <alignment horizontal="right" vertical="center"/>
      <protection locked="0"/>
    </xf>
    <xf numFmtId="180" fontId="20" fillId="3" borderId="60">
      <alignment horizontal="right" vertical="center"/>
      <protection locked="0"/>
    </xf>
    <xf numFmtId="180" fontId="20" fillId="3" borderId="60">
      <alignment horizontal="right" vertical="center"/>
      <protection locked="0"/>
    </xf>
    <xf numFmtId="180" fontId="20" fillId="3" borderId="60">
      <alignment horizontal="right" vertical="center"/>
      <protection locked="0"/>
    </xf>
    <xf numFmtId="180" fontId="20" fillId="3" borderId="60">
      <alignment horizontal="right" vertical="center"/>
      <protection locked="0"/>
    </xf>
    <xf numFmtId="180" fontId="20" fillId="3" borderId="60">
      <alignment horizontal="right" vertical="center"/>
      <protection locked="0"/>
    </xf>
    <xf numFmtId="180" fontId="20" fillId="3" borderId="60">
      <alignment horizontal="right" vertical="center"/>
      <protection locked="0"/>
    </xf>
    <xf numFmtId="180" fontId="20" fillId="3" borderId="60">
      <alignment horizontal="right" vertical="center"/>
      <protection locked="0"/>
    </xf>
    <xf numFmtId="180" fontId="20" fillId="3" borderId="60">
      <alignment horizontal="right" vertical="center"/>
      <protection locked="0"/>
    </xf>
    <xf numFmtId="180" fontId="20" fillId="3" borderId="60">
      <alignment horizontal="right" vertical="center"/>
      <protection locked="0"/>
    </xf>
    <xf numFmtId="180" fontId="20" fillId="3" borderId="60">
      <alignment horizontal="right" vertical="center"/>
      <protection locked="0"/>
    </xf>
    <xf numFmtId="180" fontId="20" fillId="3" borderId="60">
      <alignment horizontal="right" vertical="center"/>
      <protection locked="0"/>
    </xf>
    <xf numFmtId="180" fontId="20" fillId="3" borderId="60">
      <alignment horizontal="right" vertical="center"/>
      <protection locked="0"/>
    </xf>
    <xf numFmtId="180" fontId="20" fillId="3" borderId="60">
      <alignment horizontal="right" vertical="center"/>
      <protection locked="0"/>
    </xf>
    <xf numFmtId="180" fontId="20" fillId="3" borderId="60">
      <alignment horizontal="right" vertical="center"/>
      <protection locked="0"/>
    </xf>
    <xf numFmtId="180" fontId="20" fillId="3" borderId="60">
      <alignment horizontal="right" vertical="center"/>
      <protection locked="0"/>
    </xf>
    <xf numFmtId="180" fontId="20" fillId="3" borderId="60">
      <alignment horizontal="right" vertical="center"/>
      <protection locked="0"/>
    </xf>
    <xf numFmtId="177" fontId="19" fillId="0" borderId="0" applyFont="0" applyFill="0" applyBorder="0" applyAlignment="0" applyProtection="0">
      <alignment vertical="center"/>
    </xf>
    <xf numFmtId="177" fontId="19" fillId="0" borderId="0" applyFont="0" applyFill="0" applyBorder="0" applyAlignment="0" applyProtection="0">
      <alignment vertical="center"/>
    </xf>
    <xf numFmtId="177" fontId="19" fillId="0" borderId="0" applyFont="0" applyFill="0" applyBorder="0" applyAlignment="0" applyProtection="0">
      <alignment vertical="center"/>
    </xf>
    <xf numFmtId="177" fontId="19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9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19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177" fontId="19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19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202" fillId="0" borderId="0" applyFont="0" applyFill="0" applyBorder="0" applyAlignment="0" applyProtection="0">
      <alignment vertical="center"/>
    </xf>
    <xf numFmtId="179" fontId="5" fillId="0" borderId="0" applyFont="0" applyFill="0" applyBorder="0" applyAlignment="0" applyProtection="0">
      <alignment vertical="center"/>
    </xf>
    <xf numFmtId="0" fontId="206" fillId="0" borderId="89" applyNumberFormat="0" applyFill="0" applyAlignment="0" applyProtection="0">
      <alignment vertical="center"/>
    </xf>
    <xf numFmtId="0" fontId="206" fillId="0" borderId="89" applyNumberFormat="0" applyFill="0" applyAlignment="0" applyProtection="0">
      <alignment vertical="center"/>
    </xf>
    <xf numFmtId="0" fontId="206" fillId="0" borderId="89" applyNumberFormat="0" applyFill="0" applyAlignment="0" applyProtection="0">
      <alignment vertical="center"/>
    </xf>
    <xf numFmtId="0" fontId="206" fillId="0" borderId="89" applyNumberFormat="0" applyFill="0" applyAlignment="0" applyProtection="0">
      <alignment vertical="center"/>
    </xf>
    <xf numFmtId="0" fontId="206" fillId="0" borderId="89" applyNumberFormat="0" applyFill="0" applyAlignment="0" applyProtection="0">
      <alignment vertical="center"/>
    </xf>
    <xf numFmtId="0" fontId="206" fillId="0" borderId="89" applyNumberFormat="0" applyFill="0" applyAlignment="0" applyProtection="0">
      <alignment vertical="center"/>
    </xf>
    <xf numFmtId="0" fontId="206" fillId="0" borderId="89" applyNumberFormat="0" applyFill="0" applyAlignment="0" applyProtection="0">
      <alignment vertical="center"/>
    </xf>
    <xf numFmtId="0" fontId="206" fillId="0" borderId="89" applyNumberFormat="0" applyFill="0" applyAlignment="0" applyProtection="0">
      <alignment vertical="center"/>
    </xf>
    <xf numFmtId="0" fontId="206" fillId="0" borderId="89" applyNumberFormat="0" applyFill="0" applyAlignment="0" applyProtection="0">
      <alignment vertical="center"/>
    </xf>
    <xf numFmtId="0" fontId="206" fillId="0" borderId="89" applyNumberFormat="0" applyFill="0" applyAlignment="0" applyProtection="0">
      <alignment vertical="center"/>
    </xf>
    <xf numFmtId="0" fontId="206" fillId="0" borderId="89" applyNumberFormat="0" applyFill="0" applyAlignment="0" applyProtection="0">
      <alignment vertical="center"/>
    </xf>
    <xf numFmtId="0" fontId="206" fillId="0" borderId="89" applyNumberFormat="0" applyFill="0" applyAlignment="0" applyProtection="0">
      <alignment vertical="center"/>
    </xf>
    <xf numFmtId="0" fontId="206" fillId="0" borderId="89" applyNumberFormat="0" applyFill="0" applyAlignment="0" applyProtection="0">
      <alignment vertical="center"/>
    </xf>
    <xf numFmtId="0" fontId="206" fillId="0" borderId="89" applyNumberFormat="0" applyFill="0" applyAlignment="0" applyProtection="0">
      <alignment vertical="center"/>
    </xf>
    <xf numFmtId="0" fontId="206" fillId="0" borderId="89" applyNumberFormat="0" applyFill="0" applyAlignment="0" applyProtection="0">
      <alignment vertical="center"/>
    </xf>
    <xf numFmtId="0" fontId="206" fillId="0" borderId="89" applyNumberFormat="0" applyFill="0" applyAlignment="0" applyProtection="0">
      <alignment vertical="center"/>
    </xf>
    <xf numFmtId="0" fontId="206" fillId="0" borderId="89" applyNumberFormat="0" applyFill="0" applyAlignment="0" applyProtection="0">
      <alignment vertical="center"/>
    </xf>
    <xf numFmtId="0" fontId="206" fillId="0" borderId="89" applyNumberFormat="0" applyFill="0" applyAlignment="0" applyProtection="0">
      <alignment vertical="center"/>
    </xf>
    <xf numFmtId="0" fontId="206" fillId="0" borderId="89" applyNumberFormat="0" applyFill="0" applyAlignment="0" applyProtection="0">
      <alignment vertical="center"/>
    </xf>
    <xf numFmtId="0" fontId="206" fillId="0" borderId="89" applyNumberFormat="0" applyFill="0" applyAlignment="0" applyProtection="0">
      <alignment vertical="center"/>
    </xf>
    <xf numFmtId="0" fontId="206" fillId="0" borderId="89" applyNumberFormat="0" applyFill="0" applyAlignment="0" applyProtection="0">
      <alignment vertical="center"/>
    </xf>
    <xf numFmtId="0" fontId="206" fillId="0" borderId="89" applyNumberFormat="0" applyFill="0" applyAlignment="0" applyProtection="0">
      <alignment vertical="center"/>
    </xf>
    <xf numFmtId="0" fontId="206" fillId="0" borderId="89" applyNumberFormat="0" applyFill="0" applyAlignment="0" applyProtection="0">
      <alignment vertical="center"/>
    </xf>
    <xf numFmtId="0" fontId="206" fillId="0" borderId="89" applyNumberFormat="0" applyFill="0" applyAlignment="0" applyProtection="0">
      <alignment vertical="center"/>
    </xf>
    <xf numFmtId="0" fontId="206" fillId="0" borderId="89" applyNumberFormat="0" applyFill="0" applyAlignment="0" applyProtection="0">
      <alignment vertical="center"/>
    </xf>
    <xf numFmtId="0" fontId="206" fillId="0" borderId="89" applyNumberFormat="0" applyFill="0" applyAlignment="0" applyProtection="0">
      <alignment vertical="center"/>
    </xf>
    <xf numFmtId="0" fontId="206" fillId="0" borderId="89" applyNumberFormat="0" applyFill="0" applyAlignment="0" applyProtection="0">
      <alignment vertical="center"/>
    </xf>
    <xf numFmtId="0" fontId="206" fillId="0" borderId="89" applyNumberFormat="0" applyFill="0" applyAlignment="0" applyProtection="0">
      <alignment vertical="center"/>
    </xf>
    <xf numFmtId="0" fontId="206" fillId="0" borderId="89" applyNumberFormat="0" applyFill="0" applyAlignment="0" applyProtection="0">
      <alignment vertical="center"/>
    </xf>
    <xf numFmtId="0" fontId="206" fillId="0" borderId="89" applyNumberFormat="0" applyFill="0" applyAlignment="0" applyProtection="0">
      <alignment vertical="center"/>
    </xf>
    <xf numFmtId="0" fontId="206" fillId="0" borderId="89" applyNumberFormat="0" applyFill="0" applyAlignment="0" applyProtection="0">
      <alignment vertical="center"/>
    </xf>
    <xf numFmtId="0" fontId="206" fillId="0" borderId="89" applyNumberFormat="0" applyFill="0" applyAlignment="0" applyProtection="0">
      <alignment vertical="center"/>
    </xf>
    <xf numFmtId="0" fontId="206" fillId="0" borderId="89" applyNumberFormat="0" applyFill="0" applyAlignment="0" applyProtection="0">
      <alignment vertical="center"/>
    </xf>
    <xf numFmtId="0" fontId="206" fillId="0" borderId="89" applyNumberFormat="0" applyFill="0" applyAlignment="0" applyProtection="0">
      <alignment vertical="center"/>
    </xf>
    <xf numFmtId="0" fontId="206" fillId="0" borderId="89" applyNumberFormat="0" applyFill="0" applyAlignment="0" applyProtection="0">
      <alignment vertical="center"/>
    </xf>
    <xf numFmtId="0" fontId="206" fillId="0" borderId="89" applyNumberFormat="0" applyFill="0" applyAlignment="0" applyProtection="0">
      <alignment vertical="center"/>
    </xf>
    <xf numFmtId="0" fontId="206" fillId="0" borderId="89" applyNumberFormat="0" applyFill="0" applyAlignment="0" applyProtection="0">
      <alignment vertical="center"/>
    </xf>
    <xf numFmtId="0" fontId="206" fillId="0" borderId="89" applyNumberFormat="0" applyFill="0" applyAlignment="0" applyProtection="0">
      <alignment vertical="center"/>
    </xf>
    <xf numFmtId="0" fontId="206" fillId="0" borderId="89" applyNumberFormat="0" applyFill="0" applyAlignment="0" applyProtection="0">
      <alignment vertical="center"/>
    </xf>
    <xf numFmtId="0" fontId="206" fillId="0" borderId="89" applyNumberFormat="0" applyFill="0" applyAlignment="0" applyProtection="0">
      <alignment vertical="center"/>
    </xf>
    <xf numFmtId="0" fontId="206" fillId="0" borderId="89" applyNumberFormat="0" applyFill="0" applyAlignment="0" applyProtection="0">
      <alignment vertical="center"/>
    </xf>
    <xf numFmtId="0" fontId="206" fillId="0" borderId="89" applyNumberFormat="0" applyFill="0" applyAlignment="0" applyProtection="0">
      <alignment vertical="center"/>
    </xf>
    <xf numFmtId="0" fontId="206" fillId="0" borderId="89" applyNumberFormat="0" applyFill="0" applyAlignment="0" applyProtection="0">
      <alignment vertical="center"/>
    </xf>
    <xf numFmtId="0" fontId="206" fillId="0" borderId="89" applyNumberFormat="0" applyFill="0" applyAlignment="0" applyProtection="0">
      <alignment vertical="center"/>
    </xf>
    <xf numFmtId="0" fontId="206" fillId="0" borderId="89" applyNumberFormat="0" applyFill="0" applyAlignment="0" applyProtection="0">
      <alignment vertical="center"/>
    </xf>
    <xf numFmtId="0" fontId="206" fillId="0" borderId="89" applyNumberFormat="0" applyFill="0" applyAlignment="0" applyProtection="0">
      <alignment vertical="center"/>
    </xf>
    <xf numFmtId="0" fontId="206" fillId="0" borderId="89" applyNumberFormat="0" applyFill="0" applyAlignment="0" applyProtection="0">
      <alignment vertical="center"/>
    </xf>
    <xf numFmtId="0" fontId="206" fillId="0" borderId="89" applyNumberFormat="0" applyFill="0" applyAlignment="0" applyProtection="0">
      <alignment vertical="center"/>
    </xf>
    <xf numFmtId="0" fontId="206" fillId="0" borderId="89" applyNumberFormat="0" applyFill="0" applyAlignment="0" applyProtection="0">
      <alignment vertical="center"/>
    </xf>
    <xf numFmtId="0" fontId="206" fillId="0" borderId="89" applyNumberFormat="0" applyFill="0" applyAlignment="0" applyProtection="0">
      <alignment vertical="center"/>
    </xf>
    <xf numFmtId="0" fontId="206" fillId="0" borderId="89" applyNumberFormat="0" applyFill="0" applyAlignment="0" applyProtection="0">
      <alignment vertical="center"/>
    </xf>
    <xf numFmtId="0" fontId="206" fillId="0" borderId="89" applyNumberFormat="0" applyFill="0" applyAlignment="0" applyProtection="0">
      <alignment vertical="center"/>
    </xf>
    <xf numFmtId="0" fontId="206" fillId="0" borderId="89" applyNumberFormat="0" applyFill="0" applyAlignment="0" applyProtection="0">
      <alignment vertical="center"/>
    </xf>
    <xf numFmtId="0" fontId="206" fillId="0" borderId="89" applyNumberFormat="0" applyFill="0" applyAlignment="0" applyProtection="0">
      <alignment vertical="center"/>
    </xf>
    <xf numFmtId="0" fontId="206" fillId="0" borderId="89" applyNumberFormat="0" applyFill="0" applyAlignment="0" applyProtection="0">
      <alignment vertical="center"/>
    </xf>
    <xf numFmtId="0" fontId="206" fillId="0" borderId="89" applyNumberFormat="0" applyFill="0" applyAlignment="0" applyProtection="0">
      <alignment vertical="center"/>
    </xf>
    <xf numFmtId="0" fontId="206" fillId="0" borderId="89" applyNumberFormat="0" applyFill="0" applyAlignment="0" applyProtection="0">
      <alignment vertical="center"/>
    </xf>
    <xf numFmtId="0" fontId="206" fillId="0" borderId="89" applyNumberFormat="0" applyFill="0" applyAlignment="0" applyProtection="0">
      <alignment vertical="center"/>
    </xf>
    <xf numFmtId="0" fontId="206" fillId="0" borderId="89" applyNumberFormat="0" applyFill="0" applyAlignment="0" applyProtection="0">
      <alignment vertical="center"/>
    </xf>
    <xf numFmtId="0" fontId="206" fillId="0" borderId="89" applyNumberFormat="0" applyFill="0" applyAlignment="0" applyProtection="0">
      <alignment vertical="center"/>
    </xf>
    <xf numFmtId="0" fontId="29" fillId="0" borderId="90">
      <alignment vertical="justify" wrapText="1"/>
    </xf>
    <xf numFmtId="0" fontId="29" fillId="0" borderId="90">
      <alignment vertical="justify" wrapText="1"/>
    </xf>
    <xf numFmtId="0" fontId="29" fillId="0" borderId="90">
      <alignment vertical="justify" wrapText="1"/>
    </xf>
    <xf numFmtId="0" fontId="29" fillId="0" borderId="90">
      <alignment vertical="justify" wrapText="1"/>
    </xf>
    <xf numFmtId="0" fontId="29" fillId="0" borderId="90">
      <alignment vertical="justify" wrapText="1"/>
    </xf>
    <xf numFmtId="0" fontId="29" fillId="0" borderId="90">
      <alignment vertical="justify" wrapText="1"/>
    </xf>
    <xf numFmtId="0" fontId="29" fillId="0" borderId="90">
      <alignment vertical="justify" wrapText="1"/>
    </xf>
    <xf numFmtId="0" fontId="29" fillId="0" borderId="90">
      <alignment vertical="justify" wrapText="1"/>
    </xf>
    <xf numFmtId="0" fontId="29" fillId="0" borderId="90">
      <alignment vertical="justify" wrapText="1"/>
    </xf>
    <xf numFmtId="0" fontId="29" fillId="0" borderId="90">
      <alignment vertical="justify" wrapText="1"/>
    </xf>
    <xf numFmtId="0" fontId="29" fillId="0" borderId="90">
      <alignment vertical="justify" wrapText="1"/>
    </xf>
    <xf numFmtId="0" fontId="29" fillId="0" borderId="90">
      <alignment vertical="justify" wrapText="1"/>
    </xf>
    <xf numFmtId="0" fontId="29" fillId="0" borderId="90">
      <alignment vertical="justify" wrapText="1"/>
    </xf>
    <xf numFmtId="0" fontId="29" fillId="0" borderId="90">
      <alignment vertical="justify" wrapText="1"/>
    </xf>
    <xf numFmtId="0" fontId="29" fillId="0" borderId="90">
      <alignment vertical="justify" wrapText="1"/>
    </xf>
    <xf numFmtId="0" fontId="29" fillId="0" borderId="90">
      <alignment vertical="justify" wrapText="1"/>
    </xf>
    <xf numFmtId="0" fontId="29" fillId="0" borderId="90">
      <alignment vertical="justify" wrapText="1"/>
    </xf>
    <xf numFmtId="0" fontId="29" fillId="0" borderId="90">
      <alignment vertical="justify" wrapText="1"/>
    </xf>
    <xf numFmtId="0" fontId="29" fillId="0" borderId="90">
      <alignment vertical="justify" wrapText="1"/>
    </xf>
    <xf numFmtId="0" fontId="29" fillId="0" borderId="90">
      <alignment vertical="justify" wrapText="1"/>
    </xf>
    <xf numFmtId="0" fontId="29" fillId="0" borderId="90">
      <alignment vertical="justify" wrapText="1"/>
    </xf>
    <xf numFmtId="0" fontId="29" fillId="0" borderId="90">
      <alignment vertical="justify" wrapText="1"/>
    </xf>
    <xf numFmtId="0" fontId="29" fillId="0" borderId="90">
      <alignment vertical="justify" wrapText="1"/>
    </xf>
    <xf numFmtId="0" fontId="29" fillId="0" borderId="90">
      <alignment vertical="justify" wrapText="1"/>
    </xf>
    <xf numFmtId="0" fontId="29" fillId="0" borderId="90">
      <alignment vertical="justify" wrapText="1"/>
    </xf>
    <xf numFmtId="0" fontId="29" fillId="0" borderId="90">
      <alignment vertical="justify" wrapText="1"/>
    </xf>
    <xf numFmtId="0" fontId="29" fillId="0" borderId="90">
      <alignment vertical="justify" wrapText="1"/>
    </xf>
    <xf numFmtId="0" fontId="29" fillId="0" borderId="90">
      <alignment vertical="justify" wrapText="1"/>
    </xf>
    <xf numFmtId="0" fontId="29" fillId="0" borderId="90">
      <alignment vertical="justify" wrapText="1"/>
    </xf>
    <xf numFmtId="0" fontId="29" fillId="0" borderId="90">
      <alignment vertical="justify" wrapText="1"/>
    </xf>
    <xf numFmtId="0" fontId="29" fillId="0" borderId="90">
      <alignment vertical="justify" wrapText="1"/>
    </xf>
    <xf numFmtId="0" fontId="29" fillId="0" borderId="90">
      <alignment vertical="justify" wrapText="1"/>
    </xf>
    <xf numFmtId="0" fontId="29" fillId="0" borderId="90">
      <alignment vertical="justify" wrapText="1"/>
    </xf>
    <xf numFmtId="0" fontId="29" fillId="0" borderId="90">
      <alignment vertical="justify" wrapText="1"/>
    </xf>
    <xf numFmtId="0" fontId="29" fillId="0" borderId="90">
      <alignment vertical="justify" wrapText="1"/>
    </xf>
    <xf numFmtId="0" fontId="29" fillId="0" borderId="90">
      <alignment vertical="justify" wrapText="1"/>
    </xf>
    <xf numFmtId="0" fontId="29" fillId="0" borderId="90">
      <alignment vertical="justify" wrapText="1"/>
    </xf>
    <xf numFmtId="0" fontId="29" fillId="0" borderId="90">
      <alignment vertical="justify" wrapText="1"/>
    </xf>
    <xf numFmtId="0" fontId="29" fillId="0" borderId="90">
      <alignment vertical="justify" wrapText="1"/>
    </xf>
    <xf numFmtId="0" fontId="29" fillId="0" borderId="90">
      <alignment vertical="justify" wrapText="1"/>
    </xf>
    <xf numFmtId="0" fontId="29" fillId="0" borderId="90">
      <alignment vertical="justify" wrapText="1"/>
    </xf>
    <xf numFmtId="0" fontId="29" fillId="0" borderId="90">
      <alignment vertical="justify" wrapText="1"/>
    </xf>
    <xf numFmtId="0" fontId="29" fillId="0" borderId="90">
      <alignment vertical="justify" wrapText="1"/>
    </xf>
    <xf numFmtId="0" fontId="29" fillId="0" borderId="90">
      <alignment vertical="justify" wrapText="1"/>
    </xf>
    <xf numFmtId="0" fontId="29" fillId="0" borderId="90">
      <alignment vertical="justify" wrapText="1"/>
    </xf>
    <xf numFmtId="0" fontId="29" fillId="0" borderId="90">
      <alignment vertical="justify" wrapText="1"/>
    </xf>
    <xf numFmtId="0" fontId="29" fillId="0" borderId="90">
      <alignment vertical="justify" wrapText="1"/>
    </xf>
    <xf numFmtId="0" fontId="29" fillId="0" borderId="90">
      <alignment vertical="justify" wrapText="1"/>
    </xf>
    <xf numFmtId="0" fontId="29" fillId="0" borderId="90">
      <alignment vertical="justify" wrapText="1"/>
    </xf>
    <xf numFmtId="0" fontId="29" fillId="0" borderId="90">
      <alignment vertical="justify" wrapText="1"/>
    </xf>
    <xf numFmtId="0" fontId="29" fillId="0" borderId="90">
      <alignment vertical="justify" wrapText="1"/>
    </xf>
    <xf numFmtId="0" fontId="29" fillId="0" borderId="90">
      <alignment vertical="justify" wrapText="1"/>
    </xf>
    <xf numFmtId="0" fontId="29" fillId="0" borderId="90">
      <alignment vertical="justify" wrapText="1"/>
    </xf>
    <xf numFmtId="0" fontId="29" fillId="0" borderId="90">
      <alignment vertical="justify" wrapText="1"/>
    </xf>
    <xf numFmtId="0" fontId="29" fillId="0" borderId="90">
      <alignment vertical="justify" wrapText="1"/>
    </xf>
    <xf numFmtId="0" fontId="29" fillId="0" borderId="90">
      <alignment vertical="justify" wrapText="1"/>
    </xf>
    <xf numFmtId="0" fontId="29" fillId="0" borderId="90">
      <alignment vertical="justify" wrapText="1"/>
    </xf>
    <xf numFmtId="0" fontId="29" fillId="0" borderId="90">
      <alignment vertical="justify" wrapText="1"/>
    </xf>
    <xf numFmtId="0" fontId="29" fillId="0" borderId="90">
      <alignment vertical="justify" wrapText="1"/>
    </xf>
    <xf numFmtId="0" fontId="29" fillId="0" borderId="90">
      <alignment vertical="justify" wrapText="1"/>
    </xf>
    <xf numFmtId="0" fontId="207" fillId="33" borderId="82" applyNumberFormat="0" applyAlignment="0" applyProtection="0">
      <alignment vertical="center"/>
    </xf>
    <xf numFmtId="0" fontId="207" fillId="33" borderId="82" applyNumberFormat="0" applyAlignment="0" applyProtection="0">
      <alignment vertical="center"/>
    </xf>
    <xf numFmtId="0" fontId="207" fillId="33" borderId="82" applyNumberFormat="0" applyAlignment="0" applyProtection="0">
      <alignment vertical="center"/>
    </xf>
    <xf numFmtId="0" fontId="207" fillId="33" borderId="82" applyNumberFormat="0" applyAlignment="0" applyProtection="0">
      <alignment vertical="center"/>
    </xf>
    <xf numFmtId="0" fontId="207" fillId="33" borderId="82" applyNumberFormat="0" applyAlignment="0" applyProtection="0">
      <alignment vertical="center"/>
    </xf>
    <xf numFmtId="0" fontId="207" fillId="33" borderId="82" applyNumberFormat="0" applyAlignment="0" applyProtection="0">
      <alignment vertical="center"/>
    </xf>
    <xf numFmtId="0" fontId="207" fillId="33" borderId="82" applyNumberFormat="0" applyAlignment="0" applyProtection="0">
      <alignment vertical="center"/>
    </xf>
    <xf numFmtId="0" fontId="207" fillId="33" borderId="82" applyNumberFormat="0" applyAlignment="0" applyProtection="0">
      <alignment vertical="center"/>
    </xf>
    <xf numFmtId="0" fontId="207" fillId="33" borderId="82" applyNumberFormat="0" applyAlignment="0" applyProtection="0">
      <alignment vertical="center"/>
    </xf>
    <xf numFmtId="0" fontId="207" fillId="33" borderId="82" applyNumberFormat="0" applyAlignment="0" applyProtection="0">
      <alignment vertical="center"/>
    </xf>
    <xf numFmtId="0" fontId="207" fillId="33" borderId="82" applyNumberFormat="0" applyAlignment="0" applyProtection="0">
      <alignment vertical="center"/>
    </xf>
    <xf numFmtId="0" fontId="207" fillId="33" borderId="82" applyNumberFormat="0" applyAlignment="0" applyProtection="0">
      <alignment vertical="center"/>
    </xf>
    <xf numFmtId="0" fontId="207" fillId="33" borderId="82" applyNumberFormat="0" applyAlignment="0" applyProtection="0">
      <alignment vertical="center"/>
    </xf>
    <xf numFmtId="0" fontId="207" fillId="33" borderId="82" applyNumberFormat="0" applyAlignment="0" applyProtection="0">
      <alignment vertical="center"/>
    </xf>
    <xf numFmtId="0" fontId="207" fillId="33" borderId="82" applyNumberFormat="0" applyAlignment="0" applyProtection="0">
      <alignment vertical="center"/>
    </xf>
    <xf numFmtId="0" fontId="207" fillId="33" borderId="82" applyNumberFormat="0" applyAlignment="0" applyProtection="0">
      <alignment vertical="center"/>
    </xf>
    <xf numFmtId="0" fontId="207" fillId="33" borderId="82" applyNumberFormat="0" applyAlignment="0" applyProtection="0">
      <alignment vertical="center"/>
    </xf>
    <xf numFmtId="0" fontId="207" fillId="33" borderId="82" applyNumberFormat="0" applyAlignment="0" applyProtection="0">
      <alignment vertical="center"/>
    </xf>
    <xf numFmtId="0" fontId="207" fillId="33" borderId="82" applyNumberFormat="0" applyAlignment="0" applyProtection="0">
      <alignment vertical="center"/>
    </xf>
    <xf numFmtId="0" fontId="207" fillId="33" borderId="82" applyNumberFormat="0" applyAlignment="0" applyProtection="0">
      <alignment vertical="center"/>
    </xf>
    <xf numFmtId="0" fontId="207" fillId="33" borderId="82" applyNumberFormat="0" applyAlignment="0" applyProtection="0">
      <alignment vertical="center"/>
    </xf>
    <xf numFmtId="0" fontId="207" fillId="33" borderId="82" applyNumberFormat="0" applyAlignment="0" applyProtection="0">
      <alignment vertical="center"/>
    </xf>
    <xf numFmtId="0" fontId="207" fillId="33" borderId="82" applyNumberFormat="0" applyAlignment="0" applyProtection="0">
      <alignment vertical="center"/>
    </xf>
    <xf numFmtId="0" fontId="207" fillId="33" borderId="82" applyNumberFormat="0" applyAlignment="0" applyProtection="0">
      <alignment vertical="center"/>
    </xf>
    <xf numFmtId="0" fontId="207" fillId="33" borderId="82" applyNumberFormat="0" applyAlignment="0" applyProtection="0">
      <alignment vertical="center"/>
    </xf>
    <xf numFmtId="0" fontId="207" fillId="33" borderId="82" applyNumberFormat="0" applyAlignment="0" applyProtection="0">
      <alignment vertical="center"/>
    </xf>
    <xf numFmtId="0" fontId="207" fillId="33" borderId="82" applyNumberFormat="0" applyAlignment="0" applyProtection="0">
      <alignment vertical="center"/>
    </xf>
    <xf numFmtId="0" fontId="207" fillId="33" borderId="82" applyNumberFormat="0" applyAlignment="0" applyProtection="0">
      <alignment vertical="center"/>
    </xf>
    <xf numFmtId="0" fontId="207" fillId="33" borderId="82" applyNumberFormat="0" applyAlignment="0" applyProtection="0">
      <alignment vertical="center"/>
    </xf>
    <xf numFmtId="0" fontId="207" fillId="33" borderId="82" applyNumberFormat="0" applyAlignment="0" applyProtection="0">
      <alignment vertical="center"/>
    </xf>
    <xf numFmtId="0" fontId="207" fillId="33" borderId="82" applyNumberFormat="0" applyAlignment="0" applyProtection="0">
      <alignment vertical="center"/>
    </xf>
    <xf numFmtId="0" fontId="207" fillId="33" borderId="82" applyNumberFormat="0" applyAlignment="0" applyProtection="0">
      <alignment vertical="center"/>
    </xf>
    <xf numFmtId="0" fontId="207" fillId="33" borderId="82" applyNumberFormat="0" applyAlignment="0" applyProtection="0">
      <alignment vertical="center"/>
    </xf>
    <xf numFmtId="0" fontId="207" fillId="33" borderId="82" applyNumberFormat="0" applyAlignment="0" applyProtection="0">
      <alignment vertical="center"/>
    </xf>
    <xf numFmtId="0" fontId="207" fillId="33" borderId="82" applyNumberFormat="0" applyAlignment="0" applyProtection="0">
      <alignment vertical="center"/>
    </xf>
    <xf numFmtId="0" fontId="207" fillId="33" borderId="82" applyNumberFormat="0" applyAlignment="0" applyProtection="0">
      <alignment vertical="center"/>
    </xf>
    <xf numFmtId="0" fontId="207" fillId="33" borderId="82" applyNumberFormat="0" applyAlignment="0" applyProtection="0">
      <alignment vertical="center"/>
    </xf>
    <xf numFmtId="0" fontId="207" fillId="33" borderId="82" applyNumberFormat="0" applyAlignment="0" applyProtection="0">
      <alignment vertical="center"/>
    </xf>
    <xf numFmtId="0" fontId="207" fillId="33" borderId="82" applyNumberFormat="0" applyAlignment="0" applyProtection="0">
      <alignment vertical="center"/>
    </xf>
    <xf numFmtId="0" fontId="207" fillId="33" borderId="82" applyNumberFormat="0" applyAlignment="0" applyProtection="0">
      <alignment vertical="center"/>
    </xf>
    <xf numFmtId="0" fontId="207" fillId="33" borderId="82" applyNumberFormat="0" applyAlignment="0" applyProtection="0">
      <alignment vertical="center"/>
    </xf>
    <xf numFmtId="0" fontId="207" fillId="33" borderId="82" applyNumberFormat="0" applyAlignment="0" applyProtection="0">
      <alignment vertical="center"/>
    </xf>
    <xf numFmtId="0" fontId="207" fillId="33" borderId="82" applyNumberFormat="0" applyAlignment="0" applyProtection="0">
      <alignment vertical="center"/>
    </xf>
    <xf numFmtId="0" fontId="207" fillId="33" borderId="82" applyNumberFormat="0" applyAlignment="0" applyProtection="0">
      <alignment vertical="center"/>
    </xf>
    <xf numFmtId="0" fontId="207" fillId="33" borderId="82" applyNumberFormat="0" applyAlignment="0" applyProtection="0">
      <alignment vertical="center"/>
    </xf>
    <xf numFmtId="0" fontId="207" fillId="33" borderId="82" applyNumberFormat="0" applyAlignment="0" applyProtection="0">
      <alignment vertical="center"/>
    </xf>
    <xf numFmtId="0" fontId="207" fillId="33" borderId="82" applyNumberFormat="0" applyAlignment="0" applyProtection="0">
      <alignment vertical="center"/>
    </xf>
    <xf numFmtId="0" fontId="207" fillId="33" borderId="82" applyNumberFormat="0" applyAlignment="0" applyProtection="0">
      <alignment vertical="center"/>
    </xf>
    <xf numFmtId="0" fontId="207" fillId="33" borderId="82" applyNumberFormat="0" applyAlignment="0" applyProtection="0">
      <alignment vertical="center"/>
    </xf>
    <xf numFmtId="0" fontId="207" fillId="33" borderId="82" applyNumberFormat="0" applyAlignment="0" applyProtection="0">
      <alignment vertical="center"/>
    </xf>
    <xf numFmtId="0" fontId="207" fillId="33" borderId="82" applyNumberFormat="0" applyAlignment="0" applyProtection="0">
      <alignment vertical="center"/>
    </xf>
    <xf numFmtId="0" fontId="207" fillId="33" borderId="82" applyNumberFormat="0" applyAlignment="0" applyProtection="0">
      <alignment vertical="center"/>
    </xf>
    <xf numFmtId="0" fontId="207" fillId="33" borderId="82" applyNumberFormat="0" applyAlignment="0" applyProtection="0">
      <alignment vertical="center"/>
    </xf>
    <xf numFmtId="0" fontId="207" fillId="33" borderId="82" applyNumberFormat="0" applyAlignment="0" applyProtection="0">
      <alignment vertical="center"/>
    </xf>
    <xf numFmtId="0" fontId="207" fillId="33" borderId="82" applyNumberFormat="0" applyAlignment="0" applyProtection="0">
      <alignment vertical="center"/>
    </xf>
    <xf numFmtId="0" fontId="207" fillId="33" borderId="82" applyNumberFormat="0" applyAlignment="0" applyProtection="0">
      <alignment vertical="center"/>
    </xf>
    <xf numFmtId="0" fontId="207" fillId="33" borderId="82" applyNumberFormat="0" applyAlignment="0" applyProtection="0">
      <alignment vertical="center"/>
    </xf>
    <xf numFmtId="0" fontId="207" fillId="33" borderId="82" applyNumberFormat="0" applyAlignment="0" applyProtection="0">
      <alignment vertical="center"/>
    </xf>
    <xf numFmtId="0" fontId="207" fillId="33" borderId="82" applyNumberFormat="0" applyAlignment="0" applyProtection="0">
      <alignment vertical="center"/>
    </xf>
    <xf numFmtId="0" fontId="207" fillId="33" borderId="82" applyNumberFormat="0" applyAlignment="0" applyProtection="0">
      <alignment vertical="center"/>
    </xf>
    <xf numFmtId="301" fontId="25" fillId="0" borderId="60">
      <alignment horizontal="left" vertical="center"/>
    </xf>
    <xf numFmtId="301" fontId="25" fillId="0" borderId="60">
      <alignment horizontal="left" vertical="center"/>
    </xf>
    <xf numFmtId="301" fontId="25" fillId="0" borderId="60">
      <alignment horizontal="left" vertical="center"/>
    </xf>
    <xf numFmtId="301" fontId="25" fillId="0" borderId="60">
      <alignment horizontal="left" vertical="center"/>
    </xf>
    <xf numFmtId="301" fontId="25" fillId="0" borderId="60">
      <alignment horizontal="left" vertical="center"/>
    </xf>
    <xf numFmtId="301" fontId="25" fillId="0" borderId="60">
      <alignment horizontal="left" vertical="center"/>
    </xf>
    <xf numFmtId="301" fontId="25" fillId="0" borderId="60">
      <alignment horizontal="left" vertical="center"/>
    </xf>
    <xf numFmtId="301" fontId="25" fillId="0" borderId="60">
      <alignment horizontal="left" vertical="center"/>
    </xf>
    <xf numFmtId="301" fontId="25" fillId="0" borderId="60">
      <alignment horizontal="left" vertical="center"/>
    </xf>
    <xf numFmtId="301" fontId="25" fillId="0" borderId="60">
      <alignment horizontal="left" vertical="center"/>
    </xf>
    <xf numFmtId="301" fontId="25" fillId="0" borderId="60">
      <alignment horizontal="left" vertical="center"/>
    </xf>
    <xf numFmtId="301" fontId="25" fillId="0" borderId="60">
      <alignment horizontal="left" vertical="center"/>
    </xf>
    <xf numFmtId="301" fontId="25" fillId="0" borderId="60">
      <alignment horizontal="left" vertical="center"/>
    </xf>
    <xf numFmtId="301" fontId="25" fillId="0" borderId="60">
      <alignment horizontal="left" vertical="center"/>
    </xf>
    <xf numFmtId="301" fontId="25" fillId="0" borderId="60">
      <alignment horizontal="left" vertical="center"/>
    </xf>
    <xf numFmtId="301" fontId="25" fillId="0" borderId="60">
      <alignment horizontal="left" vertical="center"/>
    </xf>
    <xf numFmtId="301" fontId="25" fillId="0" borderId="60">
      <alignment horizontal="left" vertical="center"/>
    </xf>
    <xf numFmtId="301" fontId="25" fillId="0" borderId="60">
      <alignment horizontal="left" vertical="center"/>
    </xf>
    <xf numFmtId="301" fontId="25" fillId="0" borderId="60">
      <alignment horizontal="left" vertical="center"/>
    </xf>
    <xf numFmtId="301" fontId="25" fillId="0" borderId="60">
      <alignment horizontal="left" vertical="center"/>
    </xf>
    <xf numFmtId="301" fontId="25" fillId="0" borderId="60">
      <alignment horizontal="left" vertical="center"/>
    </xf>
    <xf numFmtId="301" fontId="25" fillId="0" borderId="60">
      <alignment horizontal="left" vertical="center"/>
    </xf>
    <xf numFmtId="301" fontId="25" fillId="0" borderId="60">
      <alignment horizontal="left" vertical="center"/>
    </xf>
    <xf numFmtId="301" fontId="25" fillId="0" borderId="60">
      <alignment horizontal="left" vertical="center"/>
    </xf>
    <xf numFmtId="301" fontId="25" fillId="0" borderId="60">
      <alignment horizontal="left" vertical="center"/>
    </xf>
    <xf numFmtId="301" fontId="25" fillId="0" borderId="60">
      <alignment horizontal="left" vertical="center"/>
    </xf>
    <xf numFmtId="301" fontId="25" fillId="0" borderId="60">
      <alignment horizontal="left" vertical="center"/>
    </xf>
    <xf numFmtId="301" fontId="25" fillId="0" borderId="60">
      <alignment horizontal="left" vertical="center"/>
    </xf>
    <xf numFmtId="301" fontId="25" fillId="0" borderId="60">
      <alignment horizontal="left" vertical="center"/>
    </xf>
    <xf numFmtId="301" fontId="25" fillId="0" borderId="60">
      <alignment horizontal="left" vertical="center"/>
    </xf>
    <xf numFmtId="301" fontId="25" fillId="0" borderId="60">
      <alignment horizontal="left" vertical="center"/>
    </xf>
    <xf numFmtId="301" fontId="25" fillId="0" borderId="60">
      <alignment horizontal="left" vertical="center"/>
    </xf>
    <xf numFmtId="301" fontId="25" fillId="0" borderId="60">
      <alignment horizontal="left" vertical="center"/>
    </xf>
    <xf numFmtId="301" fontId="25" fillId="0" borderId="60">
      <alignment horizontal="left" vertical="center"/>
    </xf>
    <xf numFmtId="301" fontId="25" fillId="0" borderId="60">
      <alignment horizontal="left" vertical="center"/>
    </xf>
    <xf numFmtId="301" fontId="25" fillId="0" borderId="60">
      <alignment horizontal="left" vertical="center"/>
    </xf>
    <xf numFmtId="301" fontId="25" fillId="0" borderId="60">
      <alignment horizontal="left" vertical="center"/>
    </xf>
    <xf numFmtId="301" fontId="25" fillId="0" borderId="60">
      <alignment horizontal="left" vertical="center"/>
    </xf>
    <xf numFmtId="301" fontId="25" fillId="0" borderId="60">
      <alignment horizontal="left" vertical="center"/>
    </xf>
    <xf numFmtId="301" fontId="25" fillId="0" borderId="60">
      <alignment horizontal="left" vertical="center"/>
    </xf>
    <xf numFmtId="301" fontId="25" fillId="0" borderId="60">
      <alignment horizontal="left" vertical="center"/>
    </xf>
    <xf numFmtId="301" fontId="25" fillId="0" borderId="60">
      <alignment horizontal="left" vertical="center"/>
    </xf>
    <xf numFmtId="301" fontId="25" fillId="0" borderId="60">
      <alignment horizontal="left" vertical="center"/>
    </xf>
    <xf numFmtId="301" fontId="25" fillId="0" borderId="60">
      <alignment horizontal="left" vertical="center"/>
    </xf>
    <xf numFmtId="301" fontId="25" fillId="0" borderId="60">
      <alignment horizontal="left" vertical="center"/>
    </xf>
    <xf numFmtId="0" fontId="75" fillId="70" borderId="86" applyNumberFormat="0" applyFont="0" applyAlignment="0" applyProtection="0">
      <alignment vertical="center"/>
    </xf>
    <xf numFmtId="0" fontId="75" fillId="70" borderId="86" applyNumberFormat="0" applyFont="0" applyAlignment="0" applyProtection="0">
      <alignment vertical="center"/>
    </xf>
    <xf numFmtId="0" fontId="75" fillId="70" borderId="86" applyNumberFormat="0" applyFont="0" applyAlignment="0" applyProtection="0">
      <alignment vertical="center"/>
    </xf>
    <xf numFmtId="0" fontId="75" fillId="70" borderId="86" applyNumberFormat="0" applyFont="0" applyAlignment="0" applyProtection="0">
      <alignment vertical="center"/>
    </xf>
    <xf numFmtId="0" fontId="75" fillId="70" borderId="86" applyNumberFormat="0" applyFont="0" applyAlignment="0" applyProtection="0">
      <alignment vertical="center"/>
    </xf>
    <xf numFmtId="0" fontId="75" fillId="70" borderId="86" applyNumberFormat="0" applyFont="0" applyAlignment="0" applyProtection="0">
      <alignment vertical="center"/>
    </xf>
    <xf numFmtId="0" fontId="75" fillId="70" borderId="86" applyNumberFormat="0" applyFont="0" applyAlignment="0" applyProtection="0">
      <alignment vertical="center"/>
    </xf>
    <xf numFmtId="0" fontId="75" fillId="70" borderId="86" applyNumberFormat="0" applyFont="0" applyAlignment="0" applyProtection="0">
      <alignment vertical="center"/>
    </xf>
    <xf numFmtId="0" fontId="75" fillId="70" borderId="86" applyNumberFormat="0" applyFont="0" applyAlignment="0" applyProtection="0">
      <alignment vertical="center"/>
    </xf>
    <xf numFmtId="0" fontId="75" fillId="70" borderId="86" applyNumberFormat="0" applyFont="0" applyAlignment="0" applyProtection="0">
      <alignment vertical="center"/>
    </xf>
    <xf numFmtId="0" fontId="75" fillId="70" borderId="86" applyNumberFormat="0" applyFont="0" applyAlignment="0" applyProtection="0">
      <alignment vertical="center"/>
    </xf>
    <xf numFmtId="0" fontId="75" fillId="70" borderId="86" applyNumberFormat="0" applyFont="0" applyAlignment="0" applyProtection="0">
      <alignment vertical="center"/>
    </xf>
    <xf numFmtId="0" fontId="75" fillId="70" borderId="86" applyNumberFormat="0" applyFont="0" applyAlignment="0" applyProtection="0">
      <alignment vertical="center"/>
    </xf>
    <xf numFmtId="0" fontId="75" fillId="70" borderId="86" applyNumberFormat="0" applyFont="0" applyAlignment="0" applyProtection="0">
      <alignment vertical="center"/>
    </xf>
    <xf numFmtId="0" fontId="75" fillId="70" borderId="86" applyNumberFormat="0" applyFont="0" applyAlignment="0" applyProtection="0">
      <alignment vertical="center"/>
    </xf>
    <xf numFmtId="0" fontId="75" fillId="70" borderId="86" applyNumberFormat="0" applyFont="0" applyAlignment="0" applyProtection="0">
      <alignment vertical="center"/>
    </xf>
    <xf numFmtId="0" fontId="75" fillId="70" borderId="86" applyNumberFormat="0" applyFont="0" applyAlignment="0" applyProtection="0">
      <alignment vertical="center"/>
    </xf>
    <xf numFmtId="0" fontId="75" fillId="70" borderId="86" applyNumberFormat="0" applyFont="0" applyAlignment="0" applyProtection="0">
      <alignment vertical="center"/>
    </xf>
    <xf numFmtId="0" fontId="75" fillId="70" borderId="86" applyNumberFormat="0" applyFont="0" applyAlignment="0" applyProtection="0">
      <alignment vertical="center"/>
    </xf>
    <xf numFmtId="0" fontId="75" fillId="70" borderId="86" applyNumberFormat="0" applyFont="0" applyAlignment="0" applyProtection="0">
      <alignment vertical="center"/>
    </xf>
    <xf numFmtId="0" fontId="75" fillId="70" borderId="86" applyNumberFormat="0" applyFont="0" applyAlignment="0" applyProtection="0">
      <alignment vertical="center"/>
    </xf>
    <xf numFmtId="0" fontId="75" fillId="70" borderId="86" applyNumberFormat="0" applyFont="0" applyAlignment="0" applyProtection="0">
      <alignment vertical="center"/>
    </xf>
    <xf numFmtId="0" fontId="75" fillId="70" borderId="86" applyNumberFormat="0" applyFont="0" applyAlignment="0" applyProtection="0">
      <alignment vertical="center"/>
    </xf>
    <xf numFmtId="0" fontId="75" fillId="70" borderId="86" applyNumberFormat="0" applyFont="0" applyAlignment="0" applyProtection="0">
      <alignment vertical="center"/>
    </xf>
    <xf numFmtId="0" fontId="75" fillId="70" borderId="86" applyNumberFormat="0" applyFont="0" applyAlignment="0" applyProtection="0">
      <alignment vertical="center"/>
    </xf>
    <xf numFmtId="0" fontId="75" fillId="70" borderId="86" applyNumberFormat="0" applyFont="0" applyAlignment="0" applyProtection="0">
      <alignment vertical="center"/>
    </xf>
    <xf numFmtId="0" fontId="75" fillId="70" borderId="86" applyNumberFormat="0" applyFont="0" applyAlignment="0" applyProtection="0">
      <alignment vertical="center"/>
    </xf>
    <xf numFmtId="0" fontId="75" fillId="70" borderId="86" applyNumberFormat="0" applyFont="0" applyAlignment="0" applyProtection="0">
      <alignment vertical="center"/>
    </xf>
    <xf numFmtId="0" fontId="75" fillId="70" borderId="86" applyNumberFormat="0" applyFont="0" applyAlignment="0" applyProtection="0">
      <alignment vertical="center"/>
    </xf>
    <xf numFmtId="0" fontId="75" fillId="70" borderId="86" applyNumberFormat="0" applyFont="0" applyAlignment="0" applyProtection="0">
      <alignment vertical="center"/>
    </xf>
    <xf numFmtId="0" fontId="75" fillId="70" borderId="86" applyNumberFormat="0" applyFont="0" applyAlignment="0" applyProtection="0">
      <alignment vertical="center"/>
    </xf>
    <xf numFmtId="0" fontId="75" fillId="70" borderId="86" applyNumberFormat="0" applyFont="0" applyAlignment="0" applyProtection="0">
      <alignment vertical="center"/>
    </xf>
    <xf numFmtId="0" fontId="75" fillId="70" borderId="86" applyNumberFormat="0" applyFont="0" applyAlignment="0" applyProtection="0">
      <alignment vertical="center"/>
    </xf>
    <xf numFmtId="0" fontId="75" fillId="70" borderId="86" applyNumberFormat="0" applyFont="0" applyAlignment="0" applyProtection="0">
      <alignment vertical="center"/>
    </xf>
    <xf numFmtId="0" fontId="75" fillId="70" borderId="86" applyNumberFormat="0" applyFont="0" applyAlignment="0" applyProtection="0">
      <alignment vertical="center"/>
    </xf>
    <xf numFmtId="0" fontId="75" fillId="70" borderId="86" applyNumberFormat="0" applyFont="0" applyAlignment="0" applyProtection="0">
      <alignment vertical="center"/>
    </xf>
    <xf numFmtId="0" fontId="75" fillId="70" borderId="86" applyNumberFormat="0" applyFont="0" applyAlignment="0" applyProtection="0">
      <alignment vertical="center"/>
    </xf>
    <xf numFmtId="0" fontId="75" fillId="70" borderId="86" applyNumberFormat="0" applyFont="0" applyAlignment="0" applyProtection="0">
      <alignment vertical="center"/>
    </xf>
    <xf numFmtId="0" fontId="75" fillId="70" borderId="86" applyNumberFormat="0" applyFont="0" applyAlignment="0" applyProtection="0">
      <alignment vertical="center"/>
    </xf>
    <xf numFmtId="0" fontId="75" fillId="70" borderId="86" applyNumberFormat="0" applyFont="0" applyAlignment="0" applyProtection="0">
      <alignment vertical="center"/>
    </xf>
    <xf numFmtId="0" fontId="75" fillId="70" borderId="86" applyNumberFormat="0" applyFont="0" applyAlignment="0" applyProtection="0">
      <alignment vertical="center"/>
    </xf>
    <xf numFmtId="0" fontId="75" fillId="70" borderId="86" applyNumberFormat="0" applyFont="0" applyAlignment="0" applyProtection="0">
      <alignment vertical="center"/>
    </xf>
    <xf numFmtId="0" fontId="75" fillId="70" borderId="86" applyNumberFormat="0" applyFont="0" applyAlignment="0" applyProtection="0">
      <alignment vertical="center"/>
    </xf>
    <xf numFmtId="0" fontId="75" fillId="70" borderId="86" applyNumberFormat="0" applyFont="0" applyAlignment="0" applyProtection="0">
      <alignment vertical="center"/>
    </xf>
    <xf numFmtId="0" fontId="75" fillId="70" borderId="86" applyNumberFormat="0" applyFont="0" applyAlignment="0" applyProtection="0">
      <alignment vertical="center"/>
    </xf>
    <xf numFmtId="0" fontId="75" fillId="70" borderId="86" applyNumberFormat="0" applyFont="0" applyAlignment="0" applyProtection="0">
      <alignment vertical="center"/>
    </xf>
    <xf numFmtId="0" fontId="75" fillId="70" borderId="86" applyNumberFormat="0" applyFont="0" applyAlignment="0" applyProtection="0">
      <alignment vertical="center"/>
    </xf>
    <xf numFmtId="0" fontId="75" fillId="70" borderId="86" applyNumberFormat="0" applyFont="0" applyAlignment="0" applyProtection="0">
      <alignment vertical="center"/>
    </xf>
    <xf numFmtId="0" fontId="75" fillId="70" borderId="86" applyNumberFormat="0" applyFont="0" applyAlignment="0" applyProtection="0">
      <alignment vertical="center"/>
    </xf>
    <xf numFmtId="0" fontId="75" fillId="70" borderId="86" applyNumberFormat="0" applyFont="0" applyAlignment="0" applyProtection="0">
      <alignment vertical="center"/>
    </xf>
    <xf numFmtId="0" fontId="75" fillId="70" borderId="86" applyNumberFormat="0" applyFont="0" applyAlignment="0" applyProtection="0">
      <alignment vertical="center"/>
    </xf>
    <xf numFmtId="0" fontId="75" fillId="70" borderId="86" applyNumberFormat="0" applyFont="0" applyAlignment="0" applyProtection="0">
      <alignment vertical="center"/>
    </xf>
    <xf numFmtId="0" fontId="75" fillId="70" borderId="86" applyNumberFormat="0" applyFont="0" applyAlignment="0" applyProtection="0">
      <alignment vertical="center"/>
    </xf>
    <xf numFmtId="0" fontId="75" fillId="70" borderId="86" applyNumberFormat="0" applyFont="0" applyAlignment="0" applyProtection="0">
      <alignment vertical="center"/>
    </xf>
    <xf numFmtId="0" fontId="75" fillId="70" borderId="86" applyNumberFormat="0" applyFont="0" applyAlignment="0" applyProtection="0">
      <alignment vertical="center"/>
    </xf>
    <xf numFmtId="0" fontId="75" fillId="70" borderId="86" applyNumberFormat="0" applyFont="0" applyAlignment="0" applyProtection="0">
      <alignment vertical="center"/>
    </xf>
    <xf numFmtId="0" fontId="75" fillId="70" borderId="86" applyNumberFormat="0" applyFont="0" applyAlignment="0" applyProtection="0">
      <alignment vertical="center"/>
    </xf>
    <xf numFmtId="0" fontId="75" fillId="70" borderId="86" applyNumberFormat="0" applyFont="0" applyAlignment="0" applyProtection="0">
      <alignment vertical="center"/>
    </xf>
    <xf numFmtId="0" fontId="75" fillId="70" borderId="86" applyNumberFormat="0" applyFont="0" applyAlignment="0" applyProtection="0">
      <alignment vertical="center"/>
    </xf>
    <xf numFmtId="0" fontId="75" fillId="70" borderId="86" applyNumberFormat="0" applyFont="0" applyAlignment="0" applyProtection="0">
      <alignment vertical="center"/>
    </xf>
    <xf numFmtId="0" fontId="216" fillId="59" borderId="83" applyNumberFormat="0" applyAlignment="0" applyProtection="0">
      <alignment vertical="center"/>
    </xf>
    <xf numFmtId="0" fontId="216" fillId="59" borderId="83" applyNumberFormat="0" applyAlignment="0" applyProtection="0">
      <alignment vertical="center"/>
    </xf>
    <xf numFmtId="0" fontId="216" fillId="59" borderId="83" applyNumberFormat="0" applyAlignment="0" applyProtection="0">
      <alignment vertical="center"/>
    </xf>
    <xf numFmtId="0" fontId="216" fillId="59" borderId="83" applyNumberFormat="0" applyAlignment="0" applyProtection="0">
      <alignment vertical="center"/>
    </xf>
    <xf numFmtId="0" fontId="216" fillId="59" borderId="83" applyNumberFormat="0" applyAlignment="0" applyProtection="0">
      <alignment vertical="center"/>
    </xf>
    <xf numFmtId="0" fontId="216" fillId="59" borderId="83" applyNumberFormat="0" applyAlignment="0" applyProtection="0">
      <alignment vertical="center"/>
    </xf>
    <xf numFmtId="0" fontId="216" fillId="59" borderId="83" applyNumberFormat="0" applyAlignment="0" applyProtection="0">
      <alignment vertical="center"/>
    </xf>
    <xf numFmtId="0" fontId="216" fillId="59" borderId="83" applyNumberFormat="0" applyAlignment="0" applyProtection="0">
      <alignment vertical="center"/>
    </xf>
    <xf numFmtId="0" fontId="216" fillId="59" borderId="83" applyNumberFormat="0" applyAlignment="0" applyProtection="0">
      <alignment vertical="center"/>
    </xf>
    <xf numFmtId="0" fontId="216" fillId="59" borderId="83" applyNumberFormat="0" applyAlignment="0" applyProtection="0">
      <alignment vertical="center"/>
    </xf>
    <xf numFmtId="0" fontId="216" fillId="59" borderId="83" applyNumberFormat="0" applyAlignment="0" applyProtection="0">
      <alignment vertical="center"/>
    </xf>
    <xf numFmtId="0" fontId="216" fillId="59" borderId="83" applyNumberFormat="0" applyAlignment="0" applyProtection="0">
      <alignment vertical="center"/>
    </xf>
    <xf numFmtId="0" fontId="216" fillId="59" borderId="83" applyNumberFormat="0" applyAlignment="0" applyProtection="0">
      <alignment vertical="center"/>
    </xf>
    <xf numFmtId="0" fontId="216" fillId="59" borderId="83" applyNumberFormat="0" applyAlignment="0" applyProtection="0">
      <alignment vertical="center"/>
    </xf>
    <xf numFmtId="0" fontId="216" fillId="59" borderId="83" applyNumberFormat="0" applyAlignment="0" applyProtection="0">
      <alignment vertical="center"/>
    </xf>
    <xf numFmtId="0" fontId="216" fillId="59" borderId="83" applyNumberFormat="0" applyAlignment="0" applyProtection="0">
      <alignment vertical="center"/>
    </xf>
    <xf numFmtId="0" fontId="216" fillId="59" borderId="83" applyNumberFormat="0" applyAlignment="0" applyProtection="0">
      <alignment vertical="center"/>
    </xf>
    <xf numFmtId="0" fontId="216" fillId="59" borderId="83" applyNumberFormat="0" applyAlignment="0" applyProtection="0">
      <alignment vertical="center"/>
    </xf>
    <xf numFmtId="0" fontId="216" fillId="59" borderId="83" applyNumberFormat="0" applyAlignment="0" applyProtection="0">
      <alignment vertical="center"/>
    </xf>
    <xf numFmtId="0" fontId="216" fillId="59" borderId="83" applyNumberFormat="0" applyAlignment="0" applyProtection="0">
      <alignment vertical="center"/>
    </xf>
    <xf numFmtId="0" fontId="216" fillId="59" borderId="83" applyNumberFormat="0" applyAlignment="0" applyProtection="0">
      <alignment vertical="center"/>
    </xf>
    <xf numFmtId="0" fontId="216" fillId="59" borderId="83" applyNumberFormat="0" applyAlignment="0" applyProtection="0">
      <alignment vertical="center"/>
    </xf>
    <xf numFmtId="0" fontId="216" fillId="59" borderId="83" applyNumberFormat="0" applyAlignment="0" applyProtection="0">
      <alignment vertical="center"/>
    </xf>
    <xf numFmtId="0" fontId="216" fillId="59" borderId="83" applyNumberFormat="0" applyAlignment="0" applyProtection="0">
      <alignment vertical="center"/>
    </xf>
    <xf numFmtId="0" fontId="216" fillId="59" borderId="83" applyNumberFormat="0" applyAlignment="0" applyProtection="0">
      <alignment vertical="center"/>
    </xf>
    <xf numFmtId="0" fontId="216" fillId="59" borderId="83" applyNumberFormat="0" applyAlignment="0" applyProtection="0">
      <alignment vertical="center"/>
    </xf>
    <xf numFmtId="0" fontId="216" fillId="59" borderId="83" applyNumberFormat="0" applyAlignment="0" applyProtection="0">
      <alignment vertical="center"/>
    </xf>
    <xf numFmtId="0" fontId="216" fillId="59" borderId="83" applyNumberFormat="0" applyAlignment="0" applyProtection="0">
      <alignment vertical="center"/>
    </xf>
    <xf numFmtId="0" fontId="216" fillId="59" borderId="83" applyNumberFormat="0" applyAlignment="0" applyProtection="0">
      <alignment vertical="center"/>
    </xf>
    <xf numFmtId="0" fontId="216" fillId="59" borderId="83" applyNumberFormat="0" applyAlignment="0" applyProtection="0">
      <alignment vertical="center"/>
    </xf>
    <xf numFmtId="0" fontId="216" fillId="59" borderId="83" applyNumberFormat="0" applyAlignment="0" applyProtection="0">
      <alignment vertical="center"/>
    </xf>
    <xf numFmtId="0" fontId="216" fillId="59" borderId="83" applyNumberFormat="0" applyAlignment="0" applyProtection="0">
      <alignment vertical="center"/>
    </xf>
    <xf numFmtId="0" fontId="216" fillId="59" borderId="83" applyNumberFormat="0" applyAlignment="0" applyProtection="0">
      <alignment vertical="center"/>
    </xf>
    <xf numFmtId="0" fontId="216" fillId="59" borderId="83" applyNumberFormat="0" applyAlignment="0" applyProtection="0">
      <alignment vertical="center"/>
    </xf>
    <xf numFmtId="0" fontId="216" fillId="59" borderId="83" applyNumberFormat="0" applyAlignment="0" applyProtection="0">
      <alignment vertical="center"/>
    </xf>
    <xf numFmtId="0" fontId="216" fillId="59" borderId="83" applyNumberFormat="0" applyAlignment="0" applyProtection="0">
      <alignment vertical="center"/>
    </xf>
    <xf numFmtId="0" fontId="216" fillId="59" borderId="83" applyNumberFormat="0" applyAlignment="0" applyProtection="0">
      <alignment vertical="center"/>
    </xf>
    <xf numFmtId="0" fontId="216" fillId="59" borderId="83" applyNumberFormat="0" applyAlignment="0" applyProtection="0">
      <alignment vertical="center"/>
    </xf>
    <xf numFmtId="0" fontId="216" fillId="59" borderId="83" applyNumberFormat="0" applyAlignment="0" applyProtection="0">
      <alignment vertical="center"/>
    </xf>
    <xf numFmtId="0" fontId="216" fillId="59" borderId="83" applyNumberFormat="0" applyAlignment="0" applyProtection="0">
      <alignment vertical="center"/>
    </xf>
    <xf numFmtId="0" fontId="216" fillId="59" borderId="83" applyNumberFormat="0" applyAlignment="0" applyProtection="0">
      <alignment vertical="center"/>
    </xf>
    <xf numFmtId="0" fontId="216" fillId="59" borderId="83" applyNumberFormat="0" applyAlignment="0" applyProtection="0">
      <alignment vertical="center"/>
    </xf>
    <xf numFmtId="0" fontId="216" fillId="59" borderId="83" applyNumberFormat="0" applyAlignment="0" applyProtection="0">
      <alignment vertical="center"/>
    </xf>
    <xf numFmtId="0" fontId="216" fillId="59" borderId="83" applyNumberFormat="0" applyAlignment="0" applyProtection="0">
      <alignment vertical="center"/>
    </xf>
    <xf numFmtId="0" fontId="216" fillId="59" borderId="83" applyNumberFormat="0" applyAlignment="0" applyProtection="0">
      <alignment vertical="center"/>
    </xf>
    <xf numFmtId="0" fontId="216" fillId="59" borderId="83" applyNumberFormat="0" applyAlignment="0" applyProtection="0">
      <alignment vertical="center"/>
    </xf>
    <xf numFmtId="0" fontId="216" fillId="59" borderId="83" applyNumberFormat="0" applyAlignment="0" applyProtection="0">
      <alignment vertical="center"/>
    </xf>
    <xf numFmtId="0" fontId="216" fillId="59" borderId="83" applyNumberFormat="0" applyAlignment="0" applyProtection="0">
      <alignment vertical="center"/>
    </xf>
    <xf numFmtId="0" fontId="216" fillId="59" borderId="83" applyNumberFormat="0" applyAlignment="0" applyProtection="0">
      <alignment vertical="center"/>
    </xf>
    <xf numFmtId="0" fontId="216" fillId="59" borderId="83" applyNumberFormat="0" applyAlignment="0" applyProtection="0">
      <alignment vertical="center"/>
    </xf>
    <xf numFmtId="0" fontId="216" fillId="59" borderId="83" applyNumberFormat="0" applyAlignment="0" applyProtection="0">
      <alignment vertical="center"/>
    </xf>
    <xf numFmtId="0" fontId="216" fillId="59" borderId="83" applyNumberFormat="0" applyAlignment="0" applyProtection="0">
      <alignment vertical="center"/>
    </xf>
    <xf numFmtId="0" fontId="216" fillId="59" borderId="83" applyNumberFormat="0" applyAlignment="0" applyProtection="0">
      <alignment vertical="center"/>
    </xf>
    <xf numFmtId="0" fontId="216" fillId="59" borderId="83" applyNumberFormat="0" applyAlignment="0" applyProtection="0">
      <alignment vertical="center"/>
    </xf>
    <xf numFmtId="0" fontId="216" fillId="59" borderId="83" applyNumberFormat="0" applyAlignment="0" applyProtection="0">
      <alignment vertical="center"/>
    </xf>
    <xf numFmtId="0" fontId="216" fillId="59" borderId="83" applyNumberFormat="0" applyAlignment="0" applyProtection="0">
      <alignment vertical="center"/>
    </xf>
    <xf numFmtId="0" fontId="216" fillId="59" borderId="83" applyNumberFormat="0" applyAlignment="0" applyProtection="0">
      <alignment vertical="center"/>
    </xf>
    <xf numFmtId="0" fontId="216" fillId="59" borderId="83" applyNumberFormat="0" applyAlignment="0" applyProtection="0">
      <alignment vertical="center"/>
    </xf>
    <xf numFmtId="0" fontId="216" fillId="59" borderId="83" applyNumberFormat="0" applyAlignment="0" applyProtection="0">
      <alignment vertical="center"/>
    </xf>
    <xf numFmtId="0" fontId="216" fillId="59" borderId="83" applyNumberFormat="0" applyAlignment="0" applyProtection="0">
      <alignment vertical="center"/>
    </xf>
    <xf numFmtId="177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0" fillId="0" borderId="87" applyNumberFormat="0" applyFont="0" applyFill="0" applyProtection="0">
      <alignment horizontal="center" vertical="center" wrapText="1"/>
    </xf>
    <xf numFmtId="0" fontId="20" fillId="0" borderId="87" applyNumberFormat="0" applyFont="0" applyFill="0" applyProtection="0">
      <alignment horizontal="center" vertical="center" wrapText="1"/>
    </xf>
    <xf numFmtId="0" fontId="20" fillId="0" borderId="87" applyNumberFormat="0" applyFont="0" applyFill="0" applyProtection="0">
      <alignment horizontal="center" vertical="center" wrapText="1"/>
    </xf>
    <xf numFmtId="0" fontId="20" fillId="0" borderId="87" applyNumberFormat="0" applyFont="0" applyFill="0" applyProtection="0">
      <alignment horizontal="center" vertical="center" wrapText="1"/>
    </xf>
    <xf numFmtId="0" fontId="20" fillId="0" borderId="87" applyNumberFormat="0" applyFont="0" applyFill="0" applyProtection="0">
      <alignment horizontal="center" vertical="center" wrapText="1"/>
    </xf>
    <xf numFmtId="0" fontId="20" fillId="0" borderId="87" applyNumberFormat="0" applyFont="0" applyFill="0" applyProtection="0">
      <alignment horizontal="center" vertical="center" wrapText="1"/>
    </xf>
    <xf numFmtId="0" fontId="20" fillId="0" borderId="87" applyNumberFormat="0" applyFont="0" applyFill="0" applyProtection="0">
      <alignment horizontal="center" vertical="center" wrapText="1"/>
    </xf>
    <xf numFmtId="0" fontId="20" fillId="0" borderId="87" applyNumberFormat="0" applyFont="0" applyFill="0" applyProtection="0">
      <alignment horizontal="center" vertical="center" wrapText="1"/>
    </xf>
    <xf numFmtId="0" fontId="20" fillId="0" borderId="87" applyNumberFormat="0" applyFont="0" applyFill="0" applyProtection="0">
      <alignment horizontal="center" vertical="center" wrapText="1"/>
    </xf>
    <xf numFmtId="0" fontId="20" fillId="0" borderId="87" applyNumberFormat="0" applyFont="0" applyFill="0" applyProtection="0">
      <alignment horizontal="center" vertical="center" wrapText="1"/>
    </xf>
    <xf numFmtId="0" fontId="20" fillId="0" borderId="87" applyNumberFormat="0" applyFont="0" applyFill="0" applyProtection="0">
      <alignment horizontal="center" vertical="center" wrapText="1"/>
    </xf>
    <xf numFmtId="0" fontId="20" fillId="0" borderId="87" applyNumberFormat="0" applyFont="0" applyFill="0" applyProtection="0">
      <alignment horizontal="center" vertical="center" wrapText="1"/>
    </xf>
    <xf numFmtId="0" fontId="20" fillId="0" borderId="87" applyNumberFormat="0" applyFont="0" applyFill="0" applyProtection="0">
      <alignment horizontal="center" vertical="center" wrapText="1"/>
    </xf>
    <xf numFmtId="0" fontId="20" fillId="0" borderId="87" applyNumberFormat="0" applyFont="0" applyFill="0" applyProtection="0">
      <alignment horizontal="center" vertical="center" wrapText="1"/>
    </xf>
    <xf numFmtId="0" fontId="20" fillId="0" borderId="87" applyNumberFormat="0" applyFont="0" applyFill="0" applyProtection="0">
      <alignment horizontal="center" vertical="center" wrapText="1"/>
    </xf>
    <xf numFmtId="0" fontId="20" fillId="0" borderId="87" applyNumberFormat="0" applyFont="0" applyFill="0" applyProtection="0">
      <alignment horizontal="center" vertical="center" wrapText="1"/>
    </xf>
    <xf numFmtId="0" fontId="20" fillId="0" borderId="87" applyNumberFormat="0" applyFont="0" applyFill="0" applyProtection="0">
      <alignment horizontal="center" vertical="center" wrapText="1"/>
    </xf>
    <xf numFmtId="0" fontId="20" fillId="0" borderId="87" applyNumberFormat="0" applyFont="0" applyFill="0" applyProtection="0">
      <alignment horizontal="center" vertical="center" wrapText="1"/>
    </xf>
    <xf numFmtId="0" fontId="20" fillId="0" borderId="87" applyNumberFormat="0" applyFont="0" applyFill="0" applyProtection="0">
      <alignment horizontal="center" vertical="center" wrapText="1"/>
    </xf>
    <xf numFmtId="0" fontId="20" fillId="0" borderId="87" applyNumberFormat="0" applyFont="0" applyFill="0" applyProtection="0">
      <alignment horizontal="center" vertical="center" wrapText="1"/>
    </xf>
    <xf numFmtId="0" fontId="20" fillId="0" borderId="87" applyNumberFormat="0" applyFont="0" applyFill="0" applyProtection="0">
      <alignment horizontal="center" vertical="center" wrapText="1"/>
    </xf>
    <xf numFmtId="0" fontId="20" fillId="0" borderId="87" applyNumberFormat="0" applyFont="0" applyFill="0" applyProtection="0">
      <alignment horizontal="center" vertical="center" wrapText="1"/>
    </xf>
    <xf numFmtId="0" fontId="20" fillId="0" borderId="87" applyNumberFormat="0" applyFont="0" applyFill="0" applyProtection="0">
      <alignment horizontal="center" vertical="center" wrapText="1"/>
    </xf>
    <xf numFmtId="0" fontId="20" fillId="0" borderId="87" applyNumberFormat="0" applyFont="0" applyFill="0" applyProtection="0">
      <alignment horizontal="center" vertical="center" wrapText="1"/>
    </xf>
    <xf numFmtId="0" fontId="20" fillId="0" borderId="87" applyNumberFormat="0" applyFont="0" applyFill="0" applyProtection="0">
      <alignment horizontal="center" vertical="center" wrapText="1"/>
    </xf>
    <xf numFmtId="0" fontId="20" fillId="0" borderId="87" applyNumberFormat="0" applyFont="0" applyFill="0" applyProtection="0">
      <alignment horizontal="center" vertical="center" wrapText="1"/>
    </xf>
    <xf numFmtId="0" fontId="20" fillId="0" borderId="87" applyNumberFormat="0" applyFont="0" applyFill="0" applyProtection="0">
      <alignment horizontal="center" vertical="center" wrapText="1"/>
    </xf>
    <xf numFmtId="0" fontId="20" fillId="0" borderId="87" applyNumberFormat="0" applyFont="0" applyFill="0" applyProtection="0">
      <alignment horizontal="center" vertical="center" wrapText="1"/>
    </xf>
    <xf numFmtId="0" fontId="20" fillId="0" borderId="87" applyNumberFormat="0" applyFont="0" applyFill="0" applyProtection="0">
      <alignment horizontal="center" vertical="center" wrapText="1"/>
    </xf>
    <xf numFmtId="0" fontId="20" fillId="0" borderId="87" applyNumberFormat="0" applyFont="0" applyFill="0" applyProtection="0">
      <alignment horizontal="center" vertical="center" wrapText="1"/>
    </xf>
    <xf numFmtId="0" fontId="20" fillId="0" borderId="87" applyNumberFormat="0" applyFont="0" applyFill="0" applyProtection="0">
      <alignment horizontal="center" vertical="center" wrapText="1"/>
    </xf>
    <xf numFmtId="0" fontId="20" fillId="0" borderId="87" applyNumberFormat="0" applyFont="0" applyFill="0" applyProtection="0">
      <alignment horizontal="center" vertical="center" wrapText="1"/>
    </xf>
    <xf numFmtId="0" fontId="20" fillId="0" borderId="87" applyNumberFormat="0" applyFont="0" applyFill="0" applyProtection="0">
      <alignment horizontal="center" vertical="center" wrapText="1"/>
    </xf>
    <xf numFmtId="0" fontId="20" fillId="0" borderId="87" applyNumberFormat="0" applyFont="0" applyFill="0" applyProtection="0">
      <alignment horizontal="center" vertical="center" wrapText="1"/>
    </xf>
    <xf numFmtId="0" fontId="20" fillId="0" borderId="87" applyNumberFormat="0" applyFont="0" applyFill="0" applyProtection="0">
      <alignment horizontal="center" vertical="center" wrapText="1"/>
    </xf>
    <xf numFmtId="0" fontId="20" fillId="0" borderId="87" applyNumberFormat="0" applyFont="0" applyFill="0" applyProtection="0">
      <alignment horizontal="center" vertical="center" wrapText="1"/>
    </xf>
    <xf numFmtId="0" fontId="20" fillId="0" borderId="87" applyNumberFormat="0" applyFont="0" applyFill="0" applyProtection="0">
      <alignment horizontal="center" vertical="center" wrapText="1"/>
    </xf>
    <xf numFmtId="0" fontId="20" fillId="0" borderId="87" applyNumberFormat="0" applyFont="0" applyFill="0" applyProtection="0">
      <alignment horizontal="center" vertical="center" wrapText="1"/>
    </xf>
    <xf numFmtId="0" fontId="20" fillId="0" borderId="87" applyNumberFormat="0" applyFont="0" applyFill="0" applyProtection="0">
      <alignment horizontal="center" vertical="center" wrapText="1"/>
    </xf>
    <xf numFmtId="0" fontId="20" fillId="0" borderId="87" applyNumberFormat="0" applyFont="0" applyFill="0" applyProtection="0">
      <alignment horizontal="center" vertical="center" wrapText="1"/>
    </xf>
    <xf numFmtId="0" fontId="20" fillId="0" borderId="87" applyNumberFormat="0" applyFont="0" applyFill="0" applyProtection="0">
      <alignment horizontal="center" vertical="center" wrapText="1"/>
    </xf>
    <xf numFmtId="0" fontId="20" fillId="0" borderId="87" applyNumberFormat="0" applyFont="0" applyFill="0" applyProtection="0">
      <alignment horizontal="center" vertical="center" wrapText="1"/>
    </xf>
    <xf numFmtId="0" fontId="20" fillId="0" borderId="87" applyNumberFormat="0" applyFont="0" applyFill="0" applyProtection="0">
      <alignment horizontal="center" vertical="center" wrapText="1"/>
    </xf>
    <xf numFmtId="0" fontId="20" fillId="0" borderId="87" applyNumberFormat="0" applyFont="0" applyFill="0" applyProtection="0">
      <alignment horizontal="center" vertical="center" wrapText="1"/>
    </xf>
    <xf numFmtId="0" fontId="20" fillId="0" borderId="87" applyNumberFormat="0" applyFont="0" applyFill="0" applyProtection="0">
      <alignment horizontal="center" vertical="center" wrapText="1"/>
    </xf>
    <xf numFmtId="0" fontId="20" fillId="0" borderId="87" applyNumberFormat="0" applyFont="0" applyFill="0" applyProtection="0">
      <alignment horizontal="center" vertical="center" wrapText="1"/>
    </xf>
    <xf numFmtId="0" fontId="20" fillId="0" borderId="87" applyNumberFormat="0" applyFont="0" applyFill="0" applyProtection="0">
      <alignment horizontal="center" vertical="center" wrapText="1"/>
    </xf>
    <xf numFmtId="0" fontId="20" fillId="0" borderId="87" applyNumberFormat="0" applyFont="0" applyFill="0" applyProtection="0">
      <alignment horizontal="center" vertical="center" wrapText="1"/>
    </xf>
    <xf numFmtId="0" fontId="20" fillId="0" borderId="87" applyNumberFormat="0" applyFont="0" applyFill="0" applyProtection="0">
      <alignment horizontal="center" vertical="center" wrapText="1"/>
    </xf>
    <xf numFmtId="0" fontId="20" fillId="0" borderId="87" applyNumberFormat="0" applyFont="0" applyFill="0" applyProtection="0">
      <alignment horizontal="center" vertical="center" wrapText="1"/>
    </xf>
    <xf numFmtId="0" fontId="20" fillId="0" borderId="87" applyNumberFormat="0" applyFont="0" applyFill="0" applyProtection="0">
      <alignment horizontal="center" vertical="center" wrapText="1"/>
    </xf>
    <xf numFmtId="0" fontId="20" fillId="0" borderId="87" applyNumberFormat="0" applyFont="0" applyFill="0" applyProtection="0">
      <alignment horizontal="center" vertical="center" wrapText="1"/>
    </xf>
    <xf numFmtId="0" fontId="20" fillId="0" borderId="87" applyNumberFormat="0" applyFont="0" applyFill="0" applyProtection="0">
      <alignment horizontal="center" vertical="center" wrapText="1"/>
    </xf>
    <xf numFmtId="0" fontId="20" fillId="0" borderId="87" applyNumberFormat="0" applyFont="0" applyFill="0" applyProtection="0">
      <alignment horizontal="center" vertical="center" wrapText="1"/>
    </xf>
    <xf numFmtId="0" fontId="20" fillId="0" borderId="87" applyNumberFormat="0" applyFont="0" applyFill="0" applyProtection="0">
      <alignment horizontal="center" vertical="center" wrapText="1"/>
    </xf>
    <xf numFmtId="0" fontId="20" fillId="0" borderId="87" applyNumberFormat="0" applyFont="0" applyFill="0" applyProtection="0">
      <alignment horizontal="center" vertical="center" wrapText="1"/>
    </xf>
    <xf numFmtId="0" fontId="20" fillId="0" borderId="87" applyNumberFormat="0" applyFont="0" applyFill="0" applyProtection="0">
      <alignment horizontal="center" vertical="center" wrapText="1"/>
    </xf>
    <xf numFmtId="0" fontId="20" fillId="0" borderId="87" applyNumberFormat="0" applyFont="0" applyFill="0" applyProtection="0">
      <alignment horizontal="center" vertical="center" wrapText="1"/>
    </xf>
    <xf numFmtId="0" fontId="20" fillId="0" borderId="87" applyNumberFormat="0" applyFont="0" applyFill="0" applyProtection="0">
      <alignment horizontal="center" vertical="center" wrapText="1"/>
    </xf>
    <xf numFmtId="0" fontId="20" fillId="0" borderId="87" applyNumberFormat="0" applyFont="0" applyFill="0" applyProtection="0">
      <alignment horizontal="center" vertical="center" wrapText="1"/>
    </xf>
    <xf numFmtId="0" fontId="229" fillId="0" borderId="89" applyNumberFormat="0" applyFill="0" applyAlignment="0" applyProtection="0">
      <alignment vertical="center"/>
    </xf>
    <xf numFmtId="0" fontId="229" fillId="0" borderId="89" applyNumberFormat="0" applyFill="0" applyAlignment="0" applyProtection="0">
      <alignment vertical="center"/>
    </xf>
    <xf numFmtId="0" fontId="229" fillId="0" borderId="89" applyNumberFormat="0" applyFill="0" applyAlignment="0" applyProtection="0">
      <alignment vertical="center"/>
    </xf>
    <xf numFmtId="0" fontId="229" fillId="0" borderId="89" applyNumberFormat="0" applyFill="0" applyAlignment="0" applyProtection="0">
      <alignment vertical="center"/>
    </xf>
    <xf numFmtId="0" fontId="229" fillId="0" borderId="89" applyNumberFormat="0" applyFill="0" applyAlignment="0" applyProtection="0">
      <alignment vertical="center"/>
    </xf>
    <xf numFmtId="0" fontId="229" fillId="0" borderId="89" applyNumberFormat="0" applyFill="0" applyAlignment="0" applyProtection="0">
      <alignment vertical="center"/>
    </xf>
    <xf numFmtId="0" fontId="229" fillId="0" borderId="89" applyNumberFormat="0" applyFill="0" applyAlignment="0" applyProtection="0">
      <alignment vertical="center"/>
    </xf>
    <xf numFmtId="0" fontId="229" fillId="0" borderId="89" applyNumberFormat="0" applyFill="0" applyAlignment="0" applyProtection="0">
      <alignment vertical="center"/>
    </xf>
    <xf numFmtId="0" fontId="229" fillId="0" borderId="89" applyNumberFormat="0" applyFill="0" applyAlignment="0" applyProtection="0">
      <alignment vertical="center"/>
    </xf>
    <xf numFmtId="0" fontId="229" fillId="0" borderId="89" applyNumberFormat="0" applyFill="0" applyAlignment="0" applyProtection="0">
      <alignment vertical="center"/>
    </xf>
    <xf numFmtId="0" fontId="229" fillId="0" borderId="89" applyNumberFormat="0" applyFill="0" applyAlignment="0" applyProtection="0">
      <alignment vertical="center"/>
    </xf>
    <xf numFmtId="0" fontId="229" fillId="0" borderId="89" applyNumberFormat="0" applyFill="0" applyAlignment="0" applyProtection="0">
      <alignment vertical="center"/>
    </xf>
    <xf numFmtId="0" fontId="229" fillId="0" borderId="89" applyNumberFormat="0" applyFill="0" applyAlignment="0" applyProtection="0">
      <alignment vertical="center"/>
    </xf>
    <xf numFmtId="0" fontId="229" fillId="0" borderId="89" applyNumberFormat="0" applyFill="0" applyAlignment="0" applyProtection="0">
      <alignment vertical="center"/>
    </xf>
    <xf numFmtId="0" fontId="229" fillId="0" borderId="89" applyNumberFormat="0" applyFill="0" applyAlignment="0" applyProtection="0">
      <alignment vertical="center"/>
    </xf>
    <xf numFmtId="0" fontId="229" fillId="0" borderId="89" applyNumberFormat="0" applyFill="0" applyAlignment="0" applyProtection="0">
      <alignment vertical="center"/>
    </xf>
    <xf numFmtId="0" fontId="229" fillId="0" borderId="89" applyNumberFormat="0" applyFill="0" applyAlignment="0" applyProtection="0">
      <alignment vertical="center"/>
    </xf>
    <xf numFmtId="0" fontId="229" fillId="0" borderId="89" applyNumberFormat="0" applyFill="0" applyAlignment="0" applyProtection="0">
      <alignment vertical="center"/>
    </xf>
    <xf numFmtId="0" fontId="229" fillId="0" borderId="89" applyNumberFormat="0" applyFill="0" applyAlignment="0" applyProtection="0">
      <alignment vertical="center"/>
    </xf>
    <xf numFmtId="0" fontId="229" fillId="0" borderId="89" applyNumberFormat="0" applyFill="0" applyAlignment="0" applyProtection="0">
      <alignment vertical="center"/>
    </xf>
    <xf numFmtId="0" fontId="229" fillId="0" borderId="89" applyNumberFormat="0" applyFill="0" applyAlignment="0" applyProtection="0">
      <alignment vertical="center"/>
    </xf>
    <xf numFmtId="0" fontId="229" fillId="0" borderId="89" applyNumberFormat="0" applyFill="0" applyAlignment="0" applyProtection="0">
      <alignment vertical="center"/>
    </xf>
    <xf numFmtId="0" fontId="229" fillId="0" borderId="89" applyNumberFormat="0" applyFill="0" applyAlignment="0" applyProtection="0">
      <alignment vertical="center"/>
    </xf>
    <xf numFmtId="0" fontId="229" fillId="0" borderId="89" applyNumberFormat="0" applyFill="0" applyAlignment="0" applyProtection="0">
      <alignment vertical="center"/>
    </xf>
    <xf numFmtId="0" fontId="229" fillId="0" borderId="89" applyNumberFormat="0" applyFill="0" applyAlignment="0" applyProtection="0">
      <alignment vertical="center"/>
    </xf>
    <xf numFmtId="0" fontId="229" fillId="0" borderId="89" applyNumberFormat="0" applyFill="0" applyAlignment="0" applyProtection="0">
      <alignment vertical="center"/>
    </xf>
    <xf numFmtId="0" fontId="229" fillId="0" borderId="89" applyNumberFormat="0" applyFill="0" applyAlignment="0" applyProtection="0">
      <alignment vertical="center"/>
    </xf>
    <xf numFmtId="0" fontId="229" fillId="0" borderId="89" applyNumberFormat="0" applyFill="0" applyAlignment="0" applyProtection="0">
      <alignment vertical="center"/>
    </xf>
    <xf numFmtId="0" fontId="229" fillId="0" borderId="89" applyNumberFormat="0" applyFill="0" applyAlignment="0" applyProtection="0">
      <alignment vertical="center"/>
    </xf>
    <xf numFmtId="0" fontId="229" fillId="0" borderId="89" applyNumberFormat="0" applyFill="0" applyAlignment="0" applyProtection="0">
      <alignment vertical="center"/>
    </xf>
    <xf numFmtId="0" fontId="229" fillId="0" borderId="89" applyNumberFormat="0" applyFill="0" applyAlignment="0" applyProtection="0">
      <alignment vertical="center"/>
    </xf>
    <xf numFmtId="0" fontId="229" fillId="0" borderId="89" applyNumberFormat="0" applyFill="0" applyAlignment="0" applyProtection="0">
      <alignment vertical="center"/>
    </xf>
    <xf numFmtId="0" fontId="229" fillId="0" borderId="89" applyNumberFormat="0" applyFill="0" applyAlignment="0" applyProtection="0">
      <alignment vertical="center"/>
    </xf>
    <xf numFmtId="0" fontId="229" fillId="0" borderId="89" applyNumberFormat="0" applyFill="0" applyAlignment="0" applyProtection="0">
      <alignment vertical="center"/>
    </xf>
    <xf numFmtId="0" fontId="229" fillId="0" borderId="89" applyNumberFormat="0" applyFill="0" applyAlignment="0" applyProtection="0">
      <alignment vertical="center"/>
    </xf>
    <xf numFmtId="0" fontId="229" fillId="0" borderId="89" applyNumberFormat="0" applyFill="0" applyAlignment="0" applyProtection="0">
      <alignment vertical="center"/>
    </xf>
    <xf numFmtId="0" fontId="229" fillId="0" borderId="89" applyNumberFormat="0" applyFill="0" applyAlignment="0" applyProtection="0">
      <alignment vertical="center"/>
    </xf>
    <xf numFmtId="0" fontId="229" fillId="0" borderId="89" applyNumberFormat="0" applyFill="0" applyAlignment="0" applyProtection="0">
      <alignment vertical="center"/>
    </xf>
    <xf numFmtId="0" fontId="229" fillId="0" borderId="89" applyNumberFormat="0" applyFill="0" applyAlignment="0" applyProtection="0">
      <alignment vertical="center"/>
    </xf>
    <xf numFmtId="0" fontId="229" fillId="0" borderId="89" applyNumberFormat="0" applyFill="0" applyAlignment="0" applyProtection="0">
      <alignment vertical="center"/>
    </xf>
    <xf numFmtId="0" fontId="229" fillId="0" borderId="89" applyNumberFormat="0" applyFill="0" applyAlignment="0" applyProtection="0">
      <alignment vertical="center"/>
    </xf>
    <xf numFmtId="0" fontId="229" fillId="0" borderId="89" applyNumberFormat="0" applyFill="0" applyAlignment="0" applyProtection="0">
      <alignment vertical="center"/>
    </xf>
    <xf numFmtId="0" fontId="229" fillId="0" borderId="89" applyNumberFormat="0" applyFill="0" applyAlignment="0" applyProtection="0">
      <alignment vertical="center"/>
    </xf>
    <xf numFmtId="0" fontId="229" fillId="0" borderId="89" applyNumberFormat="0" applyFill="0" applyAlignment="0" applyProtection="0">
      <alignment vertical="center"/>
    </xf>
    <xf numFmtId="0" fontId="229" fillId="0" borderId="89" applyNumberFormat="0" applyFill="0" applyAlignment="0" applyProtection="0">
      <alignment vertical="center"/>
    </xf>
    <xf numFmtId="0" fontId="229" fillId="0" borderId="89" applyNumberFormat="0" applyFill="0" applyAlignment="0" applyProtection="0">
      <alignment vertical="center"/>
    </xf>
    <xf numFmtId="0" fontId="229" fillId="0" borderId="89" applyNumberFormat="0" applyFill="0" applyAlignment="0" applyProtection="0">
      <alignment vertical="center"/>
    </xf>
    <xf numFmtId="0" fontId="229" fillId="0" borderId="89" applyNumberFormat="0" applyFill="0" applyAlignment="0" applyProtection="0">
      <alignment vertical="center"/>
    </xf>
    <xf numFmtId="0" fontId="229" fillId="0" borderId="89" applyNumberFormat="0" applyFill="0" applyAlignment="0" applyProtection="0">
      <alignment vertical="center"/>
    </xf>
    <xf numFmtId="0" fontId="229" fillId="0" borderId="89" applyNumberFormat="0" applyFill="0" applyAlignment="0" applyProtection="0">
      <alignment vertical="center"/>
    </xf>
    <xf numFmtId="0" fontId="229" fillId="0" borderId="89" applyNumberFormat="0" applyFill="0" applyAlignment="0" applyProtection="0">
      <alignment vertical="center"/>
    </xf>
    <xf numFmtId="0" fontId="229" fillId="0" borderId="89" applyNumberFormat="0" applyFill="0" applyAlignment="0" applyProtection="0">
      <alignment vertical="center"/>
    </xf>
    <xf numFmtId="0" fontId="229" fillId="0" borderId="89" applyNumberFormat="0" applyFill="0" applyAlignment="0" applyProtection="0">
      <alignment vertical="center"/>
    </xf>
    <xf numFmtId="0" fontId="229" fillId="0" borderId="89" applyNumberFormat="0" applyFill="0" applyAlignment="0" applyProtection="0">
      <alignment vertical="center"/>
    </xf>
    <xf numFmtId="0" fontId="229" fillId="0" borderId="89" applyNumberFormat="0" applyFill="0" applyAlignment="0" applyProtection="0">
      <alignment vertical="center"/>
    </xf>
    <xf numFmtId="0" fontId="229" fillId="0" borderId="89" applyNumberFormat="0" applyFill="0" applyAlignment="0" applyProtection="0">
      <alignment vertical="center"/>
    </xf>
    <xf numFmtId="0" fontId="229" fillId="0" borderId="89" applyNumberFormat="0" applyFill="0" applyAlignment="0" applyProtection="0">
      <alignment vertical="center"/>
    </xf>
    <xf numFmtId="0" fontId="229" fillId="0" borderId="89" applyNumberFormat="0" applyFill="0" applyAlignment="0" applyProtection="0">
      <alignment vertical="center"/>
    </xf>
    <xf numFmtId="0" fontId="229" fillId="0" borderId="89" applyNumberFormat="0" applyFill="0" applyAlignment="0" applyProtection="0">
      <alignment vertical="center"/>
    </xf>
    <xf numFmtId="0" fontId="229" fillId="0" borderId="89" applyNumberFormat="0" applyFill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/>
    <xf numFmtId="0" fontId="268" fillId="0" borderId="0" applyNumberFormat="0" applyFill="0" applyBorder="0" applyAlignment="0" applyProtection="0"/>
    <xf numFmtId="177" fontId="5" fillId="0" borderId="0" applyFont="0" applyFill="0" applyBorder="0" applyAlignment="0" applyProtection="0">
      <alignment vertical="center"/>
    </xf>
  </cellStyleXfs>
  <cellXfs count="984">
    <xf numFmtId="0" fontId="0" fillId="0" borderId="0" xfId="0"/>
    <xf numFmtId="0" fontId="11" fillId="7" borderId="0" xfId="327" applyFont="1" applyFill="1" applyBorder="1" applyAlignment="1">
      <alignment vertical="center"/>
    </xf>
    <xf numFmtId="0" fontId="11" fillId="7" borderId="0" xfId="0" applyFont="1" applyFill="1" applyAlignment="1">
      <alignment horizontal="left"/>
    </xf>
    <xf numFmtId="0" fontId="11" fillId="7" borderId="0" xfId="0" applyFont="1" applyFill="1" applyAlignment="1">
      <alignment horizontal="center"/>
    </xf>
    <xf numFmtId="0" fontId="11" fillId="7" borderId="0" xfId="313" applyFont="1" applyFill="1"/>
    <xf numFmtId="0" fontId="11" fillId="7" borderId="0" xfId="0" applyFont="1" applyFill="1"/>
    <xf numFmtId="0" fontId="11" fillId="0" borderId="0" xfId="0" applyFont="1" applyFill="1"/>
    <xf numFmtId="0" fontId="11" fillId="7" borderId="0" xfId="0" applyFont="1" applyFill="1" applyAlignment="1">
      <alignment vertical="center"/>
    </xf>
    <xf numFmtId="0" fontId="15" fillId="7" borderId="0" xfId="0" applyFont="1" applyFill="1" applyAlignment="1">
      <alignment vertical="center"/>
    </xf>
    <xf numFmtId="0" fontId="11" fillId="7" borderId="0" xfId="0" applyFont="1" applyFill="1" applyAlignment="1">
      <alignment horizontal="left" vertical="center"/>
    </xf>
    <xf numFmtId="0" fontId="11" fillId="7" borderId="0" xfId="313" applyFont="1" applyFill="1" applyAlignment="1">
      <alignment vertical="center"/>
    </xf>
    <xf numFmtId="0" fontId="231" fillId="0" borderId="0" xfId="327" applyFont="1" applyFill="1" applyBorder="1" applyAlignment="1">
      <alignment vertical="center"/>
    </xf>
    <xf numFmtId="0" fontId="11" fillId="7" borderId="0" xfId="0" applyFont="1" applyFill="1" applyAlignment="1">
      <alignment horizontal="center" vertical="center"/>
    </xf>
    <xf numFmtId="0" fontId="234" fillId="7" borderId="0" xfId="327" applyFont="1" applyFill="1" applyBorder="1" applyAlignment="1">
      <alignment vertical="center"/>
    </xf>
    <xf numFmtId="0" fontId="11" fillId="0" borderId="0" xfId="0" applyFont="1"/>
    <xf numFmtId="0" fontId="12" fillId="0" borderId="0" xfId="0" applyFont="1"/>
    <xf numFmtId="0" fontId="15" fillId="0" borderId="0" xfId="0" applyFont="1"/>
    <xf numFmtId="0" fontId="12" fillId="0" borderId="0" xfId="0" applyFont="1" applyAlignment="1">
      <alignment horizontal="left"/>
    </xf>
    <xf numFmtId="0" fontId="12" fillId="0" borderId="0" xfId="0" applyFont="1" applyAlignment="1">
      <alignment horizontal="right"/>
    </xf>
    <xf numFmtId="0" fontId="11" fillId="0" borderId="68" xfId="0" applyFont="1" applyBorder="1" applyAlignment="1">
      <alignment horizontal="center" vertical="center" wrapText="1"/>
    </xf>
    <xf numFmtId="0" fontId="231" fillId="0" borderId="75" xfId="0" applyFont="1" applyBorder="1" applyAlignment="1">
      <alignment horizontal="center" vertical="center" wrapText="1"/>
    </xf>
    <xf numFmtId="0" fontId="231" fillId="0" borderId="97" xfId="0" applyFont="1" applyBorder="1" applyAlignment="1">
      <alignment horizontal="center" vertical="center" wrapText="1"/>
    </xf>
    <xf numFmtId="0" fontId="11" fillId="0" borderId="97" xfId="0" applyFont="1" applyBorder="1" applyAlignment="1">
      <alignment horizontal="center" vertical="center" wrapText="1"/>
    </xf>
    <xf numFmtId="0" fontId="11" fillId="0" borderId="24" xfId="0" applyFont="1" applyBorder="1" applyAlignment="1">
      <alignment horizontal="center" vertical="center" wrapText="1"/>
    </xf>
    <xf numFmtId="0" fontId="11" fillId="0" borderId="25" xfId="0" applyFont="1" applyBorder="1" applyAlignment="1">
      <alignment horizontal="left" vertical="center" wrapText="1"/>
    </xf>
    <xf numFmtId="180" fontId="11" fillId="0" borderId="25" xfId="0" applyNumberFormat="1" applyFont="1" applyBorder="1" applyAlignment="1">
      <alignment vertical="center" wrapText="1"/>
    </xf>
    <xf numFmtId="0" fontId="11" fillId="0" borderId="27" xfId="0" applyFont="1" applyBorder="1" applyAlignment="1">
      <alignment horizontal="center" vertical="center" wrapText="1"/>
    </xf>
    <xf numFmtId="0" fontId="11" fillId="0" borderId="68" xfId="0" applyFont="1" applyBorder="1" applyAlignment="1">
      <alignment vertical="center" wrapText="1"/>
    </xf>
    <xf numFmtId="0" fontId="235" fillId="0" borderId="0" xfId="0" applyFont="1"/>
    <xf numFmtId="0" fontId="232" fillId="0" borderId="0" xfId="0" applyFont="1"/>
    <xf numFmtId="0" fontId="231" fillId="0" borderId="0" xfId="0" applyFont="1"/>
    <xf numFmtId="0" fontId="237" fillId="0" borderId="0" xfId="0" applyFont="1"/>
    <xf numFmtId="0" fontId="78" fillId="7" borderId="0" xfId="327" applyFont="1" applyFill="1" applyBorder="1" applyAlignment="1">
      <alignment horizontal="center" vertical="center"/>
    </xf>
    <xf numFmtId="0" fontId="232" fillId="0" borderId="60" xfId="327" applyFont="1" applyBorder="1" applyAlignment="1">
      <alignment horizontal="center" vertical="center"/>
    </xf>
    <xf numFmtId="0" fontId="230" fillId="0" borderId="60" xfId="327" applyFont="1" applyBorder="1" applyAlignment="1">
      <alignment vertical="center" wrapText="1"/>
    </xf>
    <xf numFmtId="0" fontId="230" fillId="0" borderId="60" xfId="327" applyFont="1" applyBorder="1" applyAlignment="1">
      <alignment horizontal="center" vertical="center"/>
    </xf>
    <xf numFmtId="0" fontId="231" fillId="0" borderId="0" xfId="327" applyFont="1">
      <alignment vertical="center"/>
    </xf>
    <xf numFmtId="0" fontId="234" fillId="0" borderId="0" xfId="0" applyFont="1"/>
    <xf numFmtId="0" fontId="74" fillId="0" borderId="0" xfId="5728" applyFont="1" applyAlignment="1">
      <alignment horizontal="left" vertical="center"/>
    </xf>
    <xf numFmtId="0" fontId="74" fillId="0" borderId="0" xfId="5728" applyFont="1">
      <alignment vertical="center"/>
    </xf>
    <xf numFmtId="0" fontId="74" fillId="0" borderId="0" xfId="5728" applyFont="1" applyAlignment="1">
      <alignment vertical="center" wrapText="1"/>
    </xf>
    <xf numFmtId="0" fontId="238" fillId="0" borderId="0" xfId="5729" applyFont="1">
      <alignment vertical="center"/>
    </xf>
    <xf numFmtId="0" fontId="15" fillId="0" borderId="0" xfId="0" applyFont="1" applyAlignment="1">
      <alignment horizontal="left"/>
    </xf>
    <xf numFmtId="0" fontId="15" fillId="0" borderId="0" xfId="0" applyFont="1" applyAlignment="1">
      <alignment horizontal="center"/>
    </xf>
    <xf numFmtId="0" fontId="11" fillId="0" borderId="0" xfId="0" applyFont="1" applyAlignment="1">
      <alignment horizontal="left"/>
    </xf>
    <xf numFmtId="0" fontId="11" fillId="0" borderId="0" xfId="0" applyFont="1" applyAlignment="1">
      <alignment horizontal="right"/>
    </xf>
    <xf numFmtId="0" fontId="11" fillId="0" borderId="0" xfId="0" applyFont="1" applyAlignment="1">
      <alignment horizontal="center"/>
    </xf>
    <xf numFmtId="0" fontId="11" fillId="0" borderId="60" xfId="0" applyFont="1" applyBorder="1" applyAlignment="1">
      <alignment horizontal="center"/>
    </xf>
    <xf numFmtId="0" fontId="11" fillId="0" borderId="60" xfId="0" applyFont="1" applyBorder="1" applyAlignment="1">
      <alignment horizontal="center" vertical="center" wrapText="1"/>
    </xf>
    <xf numFmtId="177" fontId="11" fillId="0" borderId="60" xfId="294" applyFont="1" applyFill="1" applyBorder="1" applyAlignment="1">
      <alignment horizontal="center"/>
    </xf>
    <xf numFmtId="177" fontId="11" fillId="0" borderId="60" xfId="294" applyFont="1" applyFill="1" applyBorder="1" applyAlignment="1">
      <alignment horizontal="center" wrapText="1"/>
    </xf>
    <xf numFmtId="177" fontId="11" fillId="0" borderId="60" xfId="294" applyFont="1" applyFill="1" applyBorder="1" applyAlignment="1">
      <alignment vertical="center"/>
    </xf>
    <xf numFmtId="177" fontId="11" fillId="0" borderId="73" xfId="294" applyFont="1" applyFill="1" applyBorder="1" applyAlignment="1">
      <alignment vertical="center"/>
    </xf>
    <xf numFmtId="0" fontId="11" fillId="0" borderId="60" xfId="0" applyFont="1" applyBorder="1" applyAlignment="1">
      <alignment horizontal="center" vertical="center"/>
    </xf>
    <xf numFmtId="0" fontId="11" fillId="0" borderId="93" xfId="0" applyFont="1" applyBorder="1" applyAlignment="1">
      <alignment horizontal="center" vertical="center"/>
    </xf>
    <xf numFmtId="177" fontId="11" fillId="0" borderId="93" xfId="294" applyFont="1" applyFill="1" applyBorder="1" applyAlignment="1">
      <alignment vertical="center"/>
    </xf>
    <xf numFmtId="177" fontId="11" fillId="0" borderId="93" xfId="294" applyFont="1" applyFill="1" applyBorder="1" applyAlignment="1">
      <alignment horizontal="right" vertical="center"/>
    </xf>
    <xf numFmtId="177" fontId="11" fillId="0" borderId="99" xfId="294" applyFont="1" applyFill="1" applyBorder="1" applyAlignment="1">
      <alignment vertical="center"/>
    </xf>
    <xf numFmtId="0" fontId="11" fillId="0" borderId="0" xfId="0" applyFont="1" applyAlignment="1">
      <alignment horizontal="left" vertical="center"/>
    </xf>
    <xf numFmtId="0" fontId="11" fillId="0" borderId="0" xfId="0" applyFont="1" applyAlignment="1">
      <alignment horizontal="left" vertical="center" wrapText="1"/>
    </xf>
    <xf numFmtId="0" fontId="11" fillId="0" borderId="0" xfId="0" applyFont="1" applyAlignment="1">
      <alignment horizontal="center" wrapText="1"/>
    </xf>
    <xf numFmtId="0" fontId="11" fillId="0" borderId="0" xfId="0" applyFont="1" applyAlignment="1">
      <alignment wrapText="1"/>
    </xf>
    <xf numFmtId="0" fontId="240" fillId="0" borderId="0" xfId="0" applyFont="1"/>
    <xf numFmtId="0" fontId="15" fillId="7" borderId="0" xfId="0" applyFont="1" applyFill="1"/>
    <xf numFmtId="0" fontId="11" fillId="7" borderId="0" xfId="0" applyFont="1" applyFill="1" applyAlignment="1">
      <alignment horizontal="right"/>
    </xf>
    <xf numFmtId="0" fontId="11" fillId="7" borderId="94" xfId="0" applyFont="1" applyFill="1" applyBorder="1" applyAlignment="1">
      <alignment horizontal="center" vertical="center"/>
    </xf>
    <xf numFmtId="0" fontId="11" fillId="7" borderId="60" xfId="0" applyFont="1" applyFill="1" applyBorder="1" applyAlignment="1">
      <alignment horizontal="center" vertical="center"/>
    </xf>
    <xf numFmtId="0" fontId="11" fillId="7" borderId="60" xfId="0" applyFont="1" applyFill="1" applyBorder="1" applyAlignment="1">
      <alignment horizontal="center" vertical="center"/>
    </xf>
    <xf numFmtId="0" fontId="11" fillId="7" borderId="60" xfId="0" applyFont="1" applyFill="1" applyBorder="1" applyAlignment="1">
      <alignment horizontal="center" vertical="center" wrapText="1"/>
    </xf>
    <xf numFmtId="0" fontId="11" fillId="7" borderId="93" xfId="0" applyFont="1" applyFill="1" applyBorder="1" applyAlignment="1">
      <alignment horizontal="center" vertical="center" wrapText="1"/>
    </xf>
    <xf numFmtId="180" fontId="11" fillId="7" borderId="30" xfId="0" applyNumberFormat="1" applyFont="1" applyFill="1" applyBorder="1" applyAlignment="1">
      <alignment vertical="center"/>
    </xf>
    <xf numFmtId="180" fontId="11" fillId="7" borderId="73" xfId="0" applyNumberFormat="1" applyFont="1" applyFill="1" applyBorder="1" applyAlignment="1">
      <alignment vertical="center"/>
    </xf>
    <xf numFmtId="0" fontId="11" fillId="7" borderId="20" xfId="0" applyFont="1" applyFill="1" applyBorder="1" applyAlignment="1">
      <alignment horizontal="center" vertical="center"/>
    </xf>
    <xf numFmtId="0" fontId="11" fillId="7" borderId="73" xfId="0" applyFont="1" applyFill="1" applyBorder="1" applyAlignment="1">
      <alignment horizontal="center" vertical="center"/>
    </xf>
    <xf numFmtId="180" fontId="11" fillId="7" borderId="73" xfId="0" applyNumberFormat="1" applyFont="1" applyFill="1" applyBorder="1" applyAlignment="1">
      <alignment horizontal="center" vertical="center"/>
    </xf>
    <xf numFmtId="0" fontId="234" fillId="7" borderId="0" xfId="0" applyFont="1" applyFill="1" applyAlignment="1">
      <alignment vertical="center"/>
    </xf>
    <xf numFmtId="0" fontId="234" fillId="7" borderId="0" xfId="0" applyFont="1" applyFill="1" applyAlignment="1">
      <alignment horizontal="left" vertical="center"/>
    </xf>
    <xf numFmtId="0" fontId="11" fillId="0" borderId="103" xfId="0" applyFont="1" applyBorder="1" applyAlignment="1">
      <alignment horizontal="center"/>
    </xf>
    <xf numFmtId="0" fontId="11" fillId="0" borderId="104" xfId="0" applyFont="1" applyBorder="1" applyAlignment="1">
      <alignment horizontal="center"/>
    </xf>
    <xf numFmtId="0" fontId="11" fillId="0" borderId="16" xfId="0" applyFont="1" applyBorder="1" applyAlignment="1">
      <alignment horizontal="center"/>
    </xf>
    <xf numFmtId="0" fontId="11" fillId="0" borderId="91" xfId="0" applyFont="1" applyBorder="1" applyAlignment="1">
      <alignment horizontal="center"/>
    </xf>
    <xf numFmtId="0" fontId="11" fillId="0" borderId="15" xfId="0" applyFont="1" applyBorder="1" applyAlignment="1">
      <alignment horizontal="center"/>
    </xf>
    <xf numFmtId="0" fontId="11" fillId="0" borderId="76" xfId="0" applyFont="1" applyBorder="1" applyAlignment="1">
      <alignment horizontal="center"/>
    </xf>
    <xf numFmtId="0" fontId="11" fillId="0" borderId="112" xfId="0" applyFont="1" applyBorder="1" applyAlignment="1">
      <alignment horizontal="center" vertical="center" wrapText="1"/>
    </xf>
    <xf numFmtId="0" fontId="11" fillId="0" borderId="113" xfId="0" applyFont="1" applyBorder="1" applyAlignment="1">
      <alignment horizontal="center" vertical="center" wrapText="1"/>
    </xf>
    <xf numFmtId="0" fontId="11" fillId="0" borderId="114" xfId="0" applyFont="1" applyBorder="1" applyAlignment="1">
      <alignment horizontal="center" vertical="center" wrapText="1"/>
    </xf>
    <xf numFmtId="0" fontId="11" fillId="0" borderId="115" xfId="0" applyFont="1" applyBorder="1" applyAlignment="1">
      <alignment horizontal="center" vertical="center" wrapText="1"/>
    </xf>
    <xf numFmtId="0" fontId="11" fillId="0" borderId="116" xfId="0" applyFont="1" applyBorder="1" applyAlignment="1">
      <alignment horizontal="center" vertical="center" wrapText="1"/>
    </xf>
    <xf numFmtId="0" fontId="11" fillId="0" borderId="79" xfId="0" applyFont="1" applyBorder="1" applyAlignment="1">
      <alignment horizontal="center" vertical="center" wrapText="1"/>
    </xf>
    <xf numFmtId="0" fontId="11" fillId="0" borderId="118" xfId="0" applyFont="1" applyBorder="1"/>
    <xf numFmtId="0" fontId="11" fillId="0" borderId="24" xfId="0" applyFont="1" applyBorder="1"/>
    <xf numFmtId="0" fontId="11" fillId="0" borderId="27" xfId="0" applyFont="1" applyBorder="1"/>
    <xf numFmtId="0" fontId="11" fillId="0" borderId="119" xfId="0" applyFont="1" applyBorder="1"/>
    <xf numFmtId="0" fontId="11" fillId="0" borderId="81" xfId="0" applyFont="1" applyBorder="1"/>
    <xf numFmtId="0" fontId="11" fillId="0" borderId="121" xfId="0" applyFont="1" applyBorder="1"/>
    <xf numFmtId="0" fontId="11" fillId="0" borderId="67" xfId="0" applyFont="1" applyBorder="1"/>
    <xf numFmtId="0" fontId="11" fillId="0" borderId="69" xfId="0" applyFont="1" applyBorder="1"/>
    <xf numFmtId="0" fontId="11" fillId="0" borderId="122" xfId="0" applyFont="1" applyBorder="1"/>
    <xf numFmtId="0" fontId="11" fillId="0" borderId="77" xfId="0" applyFont="1" applyBorder="1"/>
    <xf numFmtId="0" fontId="11" fillId="0" borderId="123" xfId="0" applyFont="1" applyBorder="1"/>
    <xf numFmtId="0" fontId="11" fillId="0" borderId="124" xfId="0" applyFont="1" applyBorder="1"/>
    <xf numFmtId="0" fontId="11" fillId="0" borderId="125" xfId="0" applyFont="1" applyBorder="1"/>
    <xf numFmtId="0" fontId="11" fillId="0" borderId="126" xfId="0" applyFont="1" applyBorder="1"/>
    <xf numFmtId="0" fontId="11" fillId="0" borderId="127" xfId="0" applyFont="1" applyBorder="1"/>
    <xf numFmtId="0" fontId="11" fillId="0" borderId="131" xfId="0" applyFont="1" applyBorder="1"/>
    <xf numFmtId="0" fontId="11" fillId="0" borderId="132" xfId="0" applyFont="1" applyBorder="1"/>
    <xf numFmtId="0" fontId="11" fillId="0" borderId="133" xfId="0" applyFont="1" applyBorder="1"/>
    <xf numFmtId="0" fontId="11" fillId="0" borderId="134" xfId="0" applyFont="1" applyBorder="1"/>
    <xf numFmtId="0" fontId="11" fillId="0" borderId="79" xfId="0" applyFont="1" applyBorder="1"/>
    <xf numFmtId="0" fontId="234" fillId="0" borderId="0" xfId="0" applyFont="1" applyAlignment="1">
      <alignment horizontal="left"/>
    </xf>
    <xf numFmtId="0" fontId="11" fillId="0" borderId="0" xfId="0" applyFont="1" applyAlignment="1">
      <alignment vertical="center"/>
    </xf>
    <xf numFmtId="0" fontId="5" fillId="0" borderId="0" xfId="0" applyFont="1"/>
    <xf numFmtId="0" fontId="11" fillId="7" borderId="103" xfId="0" applyFont="1" applyFill="1" applyBorder="1" applyAlignment="1">
      <alignment horizontal="center"/>
    </xf>
    <xf numFmtId="0" fontId="11" fillId="7" borderId="104" xfId="0" applyFont="1" applyFill="1" applyBorder="1" applyAlignment="1">
      <alignment horizontal="center"/>
    </xf>
    <xf numFmtId="0" fontId="11" fillId="7" borderId="16" xfId="0" applyFont="1" applyFill="1" applyBorder="1" applyAlignment="1">
      <alignment horizontal="center"/>
    </xf>
    <xf numFmtId="0" fontId="11" fillId="7" borderId="76" xfId="0" applyFont="1" applyFill="1" applyBorder="1" applyAlignment="1">
      <alignment horizontal="center"/>
    </xf>
    <xf numFmtId="0" fontId="11" fillId="7" borderId="137" xfId="0" applyFont="1" applyFill="1" applyBorder="1" applyAlignment="1">
      <alignment horizontal="center" wrapText="1"/>
    </xf>
    <xf numFmtId="0" fontId="11" fillId="7" borderId="112" xfId="0" applyFont="1" applyFill="1" applyBorder="1" applyAlignment="1">
      <alignment horizontal="center" wrapText="1"/>
    </xf>
    <xf numFmtId="0" fontId="11" fillId="7" borderId="113" xfId="0" applyFont="1" applyFill="1" applyBorder="1" applyAlignment="1">
      <alignment horizontal="center" wrapText="1"/>
    </xf>
    <xf numFmtId="0" fontId="11" fillId="7" borderId="114" xfId="0" applyFont="1" applyFill="1" applyBorder="1" applyAlignment="1">
      <alignment horizontal="center" wrapText="1"/>
    </xf>
    <xf numFmtId="0" fontId="11" fillId="7" borderId="139" xfId="0" applyFont="1" applyFill="1" applyBorder="1" applyAlignment="1">
      <alignment horizontal="center" wrapText="1"/>
    </xf>
    <xf numFmtId="177" fontId="11" fillId="7" borderId="118" xfId="294" applyFont="1" applyFill="1" applyBorder="1" applyAlignment="1"/>
    <xf numFmtId="177" fontId="11" fillId="7" borderId="24" xfId="294" applyFont="1" applyFill="1" applyBorder="1" applyAlignment="1"/>
    <xf numFmtId="177" fontId="11" fillId="7" borderId="140" xfId="294" applyFont="1" applyFill="1" applyBorder="1" applyAlignment="1"/>
    <xf numFmtId="177" fontId="11" fillId="7" borderId="127" xfId="294" applyFont="1" applyFill="1" applyBorder="1" applyAlignment="1"/>
    <xf numFmtId="177" fontId="11" fillId="7" borderId="124" xfId="294" applyFont="1" applyFill="1" applyBorder="1" applyAlignment="1"/>
    <xf numFmtId="177" fontId="11" fillId="7" borderId="141" xfId="294" applyFont="1" applyFill="1" applyBorder="1" applyAlignment="1"/>
    <xf numFmtId="177" fontId="11" fillId="7" borderId="131" xfId="294" applyFont="1" applyFill="1" applyBorder="1" applyAlignment="1"/>
    <xf numFmtId="177" fontId="11" fillId="7" borderId="132" xfId="294" applyFont="1" applyFill="1" applyBorder="1" applyAlignment="1"/>
    <xf numFmtId="177" fontId="11" fillId="7" borderId="142" xfId="294" applyFont="1" applyFill="1" applyBorder="1" applyAlignment="1"/>
    <xf numFmtId="0" fontId="234" fillId="7" borderId="0" xfId="0" applyFont="1" applyFill="1"/>
    <xf numFmtId="0" fontId="234" fillId="7" borderId="0" xfId="0" applyFont="1" applyFill="1" applyAlignment="1">
      <alignment horizontal="left"/>
    </xf>
    <xf numFmtId="0" fontId="11" fillId="0" borderId="0" xfId="0" applyFont="1" applyAlignment="1">
      <alignment horizontal="left" vertical="center" wrapText="1"/>
    </xf>
    <xf numFmtId="0" fontId="230" fillId="0" borderId="126" xfId="327" applyFont="1" applyBorder="1" applyAlignment="1">
      <alignment horizontal="center" vertical="center"/>
    </xf>
    <xf numFmtId="0" fontId="231" fillId="0" borderId="0" xfId="327" applyFont="1" applyBorder="1" applyAlignment="1">
      <alignment horizontal="center" vertical="center"/>
    </xf>
    <xf numFmtId="0" fontId="230" fillId="0" borderId="0" xfId="327" applyFont="1" applyBorder="1" applyAlignment="1">
      <alignment horizontal="center" vertical="center"/>
    </xf>
    <xf numFmtId="0" fontId="13" fillId="0" borderId="0" xfId="327" applyFont="1" applyBorder="1" applyAlignment="1">
      <alignment horizontal="center" vertical="center"/>
    </xf>
    <xf numFmtId="0" fontId="233" fillId="0" borderId="0" xfId="0" applyFont="1" applyAlignment="1">
      <alignment vertical="center"/>
    </xf>
    <xf numFmtId="0" fontId="231" fillId="0" borderId="0" xfId="0" applyFont="1" applyAlignment="1">
      <alignment vertical="center"/>
    </xf>
    <xf numFmtId="0" fontId="231" fillId="0" borderId="0" xfId="0" applyFont="1" applyAlignment="1">
      <alignment horizontal="right" vertical="center"/>
    </xf>
    <xf numFmtId="0" fontId="231" fillId="0" borderId="60" xfId="0" applyFont="1" applyBorder="1" applyAlignment="1">
      <alignment horizontal="center" vertical="center"/>
    </xf>
    <xf numFmtId="0" fontId="231" fillId="0" borderId="60" xfId="0" applyFont="1" applyBorder="1" applyAlignment="1">
      <alignment horizontal="center" vertical="center" wrapText="1"/>
    </xf>
    <xf numFmtId="0" fontId="231" fillId="0" borderId="60" xfId="0" applyFont="1" applyBorder="1" applyAlignment="1">
      <alignment horizontal="center"/>
    </xf>
    <xf numFmtId="177" fontId="231" fillId="0" borderId="60" xfId="288" applyFont="1" applyFill="1" applyBorder="1"/>
    <xf numFmtId="0" fontId="231" fillId="0" borderId="60" xfId="0" applyFont="1" applyBorder="1" applyAlignment="1">
      <alignment horizontal="left" vertical="center"/>
    </xf>
    <xf numFmtId="0" fontId="231" fillId="0" borderId="60" xfId="0" applyFont="1" applyBorder="1" applyAlignment="1">
      <alignment horizontal="left"/>
    </xf>
    <xf numFmtId="0" fontId="231" fillId="74" borderId="60" xfId="0" applyFont="1" applyFill="1" applyBorder="1" applyAlignment="1">
      <alignment horizontal="center"/>
    </xf>
    <xf numFmtId="0" fontId="231" fillId="0" borderId="60" xfId="0" applyFont="1" applyBorder="1" applyAlignment="1">
      <alignment horizontal="centerContinuous" vertical="center"/>
    </xf>
    <xf numFmtId="177" fontId="231" fillId="0" borderId="60" xfId="288" applyFont="1" applyFill="1" applyBorder="1" applyAlignment="1">
      <alignment vertical="center"/>
    </xf>
    <xf numFmtId="0" fontId="246" fillId="0" borderId="0" xfId="0" applyFont="1" applyAlignment="1">
      <alignment vertical="center"/>
    </xf>
    <xf numFmtId="0" fontId="231" fillId="0" borderId="0" xfId="0" applyFont="1" applyAlignment="1">
      <alignment horizontal="left" indent="1"/>
    </xf>
    <xf numFmtId="0" fontId="246" fillId="0" borderId="0" xfId="334" applyFont="1" applyAlignment="1">
      <alignment vertical="center"/>
    </xf>
    <xf numFmtId="0" fontId="232" fillId="0" borderId="0" xfId="5730" applyFont="1">
      <alignment vertical="center"/>
    </xf>
    <xf numFmtId="0" fontId="231" fillId="0" borderId="0" xfId="5730" applyFont="1">
      <alignment vertical="center"/>
    </xf>
    <xf numFmtId="0" fontId="231" fillId="0" borderId="0" xfId="334" applyFont="1" applyAlignment="1">
      <alignment vertical="center"/>
    </xf>
    <xf numFmtId="177" fontId="81" fillId="0" borderId="60" xfId="288" applyFont="1" applyFill="1" applyBorder="1"/>
    <xf numFmtId="0" fontId="81" fillId="0" borderId="0" xfId="0" applyFont="1"/>
    <xf numFmtId="0" fontId="233" fillId="0" borderId="0" xfId="0" applyFont="1"/>
    <xf numFmtId="0" fontId="233" fillId="0" borderId="0" xfId="0" applyFont="1" applyAlignment="1">
      <alignment horizontal="left"/>
    </xf>
    <xf numFmtId="0" fontId="231" fillId="0" borderId="0" xfId="0" applyFont="1" applyAlignment="1">
      <alignment horizontal="left"/>
    </xf>
    <xf numFmtId="0" fontId="232" fillId="0" borderId="0" xfId="0" applyFont="1" applyAlignment="1">
      <alignment horizontal="left"/>
    </xf>
    <xf numFmtId="0" fontId="232" fillId="0" borderId="0" xfId="0" applyFont="1" applyAlignment="1">
      <alignment horizontal="right"/>
    </xf>
    <xf numFmtId="0" fontId="230" fillId="0" borderId="60" xfId="0" applyFont="1" applyBorder="1" applyAlignment="1">
      <alignment horizontal="center" vertical="center" wrapText="1"/>
    </xf>
    <xf numFmtId="0" fontId="230" fillId="0" borderId="68" xfId="0" applyFont="1" applyBorder="1" applyAlignment="1">
      <alignment horizontal="center" vertical="center" wrapText="1"/>
    </xf>
    <xf numFmtId="0" fontId="230" fillId="0" borderId="25" xfId="0" applyFont="1" applyBorder="1" applyAlignment="1">
      <alignment horizontal="center" vertical="center" wrapText="1"/>
    </xf>
    <xf numFmtId="0" fontId="230" fillId="0" borderId="30" xfId="0" applyFont="1" applyBorder="1" applyAlignment="1">
      <alignment horizontal="center" vertical="center" wrapText="1"/>
    </xf>
    <xf numFmtId="0" fontId="230" fillId="0" borderId="24" xfId="0" applyFont="1" applyBorder="1" applyAlignment="1">
      <alignment horizontal="center" vertical="center" wrapText="1"/>
    </xf>
    <xf numFmtId="0" fontId="231" fillId="0" borderId="25" xfId="0" applyFont="1" applyBorder="1" applyAlignment="1">
      <alignment horizontal="right" vertical="center" wrapText="1"/>
    </xf>
    <xf numFmtId="177" fontId="232" fillId="0" borderId="60" xfId="288" applyFont="1" applyFill="1" applyBorder="1" applyAlignment="1">
      <alignment horizontal="right" vertical="center" wrapText="1"/>
    </xf>
    <xf numFmtId="177" fontId="232" fillId="0" borderId="25" xfId="288" applyFont="1" applyFill="1" applyBorder="1" applyAlignment="1">
      <alignment horizontal="right" vertical="center" wrapText="1"/>
    </xf>
    <xf numFmtId="0" fontId="230" fillId="0" borderId="60" xfId="0" applyFont="1" applyBorder="1" applyAlignment="1">
      <alignment horizontal="left" vertical="center" wrapText="1"/>
    </xf>
    <xf numFmtId="0" fontId="230" fillId="0" borderId="27" xfId="0" applyFont="1" applyBorder="1" applyAlignment="1">
      <alignment horizontal="center" vertical="center" wrapText="1"/>
    </xf>
    <xf numFmtId="177" fontId="231" fillId="0" borderId="60" xfId="288" applyFont="1" applyFill="1" applyBorder="1" applyAlignment="1">
      <alignment horizontal="right" vertical="center" wrapText="1"/>
    </xf>
    <xf numFmtId="0" fontId="231" fillId="0" borderId="25" xfId="0" applyFont="1" applyBorder="1" applyAlignment="1">
      <alignment horizontal="center" vertical="center" wrapText="1"/>
    </xf>
    <xf numFmtId="0" fontId="231" fillId="0" borderId="24" xfId="0" applyFont="1" applyBorder="1" applyAlignment="1">
      <alignment horizontal="right" vertical="center" wrapText="1"/>
    </xf>
    <xf numFmtId="0" fontId="230" fillId="74" borderId="24" xfId="0" applyFont="1" applyFill="1" applyBorder="1" applyAlignment="1">
      <alignment horizontal="center" vertical="center" wrapText="1"/>
    </xf>
    <xf numFmtId="0" fontId="231" fillId="0" borderId="23" xfId="0" applyFont="1" applyBorder="1" applyAlignment="1">
      <alignment horizontal="right" vertical="center" wrapText="1"/>
    </xf>
    <xf numFmtId="0" fontId="231" fillId="0" borderId="70" xfId="0" applyFont="1" applyBorder="1" applyAlignment="1">
      <alignment horizontal="right" vertical="center" wrapText="1"/>
    </xf>
    <xf numFmtId="0" fontId="231" fillId="0" borderId="68" xfId="0" applyFont="1" applyBorder="1" applyAlignment="1">
      <alignment horizontal="right" vertical="center" wrapText="1"/>
    </xf>
    <xf numFmtId="177" fontId="232" fillId="0" borderId="68" xfId="288" applyFont="1" applyFill="1" applyBorder="1" applyAlignment="1">
      <alignment horizontal="right" vertical="center" wrapText="1"/>
    </xf>
    <xf numFmtId="0" fontId="230" fillId="0" borderId="124" xfId="0" applyFont="1" applyBorder="1" applyAlignment="1">
      <alignment horizontal="center" vertical="center" wrapText="1"/>
    </xf>
    <xf numFmtId="0" fontId="231" fillId="0" borderId="68" xfId="0" applyFont="1" applyBorder="1" applyAlignment="1">
      <alignment horizontal="center" vertical="center" wrapText="1"/>
    </xf>
    <xf numFmtId="0" fontId="232" fillId="0" borderId="25" xfId="0" applyFont="1" applyBorder="1" applyAlignment="1">
      <alignment horizontal="justify" vertical="center" wrapText="1"/>
    </xf>
    <xf numFmtId="177" fontId="231" fillId="0" borderId="25" xfId="288" applyFont="1" applyFill="1" applyBorder="1" applyAlignment="1">
      <alignment horizontal="right" vertical="center" wrapText="1"/>
    </xf>
    <xf numFmtId="0" fontId="232" fillId="0" borderId="68" xfId="0" applyFont="1" applyBorder="1" applyAlignment="1">
      <alignment horizontal="justify" vertical="center" wrapText="1"/>
    </xf>
    <xf numFmtId="0" fontId="230" fillId="0" borderId="0" xfId="0" applyFont="1" applyAlignment="1">
      <alignment horizontal="center" vertical="center" wrapText="1"/>
    </xf>
    <xf numFmtId="0" fontId="230" fillId="0" borderId="0" xfId="0" applyFont="1" applyAlignment="1">
      <alignment horizontal="left" vertical="center" wrapText="1"/>
    </xf>
    <xf numFmtId="0" fontId="231" fillId="0" borderId="0" xfId="0" applyFont="1" applyAlignment="1">
      <alignment horizontal="center" vertical="center" wrapText="1"/>
    </xf>
    <xf numFmtId="177" fontId="232" fillId="0" borderId="0" xfId="288" applyFont="1" applyFill="1" applyBorder="1" applyAlignment="1">
      <alignment horizontal="right" vertical="center" wrapText="1"/>
    </xf>
    <xf numFmtId="0" fontId="246" fillId="0" borderId="0" xfId="326" applyFont="1">
      <alignment vertical="center"/>
    </xf>
    <xf numFmtId="0" fontId="231" fillId="0" borderId="0" xfId="326" applyFont="1" applyAlignment="1">
      <alignment horizontal="center" vertical="center"/>
    </xf>
    <xf numFmtId="0" fontId="231" fillId="0" borderId="0" xfId="326" applyFont="1">
      <alignment vertical="center"/>
    </xf>
    <xf numFmtId="0" fontId="246" fillId="0" borderId="0" xfId="313" applyFont="1"/>
    <xf numFmtId="0" fontId="231" fillId="0" borderId="0" xfId="313" applyFont="1"/>
    <xf numFmtId="0" fontId="231" fillId="0" borderId="0" xfId="313" applyFont="1" applyAlignment="1">
      <alignment horizontal="left"/>
    </xf>
    <xf numFmtId="0" fontId="231" fillId="0" borderId="0" xfId="335" applyFont="1" applyAlignment="1">
      <alignment vertical="center"/>
    </xf>
    <xf numFmtId="0" fontId="231" fillId="0" borderId="0" xfId="0" applyFont="1" applyAlignment="1">
      <alignment horizontal="center" vertical="center"/>
    </xf>
    <xf numFmtId="177" fontId="231" fillId="0" borderId="0" xfId="288" applyFont="1" applyFill="1"/>
    <xf numFmtId="0" fontId="233" fillId="0" borderId="0" xfId="0" applyFont="1" applyAlignment="1">
      <alignment horizontal="center" vertical="center"/>
    </xf>
    <xf numFmtId="177" fontId="233" fillId="0" borderId="0" xfId="288" applyFont="1" applyFill="1"/>
    <xf numFmtId="177" fontId="231" fillId="0" borderId="0" xfId="288" applyFont="1" applyFill="1" applyAlignment="1">
      <alignment horizontal="right"/>
    </xf>
    <xf numFmtId="177" fontId="230" fillId="0" borderId="68" xfId="288" applyFont="1" applyFill="1" applyBorder="1" applyAlignment="1">
      <alignment horizontal="center" vertical="center" wrapText="1"/>
    </xf>
    <xf numFmtId="177" fontId="230" fillId="0" borderId="25" xfId="288" applyFont="1" applyFill="1" applyBorder="1" applyAlignment="1">
      <alignment horizontal="center" vertical="center" wrapText="1"/>
    </xf>
    <xf numFmtId="0" fontId="230" fillId="0" borderId="25" xfId="0" applyFont="1" applyBorder="1" applyAlignment="1">
      <alignment horizontal="left" vertical="center" wrapText="1"/>
    </xf>
    <xf numFmtId="177" fontId="231" fillId="0" borderId="25" xfId="288" applyFont="1" applyFill="1" applyBorder="1" applyAlignment="1">
      <alignment horizontal="center" vertical="center" wrapText="1"/>
    </xf>
    <xf numFmtId="0" fontId="230" fillId="0" borderId="25" xfId="0" applyFont="1" applyBorder="1" applyAlignment="1">
      <alignment horizontal="justify" vertical="center" wrapText="1"/>
    </xf>
    <xf numFmtId="0" fontId="230" fillId="0" borderId="68" xfId="0" applyFont="1" applyBorder="1" applyAlignment="1">
      <alignment horizontal="left" vertical="center" wrapText="1"/>
    </xf>
    <xf numFmtId="0" fontId="230" fillId="0" borderId="68" xfId="0" applyFont="1" applyBorder="1" applyAlignment="1">
      <alignment horizontal="justify" vertical="center" wrapText="1"/>
    </xf>
    <xf numFmtId="0" fontId="230" fillId="0" borderId="0" xfId="0" applyFont="1" applyAlignment="1">
      <alignment horizontal="justify" vertical="center" wrapText="1"/>
    </xf>
    <xf numFmtId="177" fontId="230" fillId="0" borderId="24" xfId="288" applyFont="1" applyFill="1" applyBorder="1" applyAlignment="1">
      <alignment horizontal="center" vertical="center" wrapText="1"/>
    </xf>
    <xf numFmtId="0" fontId="230" fillId="0" borderId="22" xfId="0" applyFont="1" applyBorder="1" applyAlignment="1">
      <alignment horizontal="center" vertical="center" wrapText="1"/>
    </xf>
    <xf numFmtId="0" fontId="248" fillId="0" borderId="0" xfId="0" applyFont="1"/>
    <xf numFmtId="177" fontId="232" fillId="0" borderId="0" xfId="288" applyFont="1" applyFill="1"/>
    <xf numFmtId="0" fontId="232" fillId="0" borderId="0" xfId="0" applyFont="1" applyAlignment="1">
      <alignment horizontal="center" vertical="center"/>
    </xf>
    <xf numFmtId="0" fontId="232" fillId="0" borderId="0" xfId="0" applyFont="1" applyAlignment="1">
      <alignment vertical="center"/>
    </xf>
    <xf numFmtId="0" fontId="232" fillId="0" borderId="0" xfId="0" applyFont="1" applyAlignment="1">
      <alignment horizontal="left" indent="1"/>
    </xf>
    <xf numFmtId="0" fontId="232" fillId="0" borderId="0" xfId="0" applyFont="1" applyAlignment="1">
      <alignment horizontal="left" vertical="center"/>
    </xf>
    <xf numFmtId="0" fontId="232" fillId="74" borderId="0" xfId="0" applyFont="1" applyFill="1"/>
    <xf numFmtId="0" fontId="232" fillId="74" borderId="0" xfId="0" applyFont="1" applyFill="1" applyAlignment="1">
      <alignment horizontal="left" indent="1"/>
    </xf>
    <xf numFmtId="0" fontId="232" fillId="74" borderId="0" xfId="0" applyFont="1" applyFill="1" applyAlignment="1">
      <alignment horizontal="center" vertical="center"/>
    </xf>
    <xf numFmtId="177" fontId="231" fillId="0" borderId="0" xfId="288" applyFont="1" applyFill="1" applyAlignment="1"/>
    <xf numFmtId="0" fontId="232" fillId="8" borderId="0" xfId="0" applyFont="1" applyFill="1"/>
    <xf numFmtId="0" fontId="232" fillId="8" borderId="0" xfId="0" applyFont="1" applyFill="1" applyAlignment="1">
      <alignment horizontal="left" indent="1"/>
    </xf>
    <xf numFmtId="0" fontId="232" fillId="8" borderId="0" xfId="0" applyFont="1" applyFill="1" applyAlignment="1">
      <alignment horizontal="center" vertical="center"/>
    </xf>
    <xf numFmtId="0" fontId="231" fillId="74" borderId="0" xfId="0" applyFont="1" applyFill="1"/>
    <xf numFmtId="0" fontId="231" fillId="8" borderId="0" xfId="0" applyFont="1" applyFill="1"/>
    <xf numFmtId="0" fontId="15" fillId="7" borderId="0" xfId="0" applyFont="1" applyFill="1" applyAlignment="1">
      <alignment wrapText="1"/>
    </xf>
    <xf numFmtId="0" fontId="11" fillId="7" borderId="0" xfId="0" applyFont="1" applyFill="1" applyAlignment="1">
      <alignment wrapText="1"/>
    </xf>
    <xf numFmtId="0" fontId="11" fillId="7" borderId="60" xfId="0" applyFont="1" applyFill="1" applyBorder="1" applyAlignment="1">
      <alignment horizontal="center" wrapText="1"/>
    </xf>
    <xf numFmtId="0" fontId="11" fillId="7" borderId="99" xfId="0" applyFont="1" applyFill="1" applyBorder="1" applyAlignment="1">
      <alignment horizontal="center" vertical="center" wrapText="1"/>
    </xf>
    <xf numFmtId="0" fontId="11" fillId="7" borderId="60" xfId="0" applyFont="1" applyFill="1" applyBorder="1" applyAlignment="1">
      <alignment horizontal="center"/>
    </xf>
    <xf numFmtId="0" fontId="11" fillId="7" borderId="60" xfId="0" applyFont="1" applyFill="1" applyBorder="1"/>
    <xf numFmtId="0" fontId="11" fillId="7" borderId="137" xfId="0" applyFont="1" applyFill="1" applyBorder="1" applyAlignment="1">
      <alignment horizontal="right" wrapText="1"/>
    </xf>
    <xf numFmtId="180" fontId="11" fillId="7" borderId="60" xfId="0" applyNumberFormat="1" applyFont="1" applyFill="1" applyBorder="1" applyAlignment="1" applyProtection="1">
      <alignment vertical="center" wrapText="1"/>
      <protection locked="0" hidden="1"/>
    </xf>
    <xf numFmtId="180" fontId="11" fillId="7" borderId="60" xfId="0" applyNumberFormat="1" applyFont="1" applyFill="1" applyBorder="1" applyAlignment="1">
      <alignment horizontal="right" wrapText="1"/>
    </xf>
    <xf numFmtId="0" fontId="11" fillId="74" borderId="0" xfId="0" applyFont="1" applyFill="1"/>
    <xf numFmtId="0" fontId="11" fillId="74" borderId="0" xfId="0" applyFont="1" applyFill="1" applyAlignment="1">
      <alignment wrapText="1"/>
    </xf>
    <xf numFmtId="0" fontId="11" fillId="7" borderId="0" xfId="5731" applyFont="1" applyFill="1">
      <alignment vertical="center"/>
    </xf>
    <xf numFmtId="0" fontId="11" fillId="8" borderId="0" xfId="0" applyFont="1" applyFill="1"/>
    <xf numFmtId="0" fontId="11" fillId="8" borderId="0" xfId="0" applyFont="1" applyFill="1" applyAlignment="1">
      <alignment wrapText="1"/>
    </xf>
    <xf numFmtId="0" fontId="252" fillId="0" borderId="0" xfId="0" applyFont="1" applyAlignment="1">
      <alignment vertical="center"/>
    </xf>
    <xf numFmtId="0" fontId="230" fillId="0" borderId="0" xfId="0" applyFont="1" applyAlignment="1">
      <alignment vertical="center"/>
    </xf>
    <xf numFmtId="0" fontId="231" fillId="0" borderId="15" xfId="0" applyFont="1" applyBorder="1" applyAlignment="1">
      <alignment horizontal="center" vertical="center"/>
    </xf>
    <xf numFmtId="0" fontId="231" fillId="0" borderId="16" xfId="0" applyFont="1" applyBorder="1" applyAlignment="1">
      <alignment horizontal="center" vertical="center"/>
    </xf>
    <xf numFmtId="0" fontId="231" fillId="0" borderId="76" xfId="0" applyFont="1" applyBorder="1" applyAlignment="1">
      <alignment horizontal="center" vertical="center"/>
    </xf>
    <xf numFmtId="0" fontId="231" fillId="0" borderId="104" xfId="0" applyFont="1" applyBorder="1" applyAlignment="1">
      <alignment horizontal="center" vertical="center"/>
    </xf>
    <xf numFmtId="0" fontId="231" fillId="0" borderId="58" xfId="0" applyFont="1" applyBorder="1" applyAlignment="1">
      <alignment horizontal="center" vertical="center"/>
    </xf>
    <xf numFmtId="0" fontId="231" fillId="0" borderId="147" xfId="0" applyFont="1" applyBorder="1" applyAlignment="1">
      <alignment vertical="center"/>
    </xf>
    <xf numFmtId="0" fontId="231" fillId="0" borderId="91" xfId="0" applyFont="1" applyBorder="1" applyAlignment="1">
      <alignment vertical="center"/>
    </xf>
    <xf numFmtId="177" fontId="231" fillId="0" borderId="15" xfId="288" applyFont="1" applyFill="1" applyBorder="1" applyAlignment="1">
      <alignment vertical="center"/>
    </xf>
    <xf numFmtId="177" fontId="231" fillId="0" borderId="126" xfId="288" applyFont="1" applyFill="1" applyBorder="1" applyAlignment="1">
      <alignment vertical="center"/>
    </xf>
    <xf numFmtId="0" fontId="231" fillId="0" borderId="120" xfId="0" applyFont="1" applyBorder="1" applyAlignment="1">
      <alignment horizontal="center" vertical="center"/>
    </xf>
    <xf numFmtId="0" fontId="231" fillId="0" borderId="135" xfId="0" applyFont="1" applyBorder="1" applyAlignment="1">
      <alignment vertical="center"/>
    </xf>
    <xf numFmtId="177" fontId="231" fillId="0" borderId="120" xfId="288" applyFont="1" applyFill="1" applyBorder="1" applyAlignment="1">
      <alignment vertical="center"/>
    </xf>
    <xf numFmtId="0" fontId="231" fillId="0" borderId="9" xfId="0" applyFont="1" applyBorder="1" applyAlignment="1">
      <alignment horizontal="center" vertical="center"/>
    </xf>
    <xf numFmtId="0" fontId="231" fillId="0" borderId="137" xfId="0" applyFont="1" applyBorder="1" applyAlignment="1">
      <alignment vertical="center"/>
    </xf>
    <xf numFmtId="0" fontId="231" fillId="0" borderId="138" xfId="0" applyFont="1" applyBorder="1" applyAlignment="1">
      <alignment vertical="center"/>
    </xf>
    <xf numFmtId="0" fontId="231" fillId="0" borderId="92" xfId="0" applyFont="1" applyBorder="1" applyAlignment="1">
      <alignment horizontal="center" vertical="center"/>
    </xf>
    <xf numFmtId="0" fontId="231" fillId="0" borderId="99" xfId="0" applyFont="1" applyBorder="1" applyAlignment="1">
      <alignment vertical="center"/>
    </xf>
    <xf numFmtId="0" fontId="231" fillId="0" borderId="94" xfId="0" applyFont="1" applyBorder="1" applyAlignment="1">
      <alignment vertical="center"/>
    </xf>
    <xf numFmtId="177" fontId="231" fillId="0" borderId="92" xfId="288" applyFont="1" applyFill="1" applyBorder="1" applyAlignment="1">
      <alignment vertical="center"/>
    </xf>
    <xf numFmtId="177" fontId="231" fillId="0" borderId="93" xfId="288" applyFont="1" applyFill="1" applyBorder="1" applyAlignment="1">
      <alignment vertical="center"/>
    </xf>
    <xf numFmtId="0" fontId="231" fillId="0" borderId="78" xfId="0" applyFont="1" applyBorder="1" applyAlignment="1">
      <alignment horizontal="center" vertical="center"/>
    </xf>
    <xf numFmtId="0" fontId="231" fillId="0" borderId="58" xfId="0" applyFont="1" applyBorder="1" applyAlignment="1">
      <alignment vertical="center"/>
    </xf>
    <xf numFmtId="0" fontId="231" fillId="0" borderId="148" xfId="0" applyFont="1" applyBorder="1" applyAlignment="1">
      <alignment vertical="center"/>
    </xf>
    <xf numFmtId="0" fontId="231" fillId="0" borderId="78" xfId="0" applyFont="1" applyBorder="1" applyAlignment="1">
      <alignment vertical="center"/>
    </xf>
    <xf numFmtId="0" fontId="231" fillId="0" borderId="79" xfId="0" applyFont="1" applyBorder="1" applyAlignment="1">
      <alignment vertical="center"/>
    </xf>
    <xf numFmtId="0" fontId="231" fillId="0" borderId="149" xfId="0" applyFont="1" applyBorder="1" applyAlignment="1">
      <alignment vertical="center"/>
    </xf>
    <xf numFmtId="0" fontId="246" fillId="0" borderId="0" xfId="0" applyFont="1" applyAlignment="1">
      <alignment horizontal="left"/>
    </xf>
    <xf numFmtId="0" fontId="246" fillId="0" borderId="0" xfId="0" applyFont="1"/>
    <xf numFmtId="0" fontId="231" fillId="74" borderId="0" xfId="0" applyFont="1" applyFill="1" applyAlignment="1">
      <alignment vertical="center"/>
    </xf>
    <xf numFmtId="0" fontId="247" fillId="8" borderId="0" xfId="0" applyFont="1" applyFill="1" applyAlignment="1">
      <alignment vertical="center"/>
    </xf>
    <xf numFmtId="0" fontId="231" fillId="8" borderId="0" xfId="0" applyFont="1" applyFill="1" applyAlignment="1">
      <alignment vertical="center"/>
    </xf>
    <xf numFmtId="0" fontId="15" fillId="7" borderId="0" xfId="0" applyFont="1" applyFill="1" applyAlignment="1">
      <alignment horizontal="left"/>
    </xf>
    <xf numFmtId="0" fontId="11" fillId="7" borderId="135" xfId="0" applyFont="1" applyFill="1" applyBorder="1" applyAlignment="1">
      <alignment horizontal="centerContinuous" vertical="center"/>
    </xf>
    <xf numFmtId="0" fontId="11" fillId="7" borderId="60" xfId="0" applyFont="1" applyFill="1" applyBorder="1" applyAlignment="1">
      <alignment horizontal="centerContinuous" vertical="center"/>
    </xf>
    <xf numFmtId="0" fontId="11" fillId="7" borderId="137" xfId="0" applyFont="1" applyFill="1" applyBorder="1" applyAlignment="1">
      <alignment horizontal="centerContinuous" vertical="center"/>
    </xf>
    <xf numFmtId="0" fontId="11" fillId="7" borderId="137" xfId="0" applyFont="1" applyFill="1" applyBorder="1" applyAlignment="1">
      <alignment horizontal="center" vertical="center" wrapText="1"/>
    </xf>
    <xf numFmtId="0" fontId="11" fillId="7" borderId="60" xfId="0" applyFont="1" applyFill="1" applyBorder="1" applyAlignment="1">
      <alignment horizontal="left"/>
    </xf>
    <xf numFmtId="0" fontId="11" fillId="7" borderId="60" xfId="0" applyFont="1" applyFill="1" applyBorder="1" applyAlignment="1">
      <alignment horizontal="right"/>
    </xf>
    <xf numFmtId="0" fontId="247" fillId="8" borderId="0" xfId="0" applyFont="1" applyFill="1"/>
    <xf numFmtId="0" fontId="81" fillId="7" borderId="0" xfId="0" applyFont="1" applyFill="1"/>
    <xf numFmtId="0" fontId="231" fillId="0" borderId="0" xfId="0" applyFont="1" applyAlignment="1">
      <alignment wrapText="1"/>
    </xf>
    <xf numFmtId="0" fontId="11" fillId="7" borderId="0" xfId="0" applyFont="1" applyFill="1" applyAlignment="1" applyProtection="1">
      <alignment horizontal="left"/>
      <protection locked="0" hidden="1"/>
    </xf>
    <xf numFmtId="0" fontId="11" fillId="7" borderId="0" xfId="0" applyFont="1" applyFill="1" applyProtection="1">
      <protection locked="0" hidden="1"/>
    </xf>
    <xf numFmtId="0" fontId="243" fillId="7" borderId="0" xfId="0" applyFont="1" applyFill="1"/>
    <xf numFmtId="0" fontId="243" fillId="7" borderId="0" xfId="0" applyFont="1" applyFill="1" applyAlignment="1">
      <alignment horizontal="left"/>
    </xf>
    <xf numFmtId="0" fontId="253" fillId="7" borderId="0" xfId="0" applyFont="1" applyFill="1" applyAlignment="1">
      <alignment horizontal="left"/>
    </xf>
    <xf numFmtId="0" fontId="11" fillId="7" borderId="16" xfId="0" applyFont="1" applyFill="1" applyBorder="1" applyAlignment="1">
      <alignment horizontal="center" vertical="center"/>
    </xf>
    <xf numFmtId="0" fontId="11" fillId="7" borderId="76" xfId="0" applyFont="1" applyFill="1" applyBorder="1" applyAlignment="1">
      <alignment horizontal="center" vertical="center"/>
    </xf>
    <xf numFmtId="0" fontId="11" fillId="7" borderId="135" xfId="0" applyFont="1" applyFill="1" applyBorder="1" applyAlignment="1">
      <alignment horizontal="center" vertical="center"/>
    </xf>
    <xf numFmtId="0" fontId="11" fillId="7" borderId="137" xfId="0" applyFont="1" applyFill="1" applyBorder="1" applyAlignment="1">
      <alignment horizontal="center" vertical="center"/>
    </xf>
    <xf numFmtId="0" fontId="11" fillId="7" borderId="126" xfId="0" applyFont="1" applyFill="1" applyBorder="1" applyAlignment="1">
      <alignment horizontal="centerContinuous" vertical="center"/>
    </xf>
    <xf numFmtId="0" fontId="11" fillId="7" borderId="58" xfId="0" applyFont="1" applyFill="1" applyBorder="1" applyAlignment="1">
      <alignment horizontal="center" vertical="center" wrapText="1"/>
    </xf>
    <xf numFmtId="0" fontId="11" fillId="7" borderId="93" xfId="0" applyFont="1" applyFill="1" applyBorder="1" applyAlignment="1">
      <alignment horizontal="center" vertical="center"/>
    </xf>
    <xf numFmtId="0" fontId="11" fillId="7" borderId="80" xfId="0" applyFont="1" applyFill="1" applyBorder="1" applyAlignment="1">
      <alignment horizontal="center" vertical="center"/>
    </xf>
    <xf numFmtId="0" fontId="11" fillId="74" borderId="15" xfId="0" applyFont="1" applyFill="1" applyBorder="1" applyAlignment="1">
      <alignment horizontal="center" vertical="center"/>
    </xf>
    <xf numFmtId="0" fontId="11" fillId="74" borderId="16" xfId="0" applyFont="1" applyFill="1" applyBorder="1" applyAlignment="1">
      <alignment horizontal="center" vertical="center"/>
    </xf>
    <xf numFmtId="0" fontId="11" fillId="7" borderId="16" xfId="0" applyFont="1" applyFill="1" applyBorder="1" applyAlignment="1">
      <alignment vertical="center"/>
    </xf>
    <xf numFmtId="0" fontId="11" fillId="7" borderId="1" xfId="0" applyFont="1" applyFill="1" applyBorder="1" applyAlignment="1">
      <alignment vertical="center"/>
    </xf>
    <xf numFmtId="0" fontId="11" fillId="7" borderId="76" xfId="0" applyFont="1" applyFill="1" applyBorder="1" applyAlignment="1">
      <alignment vertical="center"/>
    </xf>
    <xf numFmtId="0" fontId="11" fillId="74" borderId="120" xfId="0" applyFont="1" applyFill="1" applyBorder="1" applyAlignment="1">
      <alignment horizontal="center" vertical="center"/>
    </xf>
    <xf numFmtId="0" fontId="11" fillId="74" borderId="60" xfId="0" applyFont="1" applyFill="1" applyBorder="1" applyAlignment="1">
      <alignment horizontal="center" vertical="center"/>
    </xf>
    <xf numFmtId="0" fontId="11" fillId="7" borderId="60" xfId="0" applyFont="1" applyFill="1" applyBorder="1" applyAlignment="1">
      <alignment vertical="center"/>
    </xf>
    <xf numFmtId="0" fontId="11" fillId="7" borderId="126" xfId="0" applyFont="1" applyFill="1" applyBorder="1" applyAlignment="1">
      <alignment vertical="center"/>
    </xf>
    <xf numFmtId="0" fontId="11" fillId="74" borderId="78" xfId="0" applyFont="1" applyFill="1" applyBorder="1" applyAlignment="1">
      <alignment horizontal="center" vertical="center"/>
    </xf>
    <xf numFmtId="0" fontId="11" fillId="74" borderId="58" xfId="0" applyFont="1" applyFill="1" applyBorder="1" applyAlignment="1">
      <alignment horizontal="center" vertical="center"/>
    </xf>
    <xf numFmtId="0" fontId="11" fillId="7" borderId="58" xfId="0" applyFont="1" applyFill="1" applyBorder="1" applyAlignment="1">
      <alignment vertical="center"/>
    </xf>
    <xf numFmtId="0" fontId="11" fillId="7" borderId="79" xfId="0" applyFont="1" applyFill="1" applyBorder="1" applyAlignment="1">
      <alignment vertical="center"/>
    </xf>
    <xf numFmtId="0" fontId="11" fillId="7" borderId="91" xfId="0" applyFont="1" applyFill="1" applyBorder="1" applyAlignment="1">
      <alignment horizontal="center" vertical="center"/>
    </xf>
    <xf numFmtId="0" fontId="11" fillId="7" borderId="138" xfId="0" applyFont="1" applyFill="1" applyBorder="1" applyAlignment="1">
      <alignment horizontal="centerContinuous" vertical="center"/>
    </xf>
    <xf numFmtId="0" fontId="11" fillId="7" borderId="91" xfId="0" applyFont="1" applyFill="1" applyBorder="1" applyAlignment="1">
      <alignment vertical="center"/>
    </xf>
    <xf numFmtId="0" fontId="11" fillId="7" borderId="138" xfId="0" applyFont="1" applyFill="1" applyBorder="1" applyAlignment="1">
      <alignment vertical="center"/>
    </xf>
    <xf numFmtId="0" fontId="11" fillId="7" borderId="148" xfId="0" applyFont="1" applyFill="1" applyBorder="1" applyAlignment="1">
      <alignment vertical="center"/>
    </xf>
    <xf numFmtId="0" fontId="11" fillId="7" borderId="0" xfId="0" applyFont="1" applyFill="1" applyAlignment="1">
      <alignment horizontal="right" vertical="center"/>
    </xf>
    <xf numFmtId="0" fontId="11" fillId="74" borderId="0" xfId="0" applyFont="1" applyFill="1" applyAlignment="1">
      <alignment vertical="center"/>
    </xf>
    <xf numFmtId="0" fontId="81" fillId="7" borderId="16" xfId="0" applyFont="1" applyFill="1" applyBorder="1" applyAlignment="1">
      <alignment vertical="center"/>
    </xf>
    <xf numFmtId="0" fontId="81" fillId="7" borderId="1" xfId="0" applyFont="1" applyFill="1" applyBorder="1" applyAlignment="1">
      <alignment vertical="center"/>
    </xf>
    <xf numFmtId="0" fontId="81" fillId="7" borderId="76" xfId="0" applyFont="1" applyFill="1" applyBorder="1" applyAlignment="1">
      <alignment vertical="center"/>
    </xf>
    <xf numFmtId="0" fontId="81" fillId="7" borderId="81" xfId="0" applyFont="1" applyFill="1" applyBorder="1" applyAlignment="1">
      <alignment vertical="center"/>
    </xf>
    <xf numFmtId="0" fontId="81" fillId="7" borderId="58" xfId="0" applyFont="1" applyFill="1" applyBorder="1" applyAlignment="1">
      <alignment vertical="center"/>
    </xf>
    <xf numFmtId="0" fontId="81" fillId="7" borderId="79" xfId="0" applyFont="1" applyFill="1" applyBorder="1" applyAlignment="1">
      <alignment vertical="center"/>
    </xf>
    <xf numFmtId="0" fontId="234" fillId="8" borderId="0" xfId="0" applyFont="1" applyFill="1" applyAlignment="1">
      <alignment vertical="center"/>
    </xf>
    <xf numFmtId="0" fontId="0" fillId="7" borderId="0" xfId="0" applyFill="1"/>
    <xf numFmtId="0" fontId="255" fillId="7" borderId="0" xfId="323" applyFont="1" applyFill="1" applyAlignment="1">
      <alignment vertical="center"/>
    </xf>
    <xf numFmtId="0" fontId="5" fillId="7" borderId="0" xfId="323" applyFill="1" applyAlignment="1">
      <alignment vertical="center"/>
    </xf>
    <xf numFmtId="0" fontId="5" fillId="7" borderId="0" xfId="3529" applyFill="1" applyAlignment="1">
      <alignment horizontal="right"/>
    </xf>
    <xf numFmtId="0" fontId="5" fillId="7" borderId="0" xfId="323" applyFill="1" applyAlignment="1">
      <alignment horizontal="left" vertical="center"/>
    </xf>
    <xf numFmtId="0" fontId="5" fillId="7" borderId="0" xfId="323" applyFill="1" applyAlignment="1">
      <alignment horizontal="right" vertical="center"/>
    </xf>
    <xf numFmtId="0" fontId="5" fillId="7" borderId="0" xfId="323" applyFill="1"/>
    <xf numFmtId="0" fontId="241" fillId="7" borderId="60" xfId="315" applyFont="1" applyFill="1" applyBorder="1" applyAlignment="1">
      <alignment horizontal="center" vertical="center"/>
    </xf>
    <xf numFmtId="0" fontId="241" fillId="7" borderId="1" xfId="315" applyFont="1" applyFill="1" applyBorder="1" applyAlignment="1">
      <alignment horizontal="center" vertical="center"/>
    </xf>
    <xf numFmtId="0" fontId="241" fillId="7" borderId="60" xfId="315" applyFont="1" applyFill="1" applyBorder="1">
      <alignment vertical="center"/>
    </xf>
    <xf numFmtId="0" fontId="5" fillId="7" borderId="60" xfId="323" applyFill="1" applyBorder="1"/>
    <xf numFmtId="0" fontId="5" fillId="7" borderId="60" xfId="323" applyFill="1" applyBorder="1" applyAlignment="1">
      <alignment vertical="center"/>
    </xf>
    <xf numFmtId="0" fontId="256" fillId="7" borderId="0" xfId="323" applyFont="1" applyFill="1" applyAlignment="1">
      <alignment vertical="center"/>
    </xf>
    <xf numFmtId="0" fontId="240" fillId="7" borderId="0" xfId="5732" applyFont="1" applyFill="1" applyAlignment="1">
      <alignment horizontal="left"/>
    </xf>
    <xf numFmtId="0" fontId="5" fillId="7" borderId="0" xfId="3529" applyFill="1"/>
    <xf numFmtId="0" fontId="5" fillId="7" borderId="0" xfId="3529" applyFill="1" applyAlignment="1">
      <alignment vertical="center"/>
    </xf>
    <xf numFmtId="0" fontId="257" fillId="7" borderId="60" xfId="315" applyFont="1" applyFill="1" applyBorder="1" applyAlignment="1">
      <alignment horizontal="center" vertical="center"/>
    </xf>
    <xf numFmtId="0" fontId="257" fillId="7" borderId="60" xfId="315" applyFont="1" applyFill="1" applyBorder="1">
      <alignment vertical="center"/>
    </xf>
    <xf numFmtId="0" fontId="11" fillId="7" borderId="138" xfId="0" applyFont="1" applyFill="1" applyBorder="1" applyAlignment="1">
      <alignment horizontal="centerContinuous" vertical="center" readingOrder="2"/>
    </xf>
    <xf numFmtId="0" fontId="11" fillId="7" borderId="135" xfId="0" applyFont="1" applyFill="1" applyBorder="1" applyAlignment="1">
      <alignment horizontal="centerContinuous" vertical="center" readingOrder="2"/>
    </xf>
    <xf numFmtId="0" fontId="11" fillId="7" borderId="60" xfId="0" applyFont="1" applyFill="1" applyBorder="1" applyAlignment="1">
      <alignment horizontal="center" vertical="center" shrinkToFit="1"/>
    </xf>
    <xf numFmtId="0" fontId="11" fillId="7" borderId="93" xfId="0" applyFont="1" applyFill="1" applyBorder="1" applyAlignment="1">
      <alignment horizontal="center" vertical="center" shrinkToFit="1"/>
    </xf>
    <xf numFmtId="177" fontId="11" fillId="7" borderId="60" xfId="288" applyFont="1" applyFill="1" applyBorder="1" applyAlignment="1">
      <alignment horizontal="right" vertical="center"/>
    </xf>
    <xf numFmtId="177" fontId="11" fillId="7" borderId="60" xfId="288" applyFont="1" applyFill="1" applyBorder="1" applyAlignment="1">
      <alignment vertical="center"/>
    </xf>
    <xf numFmtId="177" fontId="11" fillId="7" borderId="30" xfId="288" applyFont="1" applyFill="1" applyBorder="1" applyAlignment="1">
      <alignment vertical="center"/>
    </xf>
    <xf numFmtId="177" fontId="11" fillId="7" borderId="30" xfId="288" applyFont="1" applyFill="1" applyBorder="1" applyAlignment="1">
      <alignment horizontal="right" vertical="center"/>
    </xf>
    <xf numFmtId="0" fontId="244" fillId="8" borderId="0" xfId="0" applyFont="1" applyFill="1"/>
    <xf numFmtId="0" fontId="80" fillId="8" borderId="0" xfId="0" applyFont="1" applyFill="1"/>
    <xf numFmtId="0" fontId="81" fillId="8" borderId="0" xfId="0" applyFont="1" applyFill="1"/>
    <xf numFmtId="0" fontId="11" fillId="0" borderId="127" xfId="0" applyFont="1" applyBorder="1" applyAlignment="1">
      <alignment vertical="center"/>
    </xf>
    <xf numFmtId="0" fontId="11" fillId="0" borderId="124" xfId="0" applyFont="1" applyBorder="1" applyAlignment="1">
      <alignment vertical="center"/>
    </xf>
    <xf numFmtId="0" fontId="11" fillId="0" borderId="125" xfId="0" applyFont="1" applyBorder="1" applyAlignment="1">
      <alignment vertical="center"/>
    </xf>
    <xf numFmtId="0" fontId="11" fillId="0" borderId="123" xfId="0" applyFont="1" applyBorder="1" applyAlignment="1">
      <alignment vertical="center"/>
    </xf>
    <xf numFmtId="0" fontId="11" fillId="75" borderId="17" xfId="0" applyFont="1" applyFill="1" applyBorder="1" applyAlignment="1">
      <alignment horizontal="center"/>
    </xf>
    <xf numFmtId="0" fontId="11" fillId="75" borderId="27" xfId="0" applyFont="1" applyFill="1" applyBorder="1" applyAlignment="1">
      <alignment horizontal="center" vertical="center" wrapText="1"/>
    </xf>
    <xf numFmtId="0" fontId="11" fillId="75" borderId="120" xfId="0" applyFont="1" applyFill="1" applyBorder="1" applyAlignment="1">
      <alignment horizontal="center"/>
    </xf>
    <xf numFmtId="0" fontId="11" fillId="75" borderId="69" xfId="0" applyFont="1" applyFill="1" applyBorder="1" applyAlignment="1">
      <alignment horizontal="center" vertical="center" wrapText="1"/>
    </xf>
    <xf numFmtId="0" fontId="11" fillId="75" borderId="61" xfId="0" applyFont="1" applyFill="1" applyBorder="1" applyAlignment="1">
      <alignment horizontal="center"/>
    </xf>
    <xf numFmtId="0" fontId="11" fillId="75" borderId="125" xfId="0" applyFont="1" applyFill="1" applyBorder="1" applyAlignment="1">
      <alignment horizontal="center" vertical="center" wrapText="1"/>
    </xf>
    <xf numFmtId="0" fontId="11" fillId="75" borderId="78" xfId="0" applyFont="1" applyFill="1" applyBorder="1" applyAlignment="1">
      <alignment horizontal="center"/>
    </xf>
    <xf numFmtId="0" fontId="11" fillId="74" borderId="17" xfId="0" applyFont="1" applyFill="1" applyBorder="1" applyAlignment="1">
      <alignment horizontal="center"/>
    </xf>
    <xf numFmtId="0" fontId="243" fillId="74" borderId="27" xfId="0" applyFont="1" applyFill="1" applyBorder="1" applyAlignment="1">
      <alignment horizontal="center" wrapText="1"/>
    </xf>
    <xf numFmtId="0" fontId="243" fillId="74" borderId="125" xfId="0" applyFont="1" applyFill="1" applyBorder="1" applyAlignment="1">
      <alignment horizontal="center" wrapText="1"/>
    </xf>
    <xf numFmtId="0" fontId="11" fillId="74" borderId="120" xfId="0" applyFont="1" applyFill="1" applyBorder="1" applyAlignment="1">
      <alignment horizontal="center"/>
    </xf>
    <xf numFmtId="0" fontId="11" fillId="74" borderId="78" xfId="0" applyFont="1" applyFill="1" applyBorder="1" applyAlignment="1">
      <alignment horizontal="center"/>
    </xf>
    <xf numFmtId="177" fontId="11" fillId="0" borderId="137" xfId="294" applyFont="1" applyFill="1" applyBorder="1" applyAlignment="1">
      <alignment vertical="center"/>
    </xf>
    <xf numFmtId="0" fontId="232" fillId="0" borderId="154" xfId="327" applyFont="1" applyBorder="1">
      <alignment vertical="center"/>
    </xf>
    <xf numFmtId="0" fontId="231" fillId="74" borderId="0" xfId="0" applyFont="1" applyFill="1" applyBorder="1" applyAlignment="1">
      <alignment horizontal="center"/>
    </xf>
    <xf numFmtId="0" fontId="231" fillId="0" borderId="0" xfId="0" applyFont="1" applyFill="1" applyBorder="1" applyAlignment="1">
      <alignment horizontal="center"/>
    </xf>
    <xf numFmtId="0" fontId="11" fillId="7" borderId="0" xfId="0" applyFont="1" applyFill="1" applyAlignment="1">
      <alignment horizontal="center" vertical="center"/>
    </xf>
    <xf numFmtId="0" fontId="258" fillId="0" borderId="0" xfId="0" applyFont="1" applyAlignment="1">
      <alignment horizontal="center" vertical="center"/>
    </xf>
    <xf numFmtId="0" fontId="258" fillId="0" borderId="7" xfId="0" applyFont="1" applyBorder="1" applyAlignment="1">
      <alignment horizontal="center" vertical="center"/>
    </xf>
    <xf numFmtId="0" fontId="240" fillId="7" borderId="0" xfId="0" applyFont="1" applyFill="1"/>
    <xf numFmtId="0" fontId="11" fillId="7" borderId="66" xfId="0" applyFont="1" applyFill="1" applyBorder="1" applyAlignment="1">
      <alignment horizontal="center" vertical="center"/>
    </xf>
    <xf numFmtId="0" fontId="11" fillId="7" borderId="66" xfId="0" applyFont="1" applyFill="1" applyBorder="1" applyAlignment="1">
      <alignment horizontal="center" vertical="center" wrapText="1"/>
    </xf>
    <xf numFmtId="180" fontId="11" fillId="7" borderId="66" xfId="0" applyNumberFormat="1" applyFont="1" applyFill="1" applyBorder="1" applyAlignment="1">
      <alignment vertical="center"/>
    </xf>
    <xf numFmtId="0" fontId="259" fillId="0" borderId="66" xfId="0" applyFont="1" applyBorder="1" applyAlignment="1">
      <alignment vertical="center" wrapText="1"/>
    </xf>
    <xf numFmtId="0" fontId="11" fillId="0" borderId="66" xfId="0" applyFont="1" applyBorder="1" applyAlignment="1">
      <alignment vertical="center"/>
    </xf>
    <xf numFmtId="180" fontId="11" fillId="0" borderId="66" xfId="0" applyNumberFormat="1" applyFont="1" applyBorder="1" applyAlignment="1">
      <alignment vertical="center"/>
    </xf>
    <xf numFmtId="177" fontId="11" fillId="76" borderId="60" xfId="294" applyFont="1" applyFill="1" applyBorder="1" applyAlignment="1">
      <alignment vertical="center"/>
    </xf>
    <xf numFmtId="0" fontId="247" fillId="8" borderId="60" xfId="0" applyFont="1" applyFill="1" applyBorder="1" applyAlignment="1">
      <alignment horizontal="center" vertical="center"/>
    </xf>
    <xf numFmtId="0" fontId="11" fillId="0" borderId="60" xfId="0" applyFont="1" applyFill="1" applyBorder="1" applyAlignment="1">
      <alignment horizontal="center" vertical="center"/>
    </xf>
    <xf numFmtId="0" fontId="81" fillId="8" borderId="61" xfId="0" applyFont="1" applyFill="1" applyBorder="1" applyAlignment="1">
      <alignment horizontal="center" vertical="center"/>
    </xf>
    <xf numFmtId="0" fontId="81" fillId="8" borderId="125" xfId="0" applyFont="1" applyFill="1" applyBorder="1" applyAlignment="1">
      <alignment horizontal="center" vertical="center" wrapText="1"/>
    </xf>
    <xf numFmtId="0" fontId="81" fillId="8" borderId="78" xfId="0" applyFont="1" applyFill="1" applyBorder="1" applyAlignment="1">
      <alignment horizontal="center" vertical="center"/>
    </xf>
    <xf numFmtId="0" fontId="81" fillId="8" borderId="118" xfId="0" applyFont="1" applyFill="1" applyBorder="1" applyAlignment="1">
      <alignment horizontal="center" vertical="center"/>
    </xf>
    <xf numFmtId="0" fontId="260" fillId="8" borderId="0" xfId="0" applyFont="1" applyFill="1"/>
    <xf numFmtId="0" fontId="11" fillId="0" borderId="66" xfId="0" applyFont="1" applyBorder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0" fontId="11" fillId="0" borderId="0" xfId="0" applyFont="1" applyProtection="1">
      <protection locked="0" hidden="1"/>
    </xf>
    <xf numFmtId="0" fontId="11" fillId="0" borderId="66" xfId="0" applyFont="1" applyBorder="1" applyAlignment="1">
      <alignment horizontal="center"/>
    </xf>
    <xf numFmtId="0" fontId="11" fillId="0" borderId="66" xfId="0" applyFont="1" applyBorder="1" applyAlignment="1">
      <alignment wrapText="1"/>
    </xf>
    <xf numFmtId="0" fontId="11" fillId="0" borderId="66" xfId="0" applyFont="1" applyBorder="1" applyAlignment="1" applyProtection="1">
      <alignment horizontal="left" wrapText="1"/>
      <protection locked="0" hidden="1"/>
    </xf>
    <xf numFmtId="0" fontId="11" fillId="0" borderId="0" xfId="0" applyFont="1" applyAlignment="1">
      <alignment horizontal="left" wrapText="1"/>
    </xf>
    <xf numFmtId="0" fontId="11" fillId="0" borderId="66" xfId="0" applyFont="1" applyBorder="1"/>
    <xf numFmtId="0" fontId="11" fillId="0" borderId="66" xfId="0" applyFont="1" applyBorder="1" applyAlignment="1" applyProtection="1">
      <alignment horizontal="left"/>
      <protection locked="0" hidden="1"/>
    </xf>
    <xf numFmtId="0" fontId="11" fillId="0" borderId="66" xfId="0" applyFont="1" applyBorder="1" applyProtection="1">
      <protection locked="0" hidden="1"/>
    </xf>
    <xf numFmtId="0" fontId="11" fillId="0" borderId="66" xfId="0" applyFont="1" applyBorder="1" applyAlignment="1">
      <alignment horizontal="left"/>
    </xf>
    <xf numFmtId="0" fontId="234" fillId="0" borderId="0" xfId="0" applyFont="1" applyAlignment="1">
      <alignment horizontal="left" vertical="center"/>
    </xf>
    <xf numFmtId="0" fontId="11" fillId="0" borderId="0" xfId="313" applyFont="1" applyAlignment="1">
      <alignment vertical="center"/>
    </xf>
    <xf numFmtId="0" fontId="234" fillId="0" borderId="0" xfId="313" applyFont="1" applyAlignment="1">
      <alignment vertical="center"/>
    </xf>
    <xf numFmtId="0" fontId="11" fillId="0" borderId="0" xfId="0" quotePrefix="1" applyFont="1"/>
    <xf numFmtId="0" fontId="11" fillId="0" borderId="0" xfId="0" applyFont="1" applyAlignment="1" applyProtection="1">
      <alignment horizontal="center"/>
      <protection locked="0" hidden="1"/>
    </xf>
    <xf numFmtId="0" fontId="15" fillId="0" borderId="0" xfId="0" applyFont="1" applyProtection="1">
      <protection locked="0" hidden="1"/>
    </xf>
    <xf numFmtId="0" fontId="11" fillId="0" borderId="66" xfId="0" applyFont="1" applyBorder="1" applyAlignment="1">
      <alignment horizontal="center" vertical="center"/>
    </xf>
    <xf numFmtId="180" fontId="11" fillId="0" borderId="66" xfId="0" applyNumberFormat="1" applyFont="1" applyBorder="1" applyAlignment="1" applyProtection="1">
      <alignment vertical="center" wrapText="1"/>
      <protection locked="0" hidden="1"/>
    </xf>
    <xf numFmtId="0" fontId="11" fillId="0" borderId="66" xfId="0" applyFont="1" applyBorder="1" applyAlignment="1">
      <alignment horizontal="left" vertical="center" wrapText="1"/>
    </xf>
    <xf numFmtId="180" fontId="11" fillId="0" borderId="66" xfId="0" applyNumberFormat="1" applyFont="1" applyBorder="1" applyAlignment="1">
      <alignment vertical="center" wrapText="1"/>
    </xf>
    <xf numFmtId="0" fontId="247" fillId="8" borderId="66" xfId="0" applyFont="1" applyFill="1" applyBorder="1" applyAlignment="1">
      <alignment horizontal="center"/>
    </xf>
    <xf numFmtId="0" fontId="247" fillId="8" borderId="59" xfId="0" applyFont="1" applyFill="1" applyBorder="1"/>
    <xf numFmtId="0" fontId="247" fillId="8" borderId="66" xfId="0" applyFont="1" applyFill="1" applyBorder="1" applyAlignment="1" applyProtection="1">
      <alignment horizontal="left"/>
      <protection locked="0" hidden="1"/>
    </xf>
    <xf numFmtId="0" fontId="246" fillId="0" borderId="60" xfId="5728" applyFont="1" applyBorder="1" applyAlignment="1">
      <alignment horizontal="center" vertical="center" wrapText="1"/>
    </xf>
    <xf numFmtId="0" fontId="246" fillId="0" borderId="60" xfId="5728" applyFont="1" applyBorder="1" applyAlignment="1">
      <alignment horizontal="center" vertical="center"/>
    </xf>
    <xf numFmtId="0" fontId="231" fillId="0" borderId="60" xfId="5728" applyFont="1" applyBorder="1" applyAlignment="1">
      <alignment horizontal="center" vertical="center"/>
    </xf>
    <xf numFmtId="0" fontId="231" fillId="0" borderId="59" xfId="5728" applyFont="1" applyBorder="1">
      <alignment vertical="center"/>
    </xf>
    <xf numFmtId="0" fontId="231" fillId="0" borderId="60" xfId="5728" applyFont="1" applyBorder="1">
      <alignment vertical="center"/>
    </xf>
    <xf numFmtId="0" fontId="231" fillId="0" borderId="60" xfId="5728" applyFont="1" applyBorder="1" applyAlignment="1">
      <alignment vertical="center" wrapText="1"/>
    </xf>
    <xf numFmtId="0" fontId="231" fillId="0" borderId="66" xfId="5728" applyFont="1" applyBorder="1">
      <alignment vertical="center"/>
    </xf>
    <xf numFmtId="0" fontId="234" fillId="0" borderId="66" xfId="0" applyFont="1" applyBorder="1" applyAlignment="1">
      <alignment horizontal="center"/>
    </xf>
    <xf numFmtId="0" fontId="247" fillId="8" borderId="0" xfId="0" applyFont="1" applyFill="1" applyAlignment="1">
      <alignment horizontal="left"/>
    </xf>
    <xf numFmtId="0" fontId="247" fillId="8" borderId="0" xfId="0" applyFont="1" applyFill="1" applyAlignment="1">
      <alignment horizontal="center"/>
    </xf>
    <xf numFmtId="0" fontId="11" fillId="0" borderId="66" xfId="0" applyFont="1" applyBorder="1" applyAlignment="1">
      <alignment horizontal="center" vertical="center" wrapText="1"/>
    </xf>
    <xf numFmtId="0" fontId="11" fillId="0" borderId="9" xfId="0" applyFont="1" applyBorder="1" applyAlignment="1">
      <alignment horizontal="center" vertical="center"/>
    </xf>
    <xf numFmtId="0" fontId="81" fillId="8" borderId="60" xfId="0" applyFont="1" applyFill="1" applyBorder="1" applyAlignment="1">
      <alignment horizontal="center" vertical="center"/>
    </xf>
    <xf numFmtId="0" fontId="241" fillId="7" borderId="60" xfId="315" applyFont="1" applyFill="1" applyBorder="1" applyAlignment="1">
      <alignment horizontal="center" vertical="center"/>
    </xf>
    <xf numFmtId="0" fontId="241" fillId="7" borderId="1" xfId="315" applyFont="1" applyFill="1" applyBorder="1" applyAlignment="1">
      <alignment horizontal="center" vertical="center"/>
    </xf>
    <xf numFmtId="0" fontId="241" fillId="7" borderId="60" xfId="315" applyFont="1" applyFill="1" applyBorder="1" applyAlignment="1">
      <alignment horizontal="center" vertical="center" wrapText="1"/>
    </xf>
    <xf numFmtId="0" fontId="11" fillId="0" borderId="93" xfId="0" applyFont="1" applyBorder="1" applyAlignment="1">
      <alignment horizontal="center" vertical="center"/>
    </xf>
    <xf numFmtId="0" fontId="81" fillId="8" borderId="66" xfId="0" applyFont="1" applyFill="1" applyBorder="1" applyAlignment="1">
      <alignment horizontal="center" vertical="center" wrapText="1"/>
    </xf>
    <xf numFmtId="0" fontId="247" fillId="8" borderId="60" xfId="0" applyFont="1" applyFill="1" applyBorder="1" applyAlignment="1">
      <alignment horizontal="center" vertical="center" wrapText="1"/>
    </xf>
    <xf numFmtId="177" fontId="11" fillId="7" borderId="60" xfId="294" applyFont="1" applyFill="1" applyBorder="1" applyAlignment="1"/>
    <xf numFmtId="0" fontId="231" fillId="0" borderId="0" xfId="5728" applyFont="1">
      <alignment vertical="center"/>
    </xf>
    <xf numFmtId="0" fontId="231" fillId="0" borderId="0" xfId="5728" applyFont="1" applyAlignment="1">
      <alignment horizontal="left" vertical="center"/>
    </xf>
    <xf numFmtId="0" fontId="231" fillId="0" borderId="0" xfId="5728" applyFont="1" applyAlignment="1">
      <alignment vertical="center" wrapText="1"/>
    </xf>
    <xf numFmtId="0" fontId="231" fillId="0" borderId="60" xfId="5728" applyFont="1" applyBorder="1" applyAlignment="1">
      <alignment horizontal="center" vertical="center" wrapText="1"/>
    </xf>
    <xf numFmtId="0" fontId="247" fillId="8" borderId="60" xfId="0" applyFont="1" applyFill="1" applyBorder="1" applyAlignment="1">
      <alignment horizontal="center"/>
    </xf>
    <xf numFmtId="0" fontId="231" fillId="0" borderId="15" xfId="327" applyFont="1" applyBorder="1" applyAlignment="1">
      <alignment horizontal="center" vertical="center"/>
    </xf>
    <xf numFmtId="0" fontId="231" fillId="0" borderId="16" xfId="327" applyFont="1" applyBorder="1" applyAlignment="1">
      <alignment horizontal="center" vertical="center"/>
    </xf>
    <xf numFmtId="0" fontId="231" fillId="0" borderId="76" xfId="327" applyFont="1" applyBorder="1" applyAlignment="1">
      <alignment horizontal="center" vertical="center"/>
    </xf>
    <xf numFmtId="0" fontId="81" fillId="8" borderId="0" xfId="0" applyFont="1" applyFill="1" applyAlignment="1">
      <alignment vertical="center"/>
    </xf>
    <xf numFmtId="0" fontId="81" fillId="8" borderId="0" xfId="0" applyFont="1" applyFill="1" applyAlignment="1">
      <alignment horizontal="center"/>
    </xf>
    <xf numFmtId="0" fontId="81" fillId="8" borderId="0" xfId="334" applyFont="1" applyFill="1" applyAlignment="1">
      <alignment vertical="center"/>
    </xf>
    <xf numFmtId="0" fontId="81" fillId="8" borderId="0" xfId="313" applyFont="1" applyFill="1"/>
    <xf numFmtId="0" fontId="81" fillId="8" borderId="0" xfId="0" applyFont="1" applyFill="1" applyAlignment="1">
      <alignment horizontal="left"/>
    </xf>
    <xf numFmtId="0" fontId="81" fillId="8" borderId="66" xfId="0" applyFont="1" applyFill="1" applyBorder="1" applyAlignment="1">
      <alignment horizontal="center"/>
    </xf>
    <xf numFmtId="0" fontId="81" fillId="8" borderId="71" xfId="0" applyFont="1" applyFill="1" applyBorder="1" applyAlignment="1">
      <alignment vertical="center" wrapText="1"/>
    </xf>
    <xf numFmtId="180" fontId="81" fillId="8" borderId="66" xfId="0" applyNumberFormat="1" applyFont="1" applyFill="1" applyBorder="1" applyAlignment="1" applyProtection="1">
      <alignment vertical="center" wrapText="1"/>
      <protection locked="0" hidden="1"/>
    </xf>
    <xf numFmtId="180" fontId="81" fillId="8" borderId="66" xfId="0" applyNumberFormat="1" applyFont="1" applyFill="1" applyBorder="1" applyAlignment="1">
      <alignment vertical="center" wrapText="1"/>
    </xf>
    <xf numFmtId="0" fontId="261" fillId="0" borderId="0" xfId="0" applyFont="1"/>
    <xf numFmtId="0" fontId="80" fillId="8" borderId="0" xfId="0" applyFont="1" applyFill="1" applyAlignment="1"/>
    <xf numFmtId="0" fontId="81" fillId="8" borderId="15" xfId="0" applyFont="1" applyFill="1" applyBorder="1" applyAlignment="1">
      <alignment horizontal="center" vertical="center"/>
    </xf>
    <xf numFmtId="0" fontId="81" fillId="8" borderId="151" xfId="0" applyFont="1" applyFill="1" applyBorder="1" applyAlignment="1">
      <alignment horizontal="center" vertical="center" wrapText="1"/>
    </xf>
    <xf numFmtId="0" fontId="81" fillId="8" borderId="120" xfId="0" applyFont="1" applyFill="1" applyBorder="1" applyAlignment="1">
      <alignment horizontal="center" vertical="center"/>
    </xf>
    <xf numFmtId="0" fontId="81" fillId="8" borderId="152" xfId="0" applyFont="1" applyFill="1" applyBorder="1" applyAlignment="1">
      <alignment horizontal="center" vertical="center" wrapText="1"/>
    </xf>
    <xf numFmtId="0" fontId="81" fillId="8" borderId="17" xfId="0" applyFont="1" applyFill="1" applyBorder="1" applyAlignment="1">
      <alignment horizontal="center" vertical="center"/>
    </xf>
    <xf numFmtId="0" fontId="81" fillId="8" borderId="153" xfId="0" applyFont="1" applyFill="1" applyBorder="1" applyAlignment="1">
      <alignment horizontal="center" vertical="center" wrapText="1"/>
    </xf>
    <xf numFmtId="0" fontId="81" fillId="8" borderId="58" xfId="0" applyFont="1" applyFill="1" applyBorder="1" applyAlignment="1">
      <alignment horizontal="center" vertical="center"/>
    </xf>
    <xf numFmtId="0" fontId="0" fillId="7" borderId="0" xfId="0" applyFont="1" applyFill="1"/>
    <xf numFmtId="0" fontId="257" fillId="8" borderId="60" xfId="315" applyFont="1" applyFill="1" applyBorder="1" applyAlignment="1">
      <alignment horizontal="center" vertical="center" wrapText="1"/>
    </xf>
    <xf numFmtId="0" fontId="257" fillId="8" borderId="60" xfId="315" applyFont="1" applyFill="1" applyBorder="1" applyAlignment="1">
      <alignment horizontal="center" vertical="center"/>
    </xf>
    <xf numFmtId="0" fontId="264" fillId="7" borderId="0" xfId="0" applyFont="1" applyFill="1"/>
    <xf numFmtId="0" fontId="0" fillId="7" borderId="0" xfId="0" applyFill="1" applyAlignment="1">
      <alignment horizontal="left"/>
    </xf>
    <xf numFmtId="0" fontId="265" fillId="7" borderId="0" xfId="0" applyFont="1" applyFill="1"/>
    <xf numFmtId="0" fontId="75" fillId="7" borderId="0" xfId="0" applyFont="1" applyFill="1" applyAlignment="1">
      <alignment horizontal="left"/>
    </xf>
    <xf numFmtId="0" fontId="75" fillId="7" borderId="0" xfId="0" applyFont="1" applyFill="1"/>
    <xf numFmtId="0" fontId="75" fillId="7" borderId="0" xfId="0" applyFont="1" applyFill="1" applyAlignment="1">
      <alignment horizontal="right"/>
    </xf>
    <xf numFmtId="0" fontId="0" fillId="7" borderId="60" xfId="0" applyFill="1" applyBorder="1" applyAlignment="1">
      <alignment horizontal="center"/>
    </xf>
    <xf numFmtId="0" fontId="75" fillId="7" borderId="60" xfId="0" applyFont="1" applyFill="1" applyBorder="1" applyAlignment="1">
      <alignment horizontal="center" wrapText="1"/>
    </xf>
    <xf numFmtId="0" fontId="0" fillId="7" borderId="60" xfId="0" applyFill="1" applyBorder="1" applyAlignment="1">
      <alignment horizontal="center" wrapText="1"/>
    </xf>
    <xf numFmtId="0" fontId="0" fillId="7" borderId="60" xfId="0" applyFill="1" applyBorder="1" applyAlignment="1">
      <alignment horizontal="center" vertical="center"/>
    </xf>
    <xf numFmtId="177" fontId="75" fillId="7" borderId="60" xfId="294" applyFont="1" applyFill="1" applyBorder="1" applyAlignment="1">
      <alignment horizontal="center" vertical="center" wrapText="1"/>
    </xf>
    <xf numFmtId="177" fontId="5" fillId="7" borderId="60" xfId="294" applyFont="1" applyFill="1" applyBorder="1" applyAlignment="1">
      <alignment vertical="center"/>
    </xf>
    <xf numFmtId="177" fontId="0" fillId="7" borderId="60" xfId="0" applyNumberFormat="1" applyFill="1" applyBorder="1" applyAlignment="1">
      <alignment vertical="center"/>
    </xf>
    <xf numFmtId="177" fontId="75" fillId="7" borderId="60" xfId="294" applyFont="1" applyFill="1" applyBorder="1" applyAlignment="1">
      <alignment horizontal="right" vertical="center" wrapText="1"/>
    </xf>
    <xf numFmtId="177" fontId="5" fillId="7" borderId="60" xfId="294" applyFont="1" applyFill="1" applyBorder="1" applyAlignment="1">
      <alignment horizontal="center" vertical="center"/>
    </xf>
    <xf numFmtId="0" fontId="240" fillId="7" borderId="0" xfId="0" applyFont="1" applyFill="1" applyAlignment="1">
      <alignment horizontal="left"/>
    </xf>
    <xf numFmtId="0" fontId="266" fillId="8" borderId="60" xfId="0" applyFont="1" applyFill="1" applyBorder="1" applyAlignment="1">
      <alignment horizontal="center"/>
    </xf>
    <xf numFmtId="0" fontId="267" fillId="8" borderId="60" xfId="0" applyFont="1" applyFill="1" applyBorder="1" applyAlignment="1">
      <alignment horizontal="center" vertical="center" wrapText="1"/>
    </xf>
    <xf numFmtId="177" fontId="267" fillId="8" borderId="60" xfId="294" applyFont="1" applyFill="1" applyBorder="1" applyAlignment="1">
      <alignment horizontal="center" vertical="center" wrapText="1"/>
    </xf>
    <xf numFmtId="177" fontId="266" fillId="8" borderId="60" xfId="0" applyNumberFormat="1" applyFont="1" applyFill="1" applyBorder="1" applyAlignment="1">
      <alignment vertical="center"/>
    </xf>
    <xf numFmtId="177" fontId="267" fillId="8" borderId="60" xfId="294" applyFont="1" applyFill="1" applyBorder="1" applyAlignment="1">
      <alignment horizontal="right" vertical="center" wrapText="1"/>
    </xf>
    <xf numFmtId="177" fontId="266" fillId="8" borderId="60" xfId="294" applyFont="1" applyFill="1" applyBorder="1" applyAlignment="1">
      <alignment horizontal="center" vertical="center"/>
    </xf>
    <xf numFmtId="0" fontId="266" fillId="8" borderId="0" xfId="0" applyFont="1" applyFill="1"/>
    <xf numFmtId="0" fontId="266" fillId="8" borderId="0" xfId="0" applyFont="1" applyFill="1" applyAlignment="1">
      <alignment horizontal="left"/>
    </xf>
    <xf numFmtId="0" fontId="11" fillId="7" borderId="60" xfId="0" applyFont="1" applyFill="1" applyBorder="1" applyAlignment="1">
      <alignment horizontal="center" wrapText="1"/>
    </xf>
    <xf numFmtId="0" fontId="11" fillId="0" borderId="0" xfId="0" applyFont="1" applyAlignment="1">
      <alignment horizontal="left" vertical="center" wrapText="1"/>
    </xf>
    <xf numFmtId="0" fontId="0" fillId="7" borderId="60" xfId="0" applyFill="1" applyBorder="1" applyAlignment="1">
      <alignment horizontal="center"/>
    </xf>
    <xf numFmtId="0" fontId="11" fillId="7" borderId="60" xfId="0" applyFont="1" applyFill="1" applyBorder="1" applyAlignment="1">
      <alignment horizontal="center" vertical="center"/>
    </xf>
    <xf numFmtId="0" fontId="243" fillId="7" borderId="60" xfId="0" applyFont="1" applyFill="1" applyBorder="1" applyAlignment="1">
      <alignment horizontal="center" vertical="center" wrapText="1"/>
    </xf>
    <xf numFmtId="0" fontId="11" fillId="7" borderId="60" xfId="0" applyFont="1" applyFill="1" applyBorder="1" applyAlignment="1">
      <alignment horizontal="center"/>
    </xf>
    <xf numFmtId="177" fontId="11" fillId="8" borderId="60" xfId="294" applyFont="1" applyFill="1" applyBorder="1" applyAlignment="1"/>
    <xf numFmtId="177" fontId="11" fillId="7" borderId="1" xfId="294" applyFont="1" applyFill="1" applyBorder="1" applyAlignment="1"/>
    <xf numFmtId="0" fontId="0" fillId="8" borderId="60" xfId="0" applyFill="1" applyBorder="1" applyAlignment="1">
      <alignment horizontal="center"/>
    </xf>
    <xf numFmtId="177" fontId="75" fillId="7" borderId="60" xfId="294" applyFont="1" applyFill="1" applyBorder="1" applyAlignment="1">
      <alignment horizontal="center" wrapText="1"/>
    </xf>
    <xf numFmtId="177" fontId="5" fillId="7" borderId="60" xfId="294" applyFont="1" applyFill="1" applyBorder="1" applyAlignment="1"/>
    <xf numFmtId="177" fontId="0" fillId="7" borderId="60" xfId="0" applyNumberFormat="1" applyFill="1" applyBorder="1"/>
    <xf numFmtId="177" fontId="5" fillId="7" borderId="60" xfId="294" applyFont="1" applyFill="1" applyBorder="1" applyAlignment="1">
      <alignment horizontal="center"/>
    </xf>
    <xf numFmtId="0" fontId="11" fillId="0" borderId="157" xfId="0" applyFont="1" applyBorder="1" applyAlignment="1">
      <alignment horizontal="center" vertical="center" wrapText="1"/>
    </xf>
    <xf numFmtId="0" fontId="11" fillId="8" borderId="131" xfId="0" applyFont="1" applyFill="1" applyBorder="1" applyAlignment="1">
      <alignment vertical="center"/>
    </xf>
    <xf numFmtId="0" fontId="11" fillId="8" borderId="132" xfId="0" applyFont="1" applyFill="1" applyBorder="1" applyAlignment="1">
      <alignment vertical="center"/>
    </xf>
    <xf numFmtId="0" fontId="11" fillId="8" borderId="133" xfId="0" applyFont="1" applyFill="1" applyBorder="1" applyAlignment="1">
      <alignment vertical="center"/>
    </xf>
    <xf numFmtId="0" fontId="11" fillId="8" borderId="134" xfId="0" applyFont="1" applyFill="1" applyBorder="1" applyAlignment="1">
      <alignment vertical="center"/>
    </xf>
    <xf numFmtId="0" fontId="11" fillId="8" borderId="157" xfId="0" applyFont="1" applyFill="1" applyBorder="1" applyAlignment="1">
      <alignment vertical="center"/>
    </xf>
    <xf numFmtId="0" fontId="11" fillId="7" borderId="126" xfId="0" applyFont="1" applyFill="1" applyBorder="1" applyAlignment="1">
      <alignment horizontal="center" vertical="center" wrapText="1"/>
    </xf>
    <xf numFmtId="0" fontId="11" fillId="7" borderId="154" xfId="0" applyFont="1" applyFill="1" applyBorder="1" applyAlignment="1">
      <alignment horizontal="center" vertical="center"/>
    </xf>
    <xf numFmtId="0" fontId="243" fillId="7" borderId="60" xfId="0" applyFont="1" applyFill="1" applyBorder="1" applyAlignment="1">
      <alignment horizontal="center" wrapText="1"/>
    </xf>
    <xf numFmtId="0" fontId="11" fillId="7" borderId="126" xfId="0" applyFont="1" applyFill="1" applyBorder="1"/>
    <xf numFmtId="0" fontId="243" fillId="7" borderId="154" xfId="0" applyFont="1" applyFill="1" applyBorder="1" applyAlignment="1">
      <alignment horizontal="center" vertical="center" wrapText="1"/>
    </xf>
    <xf numFmtId="177" fontId="243" fillId="7" borderId="60" xfId="294" applyFont="1" applyFill="1" applyBorder="1" applyAlignment="1">
      <alignment horizontal="center" wrapText="1"/>
    </xf>
    <xf numFmtId="177" fontId="11" fillId="7" borderId="126" xfId="294" applyFont="1" applyFill="1" applyBorder="1" applyAlignment="1"/>
    <xf numFmtId="0" fontId="11" fillId="7" borderId="155" xfId="0" applyFont="1" applyFill="1" applyBorder="1" applyAlignment="1">
      <alignment horizontal="center" vertical="center"/>
    </xf>
    <xf numFmtId="0" fontId="243" fillId="7" borderId="156" xfId="0" applyFont="1" applyFill="1" applyBorder="1" applyAlignment="1">
      <alignment horizontal="center" vertical="center" wrapText="1"/>
    </xf>
    <xf numFmtId="177" fontId="243" fillId="7" borderId="156" xfId="294" applyFont="1" applyFill="1" applyBorder="1" applyAlignment="1">
      <alignment horizontal="center" wrapText="1"/>
    </xf>
    <xf numFmtId="177" fontId="11" fillId="7" borderId="156" xfId="294" applyFont="1" applyFill="1" applyBorder="1" applyAlignment="1"/>
    <xf numFmtId="177" fontId="11" fillId="7" borderId="157" xfId="294" applyFont="1" applyFill="1" applyBorder="1" applyAlignment="1"/>
    <xf numFmtId="0" fontId="247" fillId="8" borderId="60" xfId="0" applyFont="1" applyFill="1" applyBorder="1" applyAlignment="1">
      <alignment horizontal="center" vertical="center" wrapText="1"/>
    </xf>
    <xf numFmtId="0" fontId="81" fillId="8" borderId="66" xfId="0" applyFont="1" applyFill="1" applyBorder="1" applyAlignment="1">
      <alignment vertical="center" wrapText="1"/>
    </xf>
    <xf numFmtId="0" fontId="268" fillId="0" borderId="0" xfId="5733"/>
    <xf numFmtId="0" fontId="268" fillId="7" borderId="0" xfId="5733" applyFill="1"/>
    <xf numFmtId="0" fontId="81" fillId="0" borderId="0" xfId="0" applyFont="1" applyFill="1"/>
    <xf numFmtId="0" fontId="81" fillId="8" borderId="114" xfId="0" applyFont="1" applyFill="1" applyBorder="1" applyAlignment="1">
      <alignment horizontal="center" vertical="center" wrapText="1"/>
    </xf>
    <xf numFmtId="0" fontId="11" fillId="0" borderId="103" xfId="0" applyFont="1" applyBorder="1" applyAlignment="1">
      <alignment horizontal="center" vertical="center"/>
    </xf>
    <xf numFmtId="0" fontId="11" fillId="0" borderId="104" xfId="0" applyFont="1" applyBorder="1" applyAlignment="1">
      <alignment horizontal="center" vertical="center"/>
    </xf>
    <xf numFmtId="0" fontId="11" fillId="0" borderId="16" xfId="0" applyFont="1" applyBorder="1" applyAlignment="1">
      <alignment horizontal="center" vertical="center"/>
    </xf>
    <xf numFmtId="0" fontId="11" fillId="0" borderId="91" xfId="0" applyFont="1" applyBorder="1" applyAlignment="1">
      <alignment horizontal="center" vertical="center"/>
    </xf>
    <xf numFmtId="0" fontId="11" fillId="0" borderId="15" xfId="0" applyFont="1" applyBorder="1" applyAlignment="1">
      <alignment horizontal="center" vertical="center"/>
    </xf>
    <xf numFmtId="0" fontId="11" fillId="0" borderId="76" xfId="0" applyFont="1" applyBorder="1" applyAlignment="1">
      <alignment horizontal="center" vertical="center"/>
    </xf>
    <xf numFmtId="0" fontId="268" fillId="7" borderId="0" xfId="5733" applyFill="1" applyAlignment="1">
      <alignment horizontal="left"/>
    </xf>
    <xf numFmtId="0" fontId="268" fillId="7" borderId="0" xfId="5733" applyFill="1" applyAlignment="1">
      <alignment vertical="center"/>
    </xf>
    <xf numFmtId="0" fontId="268" fillId="0" borderId="0" xfId="5733" applyAlignment="1">
      <alignment vertical="center"/>
    </xf>
    <xf numFmtId="0" fontId="230" fillId="0" borderId="154" xfId="327" applyFont="1" applyBorder="1">
      <alignment vertical="center"/>
    </xf>
    <xf numFmtId="0" fontId="13" fillId="7" borderId="0" xfId="327" applyFont="1" applyFill="1" applyBorder="1" applyAlignment="1">
      <alignment vertical="center"/>
    </xf>
    <xf numFmtId="0" fontId="13" fillId="0" borderId="154" xfId="327" applyFont="1" applyFill="1" applyBorder="1">
      <alignment vertical="center"/>
    </xf>
    <xf numFmtId="0" fontId="13" fillId="0" borderId="60" xfId="327" applyFont="1" applyFill="1" applyBorder="1" applyAlignment="1">
      <alignment horizontal="center" vertical="center"/>
    </xf>
    <xf numFmtId="0" fontId="13" fillId="0" borderId="60" xfId="327" applyFont="1" applyFill="1" applyBorder="1" applyAlignment="1">
      <alignment vertical="center" wrapText="1"/>
    </xf>
    <xf numFmtId="0" fontId="13" fillId="0" borderId="126" xfId="327" applyFont="1" applyFill="1" applyBorder="1" applyAlignment="1">
      <alignment horizontal="center" vertical="center"/>
    </xf>
    <xf numFmtId="0" fontId="270" fillId="8" borderId="60" xfId="5733" applyFont="1" applyFill="1" applyBorder="1" applyAlignment="1">
      <alignment horizontal="center" vertical="center"/>
    </xf>
    <xf numFmtId="0" fontId="230" fillId="0" borderId="0" xfId="327" applyFont="1" applyFill="1" applyBorder="1" applyAlignment="1">
      <alignment vertical="center"/>
    </xf>
    <xf numFmtId="0" fontId="271" fillId="7" borderId="0" xfId="327" applyFont="1" applyFill="1" applyBorder="1" applyAlignment="1">
      <alignment vertical="center"/>
    </xf>
    <xf numFmtId="0" fontId="13" fillId="0" borderId="60" xfId="327" applyFont="1" applyFill="1" applyBorder="1">
      <alignment vertical="center"/>
    </xf>
    <xf numFmtId="49" fontId="13" fillId="0" borderId="60" xfId="327" applyNumberFormat="1" applyFont="1" applyFill="1" applyBorder="1" applyAlignment="1">
      <alignment horizontal="center" vertical="center"/>
    </xf>
    <xf numFmtId="0" fontId="13" fillId="0" borderId="0" xfId="327" applyFont="1" applyFill="1" applyBorder="1" applyAlignment="1">
      <alignment vertical="center"/>
    </xf>
    <xf numFmtId="0" fontId="13" fillId="0" borderId="155" xfId="327" applyFont="1" applyFill="1" applyBorder="1">
      <alignment vertical="center"/>
    </xf>
    <xf numFmtId="0" fontId="13" fillId="0" borderId="156" xfId="327" applyFont="1" applyFill="1" applyBorder="1" applyAlignment="1">
      <alignment horizontal="center" vertical="center"/>
    </xf>
    <xf numFmtId="0" fontId="13" fillId="0" borderId="156" xfId="327" applyFont="1" applyFill="1" applyBorder="1" applyAlignment="1">
      <alignment vertical="center" wrapText="1"/>
    </xf>
    <xf numFmtId="0" fontId="13" fillId="0" borderId="157" xfId="327" applyFont="1" applyFill="1" applyBorder="1" applyAlignment="1">
      <alignment horizontal="center" vertical="center"/>
    </xf>
    <xf numFmtId="0" fontId="13" fillId="0" borderId="0" xfId="327" applyFont="1" applyFill="1">
      <alignment vertical="center"/>
    </xf>
    <xf numFmtId="0" fontId="230" fillId="0" borderId="0" xfId="327" applyFont="1">
      <alignment vertical="center"/>
    </xf>
    <xf numFmtId="0" fontId="230" fillId="0" borderId="24" xfId="0" applyFont="1" applyBorder="1" applyAlignment="1">
      <alignment horizontal="center" vertical="center" wrapText="1"/>
    </xf>
    <xf numFmtId="0" fontId="241" fillId="7" borderId="60" xfId="315" applyFont="1" applyFill="1" applyBorder="1" applyAlignment="1">
      <alignment horizontal="center" vertical="center"/>
    </xf>
    <xf numFmtId="0" fontId="81" fillId="0" borderId="151" xfId="0" applyFont="1" applyFill="1" applyBorder="1" applyAlignment="1">
      <alignment horizontal="center" vertical="center" wrapText="1"/>
    </xf>
    <xf numFmtId="0" fontId="81" fillId="0" borderId="152" xfId="0" applyFont="1" applyFill="1" applyBorder="1" applyAlignment="1">
      <alignment horizontal="center" vertical="center" wrapText="1"/>
    </xf>
    <xf numFmtId="0" fontId="81" fillId="0" borderId="153" xfId="0" applyFont="1" applyFill="1" applyBorder="1" applyAlignment="1">
      <alignment horizontal="center" vertical="center" wrapText="1"/>
    </xf>
    <xf numFmtId="0" fontId="81" fillId="0" borderId="58" xfId="0" applyFont="1" applyFill="1" applyBorder="1" applyAlignment="1">
      <alignment horizontal="center" vertical="center"/>
    </xf>
    <xf numFmtId="0" fontId="11" fillId="0" borderId="16" xfId="0" applyFont="1" applyFill="1" applyBorder="1" applyAlignment="1">
      <alignment vertical="center"/>
    </xf>
    <xf numFmtId="0" fontId="11" fillId="0" borderId="60" xfId="0" applyFont="1" applyFill="1" applyBorder="1" applyAlignment="1">
      <alignment vertical="center"/>
    </xf>
    <xf numFmtId="0" fontId="11" fillId="0" borderId="58" xfId="0" applyFont="1" applyFill="1" applyBorder="1" applyAlignment="1">
      <alignment vertical="center"/>
    </xf>
    <xf numFmtId="0" fontId="240" fillId="7" borderId="0" xfId="3529" applyFont="1" applyFill="1" applyAlignment="1">
      <alignment vertical="center"/>
    </xf>
    <xf numFmtId="0" fontId="231" fillId="0" borderId="60" xfId="0" applyFont="1" applyBorder="1" applyAlignment="1">
      <alignment horizontal="center" vertical="center"/>
    </xf>
    <xf numFmtId="0" fontId="230" fillId="0" borderId="0" xfId="327" applyFont="1" applyFill="1" applyBorder="1" applyAlignment="1">
      <alignment horizontal="center" vertical="center"/>
    </xf>
    <xf numFmtId="0" fontId="230" fillId="0" borderId="60" xfId="327" applyFont="1" applyFill="1" applyBorder="1" applyAlignment="1">
      <alignment vertical="center" wrapText="1"/>
    </xf>
    <xf numFmtId="0" fontId="230" fillId="0" borderId="60" xfId="327" applyFont="1" applyFill="1" applyBorder="1" applyAlignment="1">
      <alignment horizontal="center" vertical="center"/>
    </xf>
    <xf numFmtId="0" fontId="230" fillId="0" borderId="126" xfId="327" applyFont="1" applyFill="1" applyBorder="1" applyAlignment="1">
      <alignment horizontal="center" vertical="center"/>
    </xf>
    <xf numFmtId="0" fontId="11" fillId="0" borderId="0" xfId="327" applyFont="1" applyFill="1" applyBorder="1" applyAlignment="1">
      <alignment vertical="center"/>
    </xf>
    <xf numFmtId="0" fontId="230" fillId="0" borderId="154" xfId="327" applyFont="1" applyFill="1" applyBorder="1">
      <alignment vertical="center"/>
    </xf>
    <xf numFmtId="0" fontId="231" fillId="0" borderId="60" xfId="0" applyFont="1" applyBorder="1" applyAlignment="1">
      <alignment horizontal="left" vertical="center"/>
    </xf>
    <xf numFmtId="0" fontId="231" fillId="0" borderId="60" xfId="0" applyFont="1" applyBorder="1" applyAlignment="1">
      <alignment vertical="center"/>
    </xf>
    <xf numFmtId="0" fontId="11" fillId="0" borderId="9" xfId="0" applyFont="1" applyBorder="1" applyAlignment="1">
      <alignment horizontal="center" vertical="center"/>
    </xf>
    <xf numFmtId="177" fontId="247" fillId="8" borderId="66" xfId="5734" applyFont="1" applyFill="1" applyBorder="1" applyAlignment="1">
      <alignment horizontal="center" vertical="center"/>
    </xf>
    <xf numFmtId="0" fontId="11" fillId="0" borderId="60" xfId="0" applyFont="1" applyFill="1" applyBorder="1" applyAlignment="1">
      <alignment horizontal="center"/>
    </xf>
    <xf numFmtId="0" fontId="11" fillId="7" borderId="60" xfId="0" applyFont="1" applyFill="1" applyBorder="1" applyAlignment="1">
      <alignment horizontal="center" vertical="center"/>
    </xf>
    <xf numFmtId="0" fontId="243" fillId="7" borderId="60" xfId="0" applyFont="1" applyFill="1" applyBorder="1" applyAlignment="1">
      <alignment horizontal="center" vertical="center" wrapText="1"/>
    </xf>
    <xf numFmtId="0" fontId="11" fillId="7" borderId="60" xfId="0" applyFont="1" applyFill="1" applyBorder="1" applyAlignment="1">
      <alignment horizontal="center"/>
    </xf>
    <xf numFmtId="0" fontId="81" fillId="8" borderId="16" xfId="0" applyFont="1" applyFill="1" applyBorder="1" applyAlignment="1">
      <alignment horizontal="center" vertical="center"/>
    </xf>
    <xf numFmtId="0" fontId="13" fillId="8" borderId="154" xfId="327" applyFont="1" applyFill="1" applyBorder="1">
      <alignment vertical="center"/>
    </xf>
    <xf numFmtId="0" fontId="13" fillId="8" borderId="60" xfId="327" applyFont="1" applyFill="1" applyBorder="1" applyAlignment="1">
      <alignment horizontal="center" vertical="center"/>
    </xf>
    <xf numFmtId="0" fontId="13" fillId="8" borderId="60" xfId="327" applyFont="1" applyFill="1" applyBorder="1" applyAlignment="1">
      <alignment vertical="center" wrapText="1"/>
    </xf>
    <xf numFmtId="0" fontId="13" fillId="8" borderId="126" xfId="327" applyFont="1" applyFill="1" applyBorder="1" applyAlignment="1">
      <alignment horizontal="center" vertical="center"/>
    </xf>
    <xf numFmtId="0" fontId="230" fillId="0" borderId="60" xfId="0" applyFont="1" applyBorder="1" applyAlignment="1">
      <alignment horizontal="center" vertical="center" wrapText="1"/>
    </xf>
    <xf numFmtId="0" fontId="230" fillId="0" borderId="60" xfId="0" applyFont="1" applyBorder="1" applyAlignment="1">
      <alignment horizontal="left" vertical="center" wrapText="1"/>
    </xf>
    <xf numFmtId="0" fontId="230" fillId="0" borderId="138" xfId="0" applyFont="1" applyBorder="1" applyAlignment="1">
      <alignment horizontal="left" vertical="center" wrapText="1"/>
    </xf>
    <xf numFmtId="0" fontId="230" fillId="0" borderId="125" xfId="0" applyFont="1" applyBorder="1" applyAlignment="1">
      <alignment horizontal="center" vertical="center" wrapText="1"/>
    </xf>
    <xf numFmtId="177" fontId="234" fillId="0" borderId="93" xfId="294" applyFont="1" applyFill="1" applyBorder="1" applyAlignment="1">
      <alignment horizontal="right" vertical="center"/>
    </xf>
    <xf numFmtId="177" fontId="234" fillId="0" borderId="73" xfId="294" applyFont="1" applyFill="1" applyBorder="1" applyAlignment="1">
      <alignment vertical="center"/>
    </xf>
    <xf numFmtId="0" fontId="231" fillId="0" borderId="0" xfId="0" applyFont="1" applyAlignment="1">
      <alignment horizontal="right"/>
    </xf>
    <xf numFmtId="0" fontId="230" fillId="0" borderId="165" xfId="0" applyFont="1" applyBorder="1" applyAlignment="1">
      <alignment horizontal="center" vertical="center" wrapText="1"/>
    </xf>
    <xf numFmtId="177" fontId="231" fillId="0" borderId="1" xfId="288" applyFont="1" applyFill="1" applyBorder="1" applyAlignment="1">
      <alignment horizontal="right" vertical="center" wrapText="1"/>
    </xf>
    <xf numFmtId="177" fontId="232" fillId="0" borderId="1" xfId="288" applyFont="1" applyFill="1" applyBorder="1" applyAlignment="1">
      <alignment horizontal="right" vertical="center" wrapText="1"/>
    </xf>
    <xf numFmtId="177" fontId="232" fillId="0" borderId="166" xfId="288" applyFont="1" applyFill="1" applyBorder="1" applyAlignment="1">
      <alignment horizontal="right" vertical="center" wrapText="1"/>
    </xf>
    <xf numFmtId="177" fontId="231" fillId="0" borderId="166" xfId="288" applyFont="1" applyFill="1" applyBorder="1" applyAlignment="1">
      <alignment horizontal="right" vertical="center" wrapText="1"/>
    </xf>
    <xf numFmtId="0" fontId="230" fillId="0" borderId="168" xfId="0" applyFont="1" applyBorder="1" applyAlignment="1">
      <alignment horizontal="center" vertical="center" wrapText="1"/>
    </xf>
    <xf numFmtId="0" fontId="231" fillId="0" borderId="0" xfId="3529" applyFont="1"/>
    <xf numFmtId="0" fontId="231" fillId="0" borderId="0" xfId="313" applyFont="1" applyAlignment="1">
      <alignment vertical="center"/>
    </xf>
    <xf numFmtId="0" fontId="231" fillId="0" borderId="60" xfId="0" applyFont="1" applyBorder="1" applyAlignment="1">
      <alignment horizontal="right" vertical="center" wrapText="1"/>
    </xf>
    <xf numFmtId="0" fontId="230" fillId="0" borderId="60" xfId="0" applyFont="1" applyBorder="1" applyAlignment="1">
      <alignment horizontal="right" vertical="center" wrapText="1"/>
    </xf>
    <xf numFmtId="0" fontId="232" fillId="0" borderId="60" xfId="0" applyFont="1" applyBorder="1" applyAlignment="1">
      <alignment horizontal="right" vertical="center" wrapText="1"/>
    </xf>
    <xf numFmtId="0" fontId="230" fillId="0" borderId="169" xfId="0" applyFont="1" applyBorder="1" applyAlignment="1">
      <alignment horizontal="center" vertical="center" wrapText="1"/>
    </xf>
    <xf numFmtId="0" fontId="273" fillId="8" borderId="168" xfId="0" applyFont="1" applyFill="1" applyBorder="1" applyAlignment="1">
      <alignment horizontal="center" vertical="center" wrapText="1"/>
    </xf>
    <xf numFmtId="0" fontId="247" fillId="8" borderId="0" xfId="313" applyFont="1" applyFill="1"/>
    <xf numFmtId="0" fontId="247" fillId="0" borderId="0" xfId="313" applyFont="1" applyFill="1"/>
    <xf numFmtId="0" fontId="247" fillId="0" borderId="0" xfId="313" applyFont="1" applyFill="1" applyAlignment="1">
      <alignment horizontal="left"/>
    </xf>
    <xf numFmtId="0" fontId="231" fillId="0" borderId="0" xfId="313" applyFont="1" applyFill="1"/>
    <xf numFmtId="0" fontId="231" fillId="0" borderId="166" xfId="0" applyFont="1" applyBorder="1" applyAlignment="1">
      <alignment horizontal="right" vertical="center" wrapText="1"/>
    </xf>
    <xf numFmtId="0" fontId="231" fillId="0" borderId="166" xfId="0" applyFont="1" applyBorder="1" applyAlignment="1">
      <alignment horizontal="center" vertical="center" wrapText="1"/>
    </xf>
    <xf numFmtId="0" fontId="274" fillId="8" borderId="60" xfId="5733" applyFont="1" applyFill="1" applyBorder="1" applyAlignment="1">
      <alignment horizontal="center" vertical="center"/>
    </xf>
    <xf numFmtId="0" fontId="230" fillId="74" borderId="165" xfId="0" applyFont="1" applyFill="1" applyBorder="1" applyAlignment="1">
      <alignment horizontal="center" vertical="center" wrapText="1"/>
    </xf>
    <xf numFmtId="0" fontId="230" fillId="74" borderId="125" xfId="0" applyFont="1" applyFill="1" applyBorder="1" applyAlignment="1">
      <alignment horizontal="center" vertical="center" wrapText="1"/>
    </xf>
    <xf numFmtId="0" fontId="230" fillId="74" borderId="124" xfId="0" applyFont="1" applyFill="1" applyBorder="1" applyAlignment="1">
      <alignment horizontal="center" vertical="center" wrapText="1"/>
    </xf>
    <xf numFmtId="0" fontId="273" fillId="8" borderId="165" xfId="0" applyFont="1" applyFill="1" applyBorder="1" applyAlignment="1">
      <alignment horizontal="center" vertical="center" wrapText="1"/>
    </xf>
    <xf numFmtId="0" fontId="247" fillId="8" borderId="0" xfId="314" applyFont="1" applyFill="1" applyAlignment="1"/>
    <xf numFmtId="0" fontId="247" fillId="8" borderId="0" xfId="314" applyFont="1" applyFill="1" applyAlignment="1">
      <alignment horizontal="left"/>
    </xf>
    <xf numFmtId="0" fontId="247" fillId="8" borderId="0" xfId="314" quotePrefix="1" applyFont="1" applyFill="1" applyAlignment="1"/>
    <xf numFmtId="0" fontId="11" fillId="0" borderId="9" xfId="0" applyFont="1" applyBorder="1" applyAlignment="1">
      <alignment horizontal="center" vertical="center" wrapText="1"/>
    </xf>
    <xf numFmtId="0" fontId="11" fillId="0" borderId="93" xfId="0" applyFont="1" applyBorder="1" applyAlignment="1">
      <alignment horizontal="center" vertical="center" wrapText="1"/>
    </xf>
    <xf numFmtId="0" fontId="11" fillId="0" borderId="0" xfId="0" applyFont="1" applyAlignment="1">
      <alignment horizontal="left" vertical="center" wrapText="1"/>
    </xf>
    <xf numFmtId="0" fontId="15" fillId="0" borderId="0" xfId="0" applyFont="1" applyAlignment="1">
      <alignment wrapText="1"/>
    </xf>
    <xf numFmtId="0" fontId="15" fillId="0" borderId="0" xfId="0" applyFont="1" applyAlignment="1">
      <alignment horizontal="left" wrapText="1"/>
    </xf>
    <xf numFmtId="0" fontId="15" fillId="0" borderId="0" xfId="0" applyFont="1" applyAlignment="1">
      <alignment horizontal="center" wrapText="1"/>
    </xf>
    <xf numFmtId="0" fontId="11" fillId="0" borderId="0" xfId="0" applyFont="1" applyAlignment="1">
      <alignment horizontal="right" wrapText="1"/>
    </xf>
    <xf numFmtId="0" fontId="11" fillId="0" borderId="60" xfId="0" applyFont="1" applyFill="1" applyBorder="1" applyAlignment="1">
      <alignment horizontal="center" vertical="center" wrapText="1"/>
    </xf>
    <xf numFmtId="0" fontId="11" fillId="75" borderId="60" xfId="0" applyFont="1" applyFill="1" applyBorder="1" applyAlignment="1">
      <alignment horizontal="center" vertical="center" wrapText="1"/>
    </xf>
    <xf numFmtId="0" fontId="234" fillId="0" borderId="60" xfId="0" applyFont="1" applyBorder="1" applyAlignment="1">
      <alignment horizontal="center" vertical="center"/>
    </xf>
    <xf numFmtId="0" fontId="232" fillId="7" borderId="154" xfId="327" applyFont="1" applyFill="1" applyBorder="1">
      <alignment vertical="center"/>
    </xf>
    <xf numFmtId="0" fontId="232" fillId="7" borderId="60" xfId="327" applyFont="1" applyFill="1" applyBorder="1" applyAlignment="1">
      <alignment horizontal="center" vertical="center"/>
    </xf>
    <xf numFmtId="0" fontId="230" fillId="7" borderId="60" xfId="327" applyFont="1" applyFill="1" applyBorder="1" applyAlignment="1">
      <alignment vertical="center" wrapText="1"/>
    </xf>
    <xf numFmtId="0" fontId="230" fillId="7" borderId="60" xfId="327" applyFont="1" applyFill="1" applyBorder="1" applyAlignment="1">
      <alignment horizontal="center" vertical="center"/>
    </xf>
    <xf numFmtId="0" fontId="230" fillId="7" borderId="126" xfId="327" applyFont="1" applyFill="1" applyBorder="1" applyAlignment="1">
      <alignment horizontal="center" vertical="center"/>
    </xf>
    <xf numFmtId="0" fontId="230" fillId="7" borderId="60" xfId="327" applyFont="1" applyFill="1" applyBorder="1">
      <alignment vertical="center"/>
    </xf>
    <xf numFmtId="49" fontId="232" fillId="7" borderId="60" xfId="327" applyNumberFormat="1" applyFont="1" applyFill="1" applyBorder="1" applyAlignment="1">
      <alignment horizontal="center" vertical="center"/>
    </xf>
    <xf numFmtId="0" fontId="12" fillId="7" borderId="154" xfId="327" applyFont="1" applyFill="1" applyBorder="1">
      <alignment vertical="center"/>
    </xf>
    <xf numFmtId="0" fontId="12" fillId="7" borderId="60" xfId="327" applyFont="1" applyFill="1" applyBorder="1" applyAlignment="1">
      <alignment horizontal="center" vertical="center"/>
    </xf>
    <xf numFmtId="0" fontId="13" fillId="7" borderId="60" xfId="327" applyFont="1" applyFill="1" applyBorder="1" applyAlignment="1">
      <alignment vertical="center" wrapText="1"/>
    </xf>
    <xf numFmtId="0" fontId="13" fillId="7" borderId="60" xfId="327" applyFont="1" applyFill="1" applyBorder="1" applyAlignment="1">
      <alignment horizontal="center" vertical="center"/>
    </xf>
    <xf numFmtId="0" fontId="13" fillId="7" borderId="126" xfId="327" applyFont="1" applyFill="1" applyBorder="1" applyAlignment="1">
      <alignment horizontal="center" vertical="center"/>
    </xf>
    <xf numFmtId="0" fontId="12" fillId="7" borderId="155" xfId="327" applyFont="1" applyFill="1" applyBorder="1">
      <alignment vertical="center"/>
    </xf>
    <xf numFmtId="0" fontId="12" fillId="7" borderId="156" xfId="327" applyFont="1" applyFill="1" applyBorder="1" applyAlignment="1">
      <alignment horizontal="center" vertical="center"/>
    </xf>
    <xf numFmtId="0" fontId="13" fillId="7" borderId="156" xfId="327" applyFont="1" applyFill="1" applyBorder="1" applyAlignment="1">
      <alignment vertical="center" wrapText="1"/>
    </xf>
    <xf numFmtId="0" fontId="13" fillId="7" borderId="156" xfId="327" applyFont="1" applyFill="1" applyBorder="1" applyAlignment="1">
      <alignment horizontal="center" vertical="center"/>
    </xf>
    <xf numFmtId="0" fontId="13" fillId="7" borderId="157" xfId="327" applyFont="1" applyFill="1" applyBorder="1" applyAlignment="1">
      <alignment horizontal="center" vertical="center"/>
    </xf>
    <xf numFmtId="0" fontId="78" fillId="7" borderId="0" xfId="327" applyFont="1" applyFill="1" applyBorder="1" applyAlignment="1">
      <alignment horizontal="center" vertical="center"/>
    </xf>
    <xf numFmtId="0" fontId="231" fillId="0" borderId="16" xfId="327" applyFont="1" applyBorder="1" applyAlignment="1">
      <alignment horizontal="center" vertical="center"/>
    </xf>
    <xf numFmtId="0" fontId="231" fillId="0" borderId="60" xfId="5728" applyFont="1" applyBorder="1" applyAlignment="1">
      <alignment horizontal="center" vertical="center"/>
    </xf>
    <xf numFmtId="0" fontId="231" fillId="0" borderId="66" xfId="5728" applyFont="1" applyBorder="1" applyAlignment="1">
      <alignment horizontal="center" vertical="center"/>
    </xf>
    <xf numFmtId="0" fontId="231" fillId="0" borderId="62" xfId="5728" applyFont="1" applyBorder="1" applyAlignment="1">
      <alignment horizontal="left" vertical="center"/>
    </xf>
    <xf numFmtId="0" fontId="231" fillId="0" borderId="73" xfId="5728" applyFont="1" applyBorder="1" applyAlignment="1">
      <alignment horizontal="left" vertical="center"/>
    </xf>
    <xf numFmtId="0" fontId="231" fillId="0" borderId="60" xfId="5728" applyFont="1" applyBorder="1" applyAlignment="1">
      <alignment horizontal="left" vertical="center"/>
    </xf>
    <xf numFmtId="0" fontId="231" fillId="0" borderId="158" xfId="5728" applyFont="1" applyBorder="1" applyAlignment="1">
      <alignment horizontal="left" vertical="center"/>
    </xf>
    <xf numFmtId="0" fontId="231" fillId="0" borderId="20" xfId="5728" applyFont="1" applyBorder="1" applyAlignment="1">
      <alignment horizontal="left" vertical="center"/>
    </xf>
    <xf numFmtId="0" fontId="231" fillId="0" borderId="1" xfId="5728" applyFont="1" applyBorder="1" applyAlignment="1">
      <alignment horizontal="left" vertical="center"/>
    </xf>
    <xf numFmtId="0" fontId="246" fillId="0" borderId="160" xfId="5728" applyFont="1" applyBorder="1" applyAlignment="1">
      <alignment horizontal="center" vertical="center"/>
    </xf>
    <xf numFmtId="0" fontId="246" fillId="0" borderId="98" xfId="5728" applyFont="1" applyBorder="1" applyAlignment="1">
      <alignment horizontal="center" vertical="center"/>
    </xf>
    <xf numFmtId="0" fontId="246" fillId="0" borderId="163" xfId="5728" applyFont="1" applyBorder="1" applyAlignment="1">
      <alignment horizontal="center" vertical="center"/>
    </xf>
    <xf numFmtId="0" fontId="246" fillId="0" borderId="158" xfId="5728" applyFont="1" applyBorder="1" applyAlignment="1">
      <alignment horizontal="center" vertical="center" wrapText="1"/>
    </xf>
    <xf numFmtId="0" fontId="246" fillId="0" borderId="1" xfId="5728" applyFont="1" applyBorder="1" applyAlignment="1">
      <alignment horizontal="center" vertical="center" wrapText="1"/>
    </xf>
    <xf numFmtId="0" fontId="246" fillId="0" borderId="19" xfId="5728" applyFont="1" applyBorder="1" applyAlignment="1">
      <alignment horizontal="center" vertical="center"/>
    </xf>
    <xf numFmtId="0" fontId="11" fillId="0" borderId="160" xfId="0" applyFont="1" applyBorder="1" applyAlignment="1">
      <alignment horizontal="center" vertical="center" wrapText="1"/>
    </xf>
    <xf numFmtId="0" fontId="11" fillId="0" borderId="98" xfId="0" applyFont="1" applyBorder="1" applyAlignment="1">
      <alignment horizontal="center" vertical="center" wrapText="1"/>
    </xf>
    <xf numFmtId="0" fontId="11" fillId="0" borderId="163" xfId="0" applyFont="1" applyBorder="1" applyAlignment="1">
      <alignment horizontal="center" vertical="center" wrapText="1"/>
    </xf>
    <xf numFmtId="0" fontId="11" fillId="0" borderId="21" xfId="0" applyFont="1" applyBorder="1" applyAlignment="1">
      <alignment horizontal="center" vertical="center" wrapText="1"/>
    </xf>
    <xf numFmtId="0" fontId="11" fillId="0" borderId="0" xfId="0" applyFont="1" applyBorder="1" applyAlignment="1">
      <alignment horizontal="center" vertical="center" wrapText="1"/>
    </xf>
    <xf numFmtId="0" fontId="11" fillId="0" borderId="9" xfId="0" applyFont="1" applyBorder="1" applyAlignment="1">
      <alignment horizontal="center" vertical="center" wrapText="1"/>
    </xf>
    <xf numFmtId="0" fontId="11" fillId="0" borderId="18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11" fillId="0" borderId="19" xfId="0" applyFont="1" applyBorder="1" applyAlignment="1">
      <alignment horizontal="center" vertical="center" wrapText="1"/>
    </xf>
    <xf numFmtId="0" fontId="231" fillId="0" borderId="160" xfId="0" applyFont="1" applyFill="1" applyBorder="1" applyAlignment="1">
      <alignment horizontal="left" vertical="center" wrapText="1" indent="2"/>
    </xf>
    <xf numFmtId="0" fontId="231" fillId="0" borderId="21" xfId="0" applyFont="1" applyFill="1" applyBorder="1" applyAlignment="1">
      <alignment horizontal="left" vertical="center" wrapText="1" indent="2"/>
    </xf>
    <xf numFmtId="0" fontId="231" fillId="0" borderId="161" xfId="0" applyFont="1" applyFill="1" applyBorder="1" applyAlignment="1">
      <alignment horizontal="left" vertical="center" wrapText="1" indent="2"/>
    </xf>
    <xf numFmtId="0" fontId="231" fillId="0" borderId="138" xfId="0" applyFont="1" applyFill="1" applyBorder="1" applyAlignment="1">
      <alignment horizontal="center" vertical="center"/>
    </xf>
    <xf numFmtId="0" fontId="231" fillId="0" borderId="159" xfId="0" applyFont="1" applyFill="1" applyBorder="1" applyAlignment="1">
      <alignment horizontal="center" vertical="center"/>
    </xf>
    <xf numFmtId="0" fontId="231" fillId="0" borderId="137" xfId="0" applyFont="1" applyFill="1" applyBorder="1" applyAlignment="1">
      <alignment horizontal="center" vertical="center"/>
    </xf>
    <xf numFmtId="0" fontId="11" fillId="0" borderId="160" xfId="0" applyFont="1" applyFill="1" applyBorder="1" applyAlignment="1">
      <alignment horizontal="center" vertical="center" wrapText="1"/>
    </xf>
    <xf numFmtId="0" fontId="11" fillId="0" borderId="21" xfId="0" applyFont="1" applyFill="1" applyBorder="1" applyAlignment="1">
      <alignment horizontal="center" vertical="center"/>
    </xf>
    <xf numFmtId="0" fontId="11" fillId="0" borderId="161" xfId="0" applyFont="1" applyFill="1" applyBorder="1" applyAlignment="1">
      <alignment horizontal="center" vertical="center"/>
    </xf>
    <xf numFmtId="0" fontId="11" fillId="0" borderId="138" xfId="0" applyFont="1" applyFill="1" applyBorder="1" applyAlignment="1">
      <alignment horizontal="left" vertical="center"/>
    </xf>
    <xf numFmtId="0" fontId="11" fillId="0" borderId="159" xfId="0" applyFont="1" applyFill="1" applyBorder="1" applyAlignment="1">
      <alignment horizontal="left" vertical="center"/>
    </xf>
    <xf numFmtId="0" fontId="11" fillId="0" borderId="137" xfId="0" applyFont="1" applyFill="1" applyBorder="1" applyAlignment="1">
      <alignment horizontal="left" vertical="center"/>
    </xf>
    <xf numFmtId="0" fontId="11" fillId="0" borderId="138" xfId="0" applyFont="1" applyFill="1" applyBorder="1" applyAlignment="1">
      <alignment vertical="center"/>
    </xf>
    <xf numFmtId="0" fontId="11" fillId="0" borderId="159" xfId="0" applyFont="1" applyFill="1" applyBorder="1" applyAlignment="1">
      <alignment vertical="center"/>
    </xf>
    <xf numFmtId="0" fontId="11" fillId="0" borderId="137" xfId="0" applyFont="1" applyFill="1" applyBorder="1" applyAlignment="1">
      <alignment vertical="center"/>
    </xf>
    <xf numFmtId="0" fontId="231" fillId="0" borderId="60" xfId="0" applyFont="1" applyBorder="1" applyAlignment="1">
      <alignment horizontal="center" vertical="center"/>
    </xf>
    <xf numFmtId="0" fontId="231" fillId="74" borderId="60" xfId="0" applyFont="1" applyFill="1" applyBorder="1" applyAlignment="1">
      <alignment horizontal="center" vertical="center"/>
    </xf>
    <xf numFmtId="0" fontId="231" fillId="0" borderId="138" xfId="0" applyFont="1" applyBorder="1" applyAlignment="1">
      <alignment horizontal="center" vertical="center"/>
    </xf>
    <xf numFmtId="0" fontId="231" fillId="0" borderId="135" xfId="0" applyFont="1" applyBorder="1" applyAlignment="1">
      <alignment horizontal="center" vertical="center"/>
    </xf>
    <xf numFmtId="0" fontId="231" fillId="0" borderId="137" xfId="0" applyFont="1" applyBorder="1" applyAlignment="1">
      <alignment horizontal="center" vertical="center"/>
    </xf>
    <xf numFmtId="0" fontId="231" fillId="0" borderId="60" xfId="0" applyFont="1" applyBorder="1" applyAlignment="1">
      <alignment horizontal="left" vertical="center"/>
    </xf>
    <xf numFmtId="0" fontId="231" fillId="0" borderId="60" xfId="0" applyFont="1" applyBorder="1" applyAlignment="1">
      <alignment horizontal="left" vertical="center" indent="2"/>
    </xf>
    <xf numFmtId="0" fontId="231" fillId="0" borderId="60" xfId="0" applyFont="1" applyBorder="1" applyAlignment="1">
      <alignment horizontal="center" vertical="center" wrapText="1"/>
    </xf>
    <xf numFmtId="0" fontId="231" fillId="74" borderId="60" xfId="0" applyFont="1" applyFill="1" applyBorder="1" applyAlignment="1">
      <alignment horizontal="left" vertical="center"/>
    </xf>
    <xf numFmtId="0" fontId="231" fillId="0" borderId="138" xfId="0" applyFont="1" applyBorder="1" applyAlignment="1">
      <alignment horizontal="left" vertical="center"/>
    </xf>
    <xf numFmtId="0" fontId="231" fillId="0" borderId="135" xfId="0" applyFont="1" applyBorder="1" applyAlignment="1">
      <alignment horizontal="left" vertical="center"/>
    </xf>
    <xf numFmtId="0" fontId="231" fillId="0" borderId="137" xfId="0" applyFont="1" applyBorder="1" applyAlignment="1">
      <alignment horizontal="left" vertical="center"/>
    </xf>
    <xf numFmtId="0" fontId="231" fillId="0" borderId="94" xfId="0" applyFont="1" applyBorder="1" applyAlignment="1">
      <alignment horizontal="center" vertical="center" wrapText="1"/>
    </xf>
    <xf numFmtId="0" fontId="231" fillId="0" borderId="21" xfId="0" applyFont="1" applyBorder="1" applyAlignment="1">
      <alignment horizontal="center" vertical="center" wrapText="1"/>
    </xf>
    <xf numFmtId="0" fontId="231" fillId="0" borderId="18" xfId="0" applyFont="1" applyBorder="1" applyAlignment="1">
      <alignment horizontal="center" vertical="center" wrapText="1"/>
    </xf>
    <xf numFmtId="0" fontId="231" fillId="0" borderId="93" xfId="0" applyFont="1" applyBorder="1" applyAlignment="1">
      <alignment horizontal="center" vertical="center" wrapText="1"/>
    </xf>
    <xf numFmtId="0" fontId="231" fillId="0" borderId="20" xfId="0" applyFont="1" applyBorder="1" applyAlignment="1">
      <alignment horizontal="center" vertical="center" wrapText="1"/>
    </xf>
    <xf numFmtId="0" fontId="231" fillId="0" borderId="1" xfId="0" applyFont="1" applyBorder="1" applyAlignment="1">
      <alignment horizontal="center" vertical="center" wrapText="1"/>
    </xf>
    <xf numFmtId="0" fontId="231" fillId="0" borderId="60" xfId="0" applyFont="1" applyBorder="1" applyAlignment="1">
      <alignment horizontal="left" vertical="center" wrapText="1"/>
    </xf>
    <xf numFmtId="0" fontId="247" fillId="8" borderId="138" xfId="0" applyFont="1" applyFill="1" applyBorder="1" applyAlignment="1">
      <alignment horizontal="left" vertical="center"/>
    </xf>
    <xf numFmtId="0" fontId="247" fillId="8" borderId="137" xfId="0" applyFont="1" applyFill="1" applyBorder="1" applyAlignment="1">
      <alignment horizontal="left" vertical="center"/>
    </xf>
    <xf numFmtId="0" fontId="247" fillId="8" borderId="60" xfId="0" applyFont="1" applyFill="1" applyBorder="1" applyAlignment="1">
      <alignment horizontal="center" vertical="center" wrapText="1"/>
    </xf>
    <xf numFmtId="0" fontId="247" fillId="8" borderId="60" xfId="0" applyFont="1" applyFill="1" applyBorder="1" applyAlignment="1">
      <alignment horizontal="center" vertical="center"/>
    </xf>
    <xf numFmtId="0" fontId="247" fillId="8" borderId="135" xfId="0" applyFont="1" applyFill="1" applyBorder="1" applyAlignment="1">
      <alignment horizontal="left" vertical="center"/>
    </xf>
    <xf numFmtId="0" fontId="247" fillId="8" borderId="93" xfId="0" applyFont="1" applyFill="1" applyBorder="1" applyAlignment="1">
      <alignment horizontal="center" vertical="center"/>
    </xf>
    <xf numFmtId="0" fontId="247" fillId="8" borderId="20" xfId="0" applyFont="1" applyFill="1" applyBorder="1" applyAlignment="1">
      <alignment horizontal="center" vertical="center"/>
    </xf>
    <xf numFmtId="0" fontId="247" fillId="8" borderId="1" xfId="0" applyFont="1" applyFill="1" applyBorder="1" applyAlignment="1">
      <alignment horizontal="center" vertical="center"/>
    </xf>
    <xf numFmtId="0" fontId="231" fillId="0" borderId="0" xfId="313" applyFont="1" applyAlignment="1">
      <alignment horizontal="left" wrapText="1"/>
    </xf>
    <xf numFmtId="0" fontId="230" fillId="0" borderId="60" xfId="0" applyFont="1" applyBorder="1" applyAlignment="1">
      <alignment horizontal="left" vertical="center" wrapText="1"/>
    </xf>
    <xf numFmtId="0" fontId="230" fillId="0" borderId="138" xfId="0" applyFont="1" applyBorder="1" applyAlignment="1">
      <alignment horizontal="center" vertical="center" wrapText="1"/>
    </xf>
    <xf numFmtId="0" fontId="230" fillId="0" borderId="159" xfId="0" applyFont="1" applyBorder="1" applyAlignment="1">
      <alignment horizontal="center" vertical="center" wrapText="1"/>
    </xf>
    <xf numFmtId="0" fontId="230" fillId="0" borderId="137" xfId="0" applyFont="1" applyBorder="1" applyAlignment="1">
      <alignment horizontal="center" vertical="center" wrapText="1"/>
    </xf>
    <xf numFmtId="0" fontId="230" fillId="0" borderId="165" xfId="0" applyFont="1" applyBorder="1" applyAlignment="1">
      <alignment horizontal="left" vertical="center" wrapText="1"/>
    </xf>
    <xf numFmtId="0" fontId="230" fillId="0" borderId="167" xfId="0" applyFont="1" applyBorder="1" applyAlignment="1">
      <alignment horizontal="left" vertical="center" wrapText="1"/>
    </xf>
    <xf numFmtId="0" fontId="230" fillId="0" borderId="166" xfId="0" applyFont="1" applyBorder="1" applyAlignment="1">
      <alignment horizontal="left" vertical="center" wrapText="1"/>
    </xf>
    <xf numFmtId="0" fontId="230" fillId="0" borderId="125" xfId="0" applyFont="1" applyBorder="1" applyAlignment="1">
      <alignment horizontal="left" vertical="center" wrapText="1"/>
    </xf>
    <xf numFmtId="0" fontId="230" fillId="0" borderId="65" xfId="0" applyFont="1" applyBorder="1" applyAlignment="1">
      <alignment horizontal="left" vertical="center" wrapText="1"/>
    </xf>
    <xf numFmtId="0" fontId="230" fillId="0" borderId="68" xfId="0" applyFont="1" applyBorder="1" applyAlignment="1">
      <alignment horizontal="left" vertical="center" wrapText="1"/>
    </xf>
    <xf numFmtId="0" fontId="230" fillId="0" borderId="60" xfId="0" applyFont="1" applyBorder="1" applyAlignment="1">
      <alignment horizontal="center" vertical="center" wrapText="1"/>
    </xf>
    <xf numFmtId="177" fontId="232" fillId="0" borderId="60" xfId="288" applyFont="1" applyFill="1" applyBorder="1" applyAlignment="1">
      <alignment horizontal="right" vertical="center" wrapText="1"/>
    </xf>
    <xf numFmtId="0" fontId="230" fillId="74" borderId="60" xfId="0" applyFont="1" applyFill="1" applyBorder="1" applyAlignment="1">
      <alignment horizontal="center" vertical="center" wrapText="1"/>
    </xf>
    <xf numFmtId="0" fontId="230" fillId="74" borderId="60" xfId="0" applyFont="1" applyFill="1" applyBorder="1" applyAlignment="1">
      <alignment horizontal="left" vertical="center" wrapText="1"/>
    </xf>
    <xf numFmtId="0" fontId="230" fillId="0" borderId="138" xfId="313" applyFont="1" applyBorder="1" applyAlignment="1">
      <alignment horizontal="left" vertical="center" wrapText="1"/>
    </xf>
    <xf numFmtId="0" fontId="230" fillId="0" borderId="137" xfId="313" applyFont="1" applyBorder="1" applyAlignment="1">
      <alignment horizontal="left" vertical="center" wrapText="1"/>
    </xf>
    <xf numFmtId="0" fontId="230" fillId="0" borderId="60" xfId="0" applyFont="1" applyBorder="1" applyAlignment="1">
      <alignment horizontal="center" vertical="center"/>
    </xf>
    <xf numFmtId="0" fontId="230" fillId="0" borderId="1" xfId="0" applyFont="1" applyBorder="1" applyAlignment="1">
      <alignment horizontal="center" vertical="center" wrapText="1"/>
    </xf>
    <xf numFmtId="0" fontId="230" fillId="0" borderId="1" xfId="0" applyFont="1" applyBorder="1" applyAlignment="1">
      <alignment horizontal="left" vertical="center" wrapText="1"/>
    </xf>
    <xf numFmtId="0" fontId="230" fillId="0" borderId="158" xfId="0" applyFont="1" applyBorder="1" applyAlignment="1">
      <alignment horizontal="center" vertical="center" wrapText="1"/>
    </xf>
    <xf numFmtId="0" fontId="230" fillId="0" borderId="20" xfId="0" applyFont="1" applyBorder="1" applyAlignment="1">
      <alignment horizontal="center" vertical="center" wrapText="1"/>
    </xf>
    <xf numFmtId="0" fontId="273" fillId="8" borderId="138" xfId="0" applyFont="1" applyFill="1" applyBorder="1" applyAlignment="1">
      <alignment horizontal="left" vertical="center" wrapText="1"/>
    </xf>
    <xf numFmtId="0" fontId="273" fillId="8" borderId="137" xfId="0" applyFont="1" applyFill="1" applyBorder="1" applyAlignment="1">
      <alignment horizontal="left" vertical="center" wrapText="1"/>
    </xf>
    <xf numFmtId="0" fontId="230" fillId="0" borderId="138" xfId="0" applyFont="1" applyBorder="1" applyAlignment="1">
      <alignment horizontal="left" vertical="center" wrapText="1"/>
    </xf>
    <xf numFmtId="0" fontId="230" fillId="0" borderId="5" xfId="0" applyFont="1" applyBorder="1" applyAlignment="1">
      <alignment horizontal="center" vertical="center" wrapText="1"/>
    </xf>
    <xf numFmtId="0" fontId="230" fillId="0" borderId="59" xfId="0" applyFont="1" applyBorder="1" applyAlignment="1">
      <alignment horizontal="center" vertical="center" wrapText="1"/>
    </xf>
    <xf numFmtId="0" fontId="230" fillId="0" borderId="60" xfId="0" applyFont="1" applyBorder="1" applyAlignment="1">
      <alignment horizontal="right" vertical="center" wrapText="1"/>
    </xf>
    <xf numFmtId="0" fontId="230" fillId="0" borderId="59" xfId="313" applyFont="1" applyBorder="1" applyAlignment="1">
      <alignment horizontal="left" vertical="center" wrapText="1"/>
    </xf>
    <xf numFmtId="0" fontId="230" fillId="0" borderId="72" xfId="0" applyFont="1" applyBorder="1" applyAlignment="1">
      <alignment horizontal="center" vertical="center" wrapText="1"/>
    </xf>
    <xf numFmtId="0" fontId="230" fillId="0" borderId="63" xfId="0" applyFont="1" applyBorder="1" applyAlignment="1">
      <alignment horizontal="center" vertical="center" wrapText="1"/>
    </xf>
    <xf numFmtId="0" fontId="230" fillId="0" borderId="28" xfId="0" applyFont="1" applyBorder="1" applyAlignment="1">
      <alignment horizontal="center" vertical="center" wrapText="1"/>
    </xf>
    <xf numFmtId="0" fontId="230" fillId="0" borderId="0" xfId="0" applyFont="1" applyAlignment="1">
      <alignment horizontal="center" vertical="center" wrapText="1"/>
    </xf>
    <xf numFmtId="0" fontId="230" fillId="0" borderId="165" xfId="0" applyFont="1" applyBorder="1" applyAlignment="1">
      <alignment horizontal="center" vertical="center" wrapText="1"/>
    </xf>
    <xf numFmtId="0" fontId="230" fillId="0" borderId="167" xfId="0" applyFont="1" applyBorder="1" applyAlignment="1">
      <alignment horizontal="center" vertical="center" wrapText="1"/>
    </xf>
    <xf numFmtId="0" fontId="232" fillId="0" borderId="125" xfId="0" applyFont="1" applyBorder="1" applyAlignment="1">
      <alignment horizontal="center" vertical="center" wrapText="1"/>
    </xf>
    <xf numFmtId="0" fontId="232" fillId="0" borderId="68" xfId="0" applyFont="1" applyBorder="1" applyAlignment="1">
      <alignment horizontal="center" vertical="center" wrapText="1"/>
    </xf>
    <xf numFmtId="0" fontId="230" fillId="0" borderId="135" xfId="0" applyFont="1" applyBorder="1" applyAlignment="1">
      <alignment horizontal="center" vertical="center" wrapText="1"/>
    </xf>
    <xf numFmtId="0" fontId="230" fillId="0" borderId="27" xfId="0" applyFont="1" applyBorder="1" applyAlignment="1">
      <alignment horizontal="left" vertical="center" wrapText="1"/>
    </xf>
    <xf numFmtId="0" fontId="230" fillId="0" borderId="26" xfId="0" applyFont="1" applyBorder="1" applyAlignment="1">
      <alignment horizontal="left" vertical="center" wrapText="1"/>
    </xf>
    <xf numFmtId="0" fontId="230" fillId="0" borderId="25" xfId="0" applyFont="1" applyBorder="1" applyAlignment="1">
      <alignment horizontal="left" vertical="center" wrapText="1"/>
    </xf>
    <xf numFmtId="0" fontId="230" fillId="0" borderId="137" xfId="0" applyFont="1" applyBorder="1" applyAlignment="1">
      <alignment horizontal="left" vertical="center" wrapText="1"/>
    </xf>
    <xf numFmtId="0" fontId="230" fillId="0" borderId="93" xfId="0" applyFont="1" applyBorder="1" applyAlignment="1">
      <alignment horizontal="center" vertical="center" wrapText="1"/>
    </xf>
    <xf numFmtId="0" fontId="230" fillId="0" borderId="70" xfId="0" applyFont="1" applyBorder="1" applyAlignment="1">
      <alignment horizontal="center" vertical="center" wrapText="1"/>
    </xf>
    <xf numFmtId="0" fontId="230" fillId="0" borderId="24" xfId="0" applyFont="1" applyBorder="1" applyAlignment="1">
      <alignment horizontal="center" vertical="center" wrapText="1"/>
    </xf>
    <xf numFmtId="0" fontId="230" fillId="0" borderId="64" xfId="0" applyFont="1" applyBorder="1" applyAlignment="1">
      <alignment horizontal="center" vertical="center" wrapText="1"/>
    </xf>
    <xf numFmtId="0" fontId="230" fillId="0" borderId="23" xfId="0" applyFont="1" applyBorder="1" applyAlignment="1">
      <alignment horizontal="center" vertical="center" wrapText="1"/>
    </xf>
    <xf numFmtId="0" fontId="230" fillId="0" borderId="27" xfId="0" applyFont="1" applyBorder="1" applyAlignment="1">
      <alignment horizontal="center" vertical="center" wrapText="1"/>
    </xf>
    <xf numFmtId="0" fontId="230" fillId="0" borderId="26" xfId="0" applyFont="1" applyBorder="1" applyAlignment="1">
      <alignment horizontal="center" vertical="center" wrapText="1"/>
    </xf>
    <xf numFmtId="0" fontId="230" fillId="0" borderId="25" xfId="0" applyFont="1" applyBorder="1" applyAlignment="1">
      <alignment horizontal="center" vertical="center" wrapText="1"/>
    </xf>
    <xf numFmtId="0" fontId="230" fillId="0" borderId="125" xfId="0" applyFont="1" applyBorder="1" applyAlignment="1">
      <alignment horizontal="center" vertical="center" wrapText="1"/>
    </xf>
    <xf numFmtId="0" fontId="230" fillId="0" borderId="65" xfId="0" applyFont="1" applyBorder="1" applyAlignment="1">
      <alignment horizontal="center" vertical="center" wrapText="1"/>
    </xf>
    <xf numFmtId="0" fontId="230" fillId="0" borderId="68" xfId="0" applyFont="1" applyBorder="1" applyAlignment="1">
      <alignment horizontal="center" vertical="center" wrapText="1"/>
    </xf>
    <xf numFmtId="0" fontId="245" fillId="8" borderId="138" xfId="0" applyFont="1" applyFill="1" applyBorder="1" applyAlignment="1">
      <alignment horizontal="left" vertical="center" wrapText="1"/>
    </xf>
    <xf numFmtId="0" fontId="245" fillId="8" borderId="137" xfId="0" applyFont="1" applyFill="1" applyBorder="1" applyAlignment="1">
      <alignment horizontal="left" vertical="center" wrapText="1"/>
    </xf>
    <xf numFmtId="0" fontId="245" fillId="8" borderId="60" xfId="0" applyFont="1" applyFill="1" applyBorder="1" applyAlignment="1">
      <alignment horizontal="left" vertical="center" wrapText="1"/>
    </xf>
    <xf numFmtId="0" fontId="230" fillId="0" borderId="71" xfId="313" applyFont="1" applyBorder="1" applyAlignment="1">
      <alignment horizontal="left" vertical="center" wrapText="1"/>
    </xf>
    <xf numFmtId="0" fontId="230" fillId="0" borderId="22" xfId="0" applyFont="1" applyBorder="1" applyAlignment="1">
      <alignment horizontal="center" vertical="center" wrapText="1"/>
    </xf>
    <xf numFmtId="0" fontId="11" fillId="0" borderId="72" xfId="0" applyFont="1" applyBorder="1" applyAlignment="1">
      <alignment horizontal="center" vertical="center" wrapText="1"/>
    </xf>
    <xf numFmtId="0" fontId="11" fillId="0" borderId="63" xfId="0" applyFont="1" applyBorder="1" applyAlignment="1">
      <alignment horizontal="center" vertical="center" wrapText="1"/>
    </xf>
    <xf numFmtId="0" fontId="11" fillId="0" borderId="64" xfId="0" applyFont="1" applyBorder="1" applyAlignment="1">
      <alignment horizontal="center" vertical="center" wrapText="1"/>
    </xf>
    <xf numFmtId="0" fontId="11" fillId="0" borderId="95" xfId="0" applyFont="1" applyBorder="1" applyAlignment="1">
      <alignment horizontal="center" vertical="center" wrapText="1"/>
    </xf>
    <xf numFmtId="0" fontId="11" fillId="0" borderId="96" xfId="0" applyFont="1" applyBorder="1" applyAlignment="1">
      <alignment horizontal="center" vertical="center" wrapText="1"/>
    </xf>
    <xf numFmtId="0" fontId="11" fillId="0" borderId="22" xfId="0" applyFont="1" applyBorder="1" applyAlignment="1">
      <alignment horizontal="center" vertical="center" wrapText="1"/>
    </xf>
    <xf numFmtId="0" fontId="11" fillId="0" borderId="66" xfId="0" applyFont="1" applyBorder="1" applyAlignment="1">
      <alignment horizontal="center" vertical="center" wrapText="1"/>
    </xf>
    <xf numFmtId="0" fontId="11" fillId="0" borderId="27" xfId="0" applyFont="1" applyBorder="1" applyAlignment="1">
      <alignment horizontal="center" vertical="center" wrapText="1"/>
    </xf>
    <xf numFmtId="0" fontId="11" fillId="0" borderId="68" xfId="0" applyFont="1" applyBorder="1" applyAlignment="1">
      <alignment horizontal="center" vertical="center" wrapText="1"/>
    </xf>
    <xf numFmtId="0" fontId="11" fillId="7" borderId="94" xfId="0" applyFont="1" applyFill="1" applyBorder="1" applyAlignment="1">
      <alignment horizontal="center" vertical="center"/>
    </xf>
    <xf numFmtId="0" fontId="11" fillId="7" borderId="99" xfId="0" applyFont="1" applyFill="1" applyBorder="1" applyAlignment="1">
      <alignment horizontal="center" vertical="center"/>
    </xf>
    <xf numFmtId="0" fontId="11" fillId="7" borderId="21" xfId="0" applyFont="1" applyFill="1" applyBorder="1" applyAlignment="1">
      <alignment horizontal="center" vertical="center"/>
    </xf>
    <xf numFmtId="0" fontId="11" fillId="7" borderId="9" xfId="0" applyFont="1" applyFill="1" applyBorder="1" applyAlignment="1">
      <alignment horizontal="center" vertical="center"/>
    </xf>
    <xf numFmtId="0" fontId="231" fillId="0" borderId="20" xfId="0" applyFont="1" applyBorder="1" applyAlignment="1">
      <alignment horizontal="center" vertical="center"/>
    </xf>
    <xf numFmtId="0" fontId="231" fillId="0" borderId="101" xfId="0" applyFont="1" applyBorder="1" applyAlignment="1">
      <alignment horizontal="center" vertical="center"/>
    </xf>
    <xf numFmtId="0" fontId="231" fillId="0" borderId="29" xfId="0" applyFont="1" applyBorder="1" applyAlignment="1">
      <alignment horizontal="center" vertical="center"/>
    </xf>
    <xf numFmtId="0" fontId="231" fillId="0" borderId="14" xfId="0" applyFont="1" applyBorder="1" applyAlignment="1">
      <alignment horizontal="center" vertical="center"/>
    </xf>
    <xf numFmtId="0" fontId="231" fillId="0" borderId="0" xfId="0" applyFont="1" applyAlignment="1">
      <alignment horizontal="center" vertical="center"/>
    </xf>
    <xf numFmtId="0" fontId="231" fillId="0" borderId="145" xfId="0" applyFont="1" applyBorder="1" applyAlignment="1">
      <alignment horizontal="center" vertical="center"/>
    </xf>
    <xf numFmtId="0" fontId="231" fillId="0" borderId="2" xfId="0" applyFont="1" applyBorder="1" applyAlignment="1">
      <alignment horizontal="center" vertical="center"/>
    </xf>
    <xf numFmtId="0" fontId="231" fillId="0" borderId="108" xfId="0" applyFont="1" applyBorder="1" applyAlignment="1">
      <alignment horizontal="center" vertical="center"/>
    </xf>
    <xf numFmtId="0" fontId="231" fillId="0" borderId="136" xfId="0" applyFont="1" applyBorder="1" applyAlignment="1">
      <alignment horizontal="center" vertical="center"/>
    </xf>
    <xf numFmtId="0" fontId="231" fillId="0" borderId="92" xfId="0" applyFont="1" applyBorder="1" applyAlignment="1">
      <alignment horizontal="center" vertical="center" wrapText="1"/>
    </xf>
    <xf numFmtId="0" fontId="231" fillId="0" borderId="143" xfId="0" applyFont="1" applyBorder="1" applyAlignment="1">
      <alignment horizontal="center" vertical="center" wrapText="1"/>
    </xf>
    <xf numFmtId="0" fontId="231" fillId="0" borderId="80" xfId="0" applyFont="1" applyBorder="1" applyAlignment="1">
      <alignment horizontal="center" vertical="center" wrapText="1"/>
    </xf>
    <xf numFmtId="0" fontId="231" fillId="0" borderId="144" xfId="0" applyFont="1" applyBorder="1" applyAlignment="1">
      <alignment horizontal="center" vertical="center" wrapText="1"/>
    </xf>
    <xf numFmtId="0" fontId="231" fillId="0" borderId="99" xfId="0" applyFont="1" applyBorder="1" applyAlignment="1">
      <alignment horizontal="center" vertical="center" wrapText="1"/>
    </xf>
    <xf numFmtId="0" fontId="231" fillId="0" borderId="146" xfId="0" applyFont="1" applyBorder="1" applyAlignment="1">
      <alignment horizontal="center" vertical="center" wrapText="1"/>
    </xf>
    <xf numFmtId="0" fontId="11" fillId="0" borderId="71" xfId="0" applyFont="1" applyBorder="1" applyAlignment="1">
      <alignment vertical="center" wrapText="1"/>
    </xf>
    <xf numFmtId="0" fontId="11" fillId="0" borderId="59" xfId="0" applyFont="1" applyBorder="1" applyAlignment="1">
      <alignment vertical="center" wrapText="1"/>
    </xf>
    <xf numFmtId="0" fontId="11" fillId="0" borderId="66" xfId="0" applyFont="1" applyBorder="1" applyAlignment="1">
      <alignment vertical="center" wrapText="1"/>
    </xf>
    <xf numFmtId="0" fontId="11" fillId="0" borderId="158" xfId="0" applyFont="1" applyBorder="1" applyAlignment="1">
      <alignment horizontal="center" vertical="center" wrapText="1"/>
    </xf>
    <xf numFmtId="0" fontId="11" fillId="0" borderId="20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11" fillId="0" borderId="66" xfId="0" applyFont="1" applyBorder="1" applyAlignment="1">
      <alignment horizontal="center"/>
    </xf>
    <xf numFmtId="0" fontId="11" fillId="0" borderId="66" xfId="0" applyFont="1" applyBorder="1" applyAlignment="1">
      <alignment horizontal="center" vertical="center"/>
    </xf>
    <xf numFmtId="0" fontId="11" fillId="0" borderId="71" xfId="0" applyFont="1" applyBorder="1" applyAlignment="1">
      <alignment horizontal="center" vertical="center" wrapText="1"/>
    </xf>
    <xf numFmtId="0" fontId="11" fillId="0" borderId="159" xfId="0" applyFont="1" applyBorder="1" applyAlignment="1">
      <alignment horizontal="center" vertical="center" wrapText="1"/>
    </xf>
    <xf numFmtId="0" fontId="11" fillId="0" borderId="59" xfId="0" applyFont="1" applyBorder="1" applyAlignment="1">
      <alignment horizontal="center" vertical="center" wrapText="1"/>
    </xf>
    <xf numFmtId="0" fontId="11" fillId="0" borderId="51" xfId="0" applyFont="1" applyBorder="1" applyAlignment="1">
      <alignment horizontal="center" vertical="center" wrapText="1"/>
    </xf>
    <xf numFmtId="0" fontId="11" fillId="0" borderId="164" xfId="0" applyFont="1" applyBorder="1" applyAlignment="1">
      <alignment horizontal="center" vertical="center" wrapText="1"/>
    </xf>
    <xf numFmtId="0" fontId="247" fillId="8" borderId="158" xfId="0" applyFont="1" applyFill="1" applyBorder="1" applyAlignment="1">
      <alignment horizontal="center" vertical="center" wrapText="1"/>
    </xf>
    <xf numFmtId="0" fontId="247" fillId="8" borderId="164" xfId="0" applyFont="1" applyFill="1" applyBorder="1" applyAlignment="1">
      <alignment horizontal="center" vertical="center" wrapText="1"/>
    </xf>
    <xf numFmtId="0" fontId="11" fillId="0" borderId="160" xfId="0" applyFont="1" applyBorder="1" applyAlignment="1">
      <alignment horizontal="center" vertical="center"/>
    </xf>
    <xf numFmtId="0" fontId="11" fillId="0" borderId="51" xfId="0" applyFont="1" applyBorder="1" applyAlignment="1">
      <alignment horizontal="center" vertical="center"/>
    </xf>
    <xf numFmtId="0" fontId="11" fillId="0" borderId="163" xfId="0" applyFont="1" applyBorder="1" applyAlignment="1">
      <alignment horizontal="center" vertical="center"/>
    </xf>
    <xf numFmtId="0" fontId="11" fillId="0" borderId="21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161" xfId="0" applyFont="1" applyBorder="1" applyAlignment="1">
      <alignment horizontal="center" vertical="center"/>
    </xf>
    <xf numFmtId="0" fontId="11" fillId="0" borderId="47" xfId="0" applyFont="1" applyBorder="1" applyAlignment="1">
      <alignment horizontal="center" vertical="center"/>
    </xf>
    <xf numFmtId="0" fontId="11" fillId="0" borderId="162" xfId="0" applyFont="1" applyBorder="1" applyAlignment="1">
      <alignment horizontal="center" vertical="center"/>
    </xf>
    <xf numFmtId="0" fontId="11" fillId="7" borderId="18" xfId="0" applyFont="1" applyFill="1" applyBorder="1" applyAlignment="1">
      <alignment horizontal="center" vertical="center"/>
    </xf>
    <xf numFmtId="0" fontId="11" fillId="7" borderId="19" xfId="0" applyFont="1" applyFill="1" applyBorder="1" applyAlignment="1">
      <alignment horizontal="center" vertical="center"/>
    </xf>
    <xf numFmtId="0" fontId="11" fillId="7" borderId="93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1" fillId="7" borderId="150" xfId="0" applyFont="1" applyFill="1" applyBorder="1" applyAlignment="1">
      <alignment horizontal="center" vertical="center"/>
    </xf>
    <xf numFmtId="0" fontId="11" fillId="7" borderId="100" xfId="0" applyFont="1" applyFill="1" applyBorder="1" applyAlignment="1">
      <alignment horizontal="center" vertical="center"/>
    </xf>
    <xf numFmtId="0" fontId="11" fillId="7" borderId="93" xfId="0" applyFont="1" applyFill="1" applyBorder="1" applyAlignment="1">
      <alignment horizontal="center" vertical="center"/>
    </xf>
    <xf numFmtId="0" fontId="11" fillId="7" borderId="20" xfId="0" applyFont="1" applyFill="1" applyBorder="1" applyAlignment="1">
      <alignment horizontal="center" vertical="center"/>
    </xf>
    <xf numFmtId="0" fontId="241" fillId="7" borderId="60" xfId="315" applyFont="1" applyFill="1" applyBorder="1" applyAlignment="1">
      <alignment horizontal="center" vertical="center"/>
    </xf>
    <xf numFmtId="0" fontId="241" fillId="7" borderId="93" xfId="315" applyFont="1" applyFill="1" applyBorder="1" applyAlignment="1">
      <alignment horizontal="center" vertical="center"/>
    </xf>
    <xf numFmtId="0" fontId="241" fillId="7" borderId="1" xfId="315" applyFont="1" applyFill="1" applyBorder="1" applyAlignment="1">
      <alignment horizontal="center" vertical="center"/>
    </xf>
    <xf numFmtId="0" fontId="241" fillId="7" borderId="138" xfId="315" applyFont="1" applyFill="1" applyBorder="1" applyAlignment="1">
      <alignment horizontal="center" vertical="center"/>
    </xf>
    <xf numFmtId="0" fontId="241" fillId="7" borderId="137" xfId="315" applyFont="1" applyFill="1" applyBorder="1" applyAlignment="1">
      <alignment horizontal="center" vertical="center"/>
    </xf>
    <xf numFmtId="0" fontId="241" fillId="7" borderId="135" xfId="315" applyFont="1" applyFill="1" applyBorder="1" applyAlignment="1">
      <alignment horizontal="center" vertical="center"/>
    </xf>
    <xf numFmtId="0" fontId="241" fillId="7" borderId="158" xfId="315" applyFont="1" applyFill="1" applyBorder="1" applyAlignment="1">
      <alignment horizontal="center" vertical="center" wrapText="1"/>
    </xf>
    <xf numFmtId="0" fontId="241" fillId="7" borderId="20" xfId="315" applyFont="1" applyFill="1" applyBorder="1" applyAlignment="1">
      <alignment horizontal="center" vertical="center"/>
    </xf>
    <xf numFmtId="0" fontId="241" fillId="7" borderId="60" xfId="315" applyFont="1" applyFill="1" applyBorder="1" applyAlignment="1">
      <alignment horizontal="center" vertical="center" wrapText="1"/>
    </xf>
    <xf numFmtId="0" fontId="257" fillId="8" borderId="60" xfId="315" applyFont="1" applyFill="1" applyBorder="1" applyAlignment="1">
      <alignment horizontal="center" vertical="center" wrapText="1"/>
    </xf>
    <xf numFmtId="0" fontId="241" fillId="7" borderId="93" xfId="315" applyFont="1" applyFill="1" applyBorder="1" applyAlignment="1">
      <alignment horizontal="center" vertical="center" wrapText="1"/>
    </xf>
    <xf numFmtId="0" fontId="241" fillId="7" borderId="1" xfId="315" applyFont="1" applyFill="1" applyBorder="1" applyAlignment="1">
      <alignment horizontal="center" vertical="center" wrapText="1"/>
    </xf>
    <xf numFmtId="0" fontId="11" fillId="7" borderId="138" xfId="0" applyFont="1" applyFill="1" applyBorder="1" applyAlignment="1">
      <alignment horizontal="center" vertical="center"/>
    </xf>
    <xf numFmtId="0" fontId="11" fillId="7" borderId="137" xfId="0" applyFont="1" applyFill="1" applyBorder="1" applyAlignment="1">
      <alignment horizontal="center" vertical="center"/>
    </xf>
    <xf numFmtId="0" fontId="11" fillId="7" borderId="1" xfId="0" applyFont="1" applyFill="1" applyBorder="1" applyAlignment="1">
      <alignment horizontal="center" vertical="center"/>
    </xf>
    <xf numFmtId="0" fontId="11" fillId="7" borderId="98" xfId="0" applyFont="1" applyFill="1" applyBorder="1" applyAlignment="1">
      <alignment horizontal="center" vertical="center"/>
    </xf>
    <xf numFmtId="0" fontId="11" fillId="7" borderId="0" xfId="0" applyFont="1" applyFill="1" applyAlignment="1">
      <alignment horizontal="center" vertical="center"/>
    </xf>
    <xf numFmtId="0" fontId="11" fillId="7" borderId="7" xfId="0" applyFont="1" applyFill="1" applyBorder="1" applyAlignment="1">
      <alignment horizontal="center" vertical="center"/>
    </xf>
    <xf numFmtId="0" fontId="12" fillId="7" borderId="93" xfId="0" applyFont="1" applyFill="1" applyBorder="1" applyAlignment="1">
      <alignment horizontal="center" vertical="center" wrapText="1"/>
    </xf>
    <xf numFmtId="0" fontId="12" fillId="7" borderId="20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horizontal="center" vertical="center" wrapText="1"/>
    </xf>
    <xf numFmtId="0" fontId="11" fillId="7" borderId="93" xfId="0" applyFont="1" applyFill="1" applyBorder="1" applyAlignment="1">
      <alignment horizontal="center" vertical="center" shrinkToFit="1"/>
    </xf>
    <xf numFmtId="0" fontId="11" fillId="7" borderId="1" xfId="0" applyFont="1" applyFill="1" applyBorder="1" applyAlignment="1">
      <alignment horizontal="center" vertical="center" shrinkToFit="1"/>
    </xf>
    <xf numFmtId="0" fontId="11" fillId="0" borderId="94" xfId="0" applyFont="1" applyBorder="1" applyAlignment="1">
      <alignment horizontal="center" vertical="center"/>
    </xf>
    <xf numFmtId="0" fontId="11" fillId="0" borderId="98" xfId="0" applyFont="1" applyBorder="1" applyAlignment="1">
      <alignment horizontal="center" vertical="center"/>
    </xf>
    <xf numFmtId="0" fontId="11" fillId="0" borderId="99" xfId="0" applyFont="1" applyBorder="1" applyAlignment="1">
      <alignment horizontal="center" vertical="center"/>
    </xf>
    <xf numFmtId="0" fontId="11" fillId="0" borderId="18" xfId="0" applyFont="1" applyBorder="1" applyAlignment="1">
      <alignment horizontal="center" vertical="center"/>
    </xf>
    <xf numFmtId="0" fontId="11" fillId="0" borderId="19" xfId="0" applyFont="1" applyBorder="1" applyAlignment="1">
      <alignment horizontal="center" vertical="center"/>
    </xf>
    <xf numFmtId="0" fontId="11" fillId="0" borderId="93" xfId="0" applyFont="1" applyBorder="1" applyAlignment="1">
      <alignment horizontal="center" vertical="center" wrapText="1"/>
    </xf>
    <xf numFmtId="0" fontId="11" fillId="0" borderId="62" xfId="0" applyFont="1" applyBorder="1" applyAlignment="1">
      <alignment horizontal="left" vertical="center" wrapText="1"/>
    </xf>
    <xf numFmtId="0" fontId="11" fillId="0" borderId="74" xfId="0" applyFont="1" applyBorder="1" applyAlignment="1">
      <alignment horizontal="left" vertical="center" wrapText="1"/>
    </xf>
    <xf numFmtId="0" fontId="11" fillId="0" borderId="73" xfId="0" applyFont="1" applyBorder="1" applyAlignment="1">
      <alignment horizontal="left" vertical="center" wrapText="1"/>
    </xf>
    <xf numFmtId="0" fontId="11" fillId="0" borderId="93" xfId="0" applyFont="1" applyFill="1" applyBorder="1" applyAlignment="1">
      <alignment horizontal="center" vertical="center" wrapText="1"/>
    </xf>
    <xf numFmtId="0" fontId="11" fillId="0" borderId="1" xfId="0" applyFont="1" applyFill="1" applyBorder="1" applyAlignment="1">
      <alignment horizontal="center" vertical="center" wrapText="1"/>
    </xf>
    <xf numFmtId="0" fontId="11" fillId="75" borderId="93" xfId="0" applyFont="1" applyFill="1" applyBorder="1" applyAlignment="1">
      <alignment horizontal="center" vertical="center" wrapText="1"/>
    </xf>
    <xf numFmtId="0" fontId="11" fillId="75" borderId="1" xfId="0" applyFont="1" applyFill="1" applyBorder="1" applyAlignment="1">
      <alignment horizontal="center" vertical="center" wrapText="1"/>
    </xf>
    <xf numFmtId="0" fontId="11" fillId="0" borderId="93" xfId="317" applyFont="1" applyBorder="1" applyAlignment="1">
      <alignment horizontal="center" vertical="center" wrapText="1"/>
    </xf>
    <xf numFmtId="0" fontId="11" fillId="0" borderId="20" xfId="317" applyFont="1" applyBorder="1" applyAlignment="1">
      <alignment horizontal="center" vertical="center" wrapText="1"/>
    </xf>
    <xf numFmtId="0" fontId="11" fillId="0" borderId="1" xfId="317" applyFont="1" applyBorder="1" applyAlignment="1">
      <alignment horizontal="center" vertical="center" wrapText="1"/>
    </xf>
    <xf numFmtId="0" fontId="11" fillId="0" borderId="94" xfId="0" applyFont="1" applyBorder="1" applyAlignment="1">
      <alignment horizontal="center" vertical="center" wrapText="1"/>
    </xf>
    <xf numFmtId="0" fontId="11" fillId="0" borderId="99" xfId="0" applyFont="1" applyBorder="1" applyAlignment="1">
      <alignment horizontal="center" vertical="center" wrapText="1"/>
    </xf>
    <xf numFmtId="0" fontId="11" fillId="0" borderId="47" xfId="0" applyFont="1" applyBorder="1" applyAlignment="1">
      <alignment horizontal="center" vertical="center" wrapText="1"/>
    </xf>
    <xf numFmtId="0" fontId="234" fillId="0" borderId="62" xfId="0" applyFont="1" applyBorder="1" applyAlignment="1">
      <alignment horizontal="center" vertical="center" wrapText="1"/>
    </xf>
    <xf numFmtId="0" fontId="234" fillId="0" borderId="74" xfId="0" applyFont="1" applyBorder="1" applyAlignment="1">
      <alignment horizontal="center" vertical="center" wrapText="1"/>
    </xf>
    <xf numFmtId="0" fontId="234" fillId="0" borderId="73" xfId="0" applyFont="1" applyBorder="1" applyAlignment="1">
      <alignment horizontal="center" vertical="center" wrapText="1"/>
    </xf>
    <xf numFmtId="0" fontId="11" fillId="0" borderId="62" xfId="0" applyFont="1" applyBorder="1" applyAlignment="1">
      <alignment horizontal="center" vertical="center" wrapText="1"/>
    </xf>
    <xf numFmtId="0" fontId="11" fillId="0" borderId="74" xfId="0" applyFont="1" applyBorder="1" applyAlignment="1">
      <alignment horizontal="center" vertical="center" wrapText="1"/>
    </xf>
    <xf numFmtId="0" fontId="11" fillId="0" borderId="73" xfId="0" applyFont="1" applyBorder="1" applyAlignment="1">
      <alignment horizontal="center" vertical="center" wrapText="1"/>
    </xf>
    <xf numFmtId="0" fontId="11" fillId="0" borderId="0" xfId="0" applyFont="1" applyAlignment="1">
      <alignment horizontal="left" vertical="center" wrapText="1"/>
    </xf>
    <xf numFmtId="0" fontId="11" fillId="0" borderId="93" xfId="0" applyFont="1" applyBorder="1" applyAlignment="1">
      <alignment horizontal="center" vertical="center"/>
    </xf>
    <xf numFmtId="0" fontId="11" fillId="0" borderId="20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62" xfId="0" applyFont="1" applyBorder="1" applyAlignment="1">
      <alignment horizontal="left"/>
    </xf>
    <xf numFmtId="0" fontId="11" fillId="0" borderId="74" xfId="0" applyFont="1" applyBorder="1" applyAlignment="1">
      <alignment horizontal="left"/>
    </xf>
    <xf numFmtId="0" fontId="11" fillId="0" borderId="73" xfId="0" applyFont="1" applyBorder="1" applyAlignment="1">
      <alignment horizontal="left"/>
    </xf>
    <xf numFmtId="0" fontId="11" fillId="0" borderId="62" xfId="0" applyFont="1" applyBorder="1" applyAlignment="1">
      <alignment horizontal="left" vertical="center"/>
    </xf>
    <xf numFmtId="0" fontId="11" fillId="0" borderId="74" xfId="0" applyFont="1" applyBorder="1" applyAlignment="1">
      <alignment horizontal="left" vertical="center"/>
    </xf>
    <xf numFmtId="0" fontId="11" fillId="0" borderId="73" xfId="0" applyFont="1" applyBorder="1" applyAlignment="1">
      <alignment horizontal="left" vertical="center"/>
    </xf>
    <xf numFmtId="0" fontId="11" fillId="0" borderId="93" xfId="0" applyFont="1" applyFill="1" applyBorder="1" applyAlignment="1">
      <alignment horizontal="center" vertical="center"/>
    </xf>
    <xf numFmtId="0" fontId="11" fillId="0" borderId="1" xfId="0" applyFont="1" applyFill="1" applyBorder="1" applyAlignment="1">
      <alignment horizontal="center" vertical="center"/>
    </xf>
    <xf numFmtId="0" fontId="11" fillId="0" borderId="62" xfId="0" applyFont="1" applyBorder="1" applyAlignment="1">
      <alignment horizontal="center" vertical="center"/>
    </xf>
    <xf numFmtId="0" fontId="11" fillId="0" borderId="74" xfId="0" applyFont="1" applyBorder="1" applyAlignment="1">
      <alignment horizontal="center" vertical="center"/>
    </xf>
    <xf numFmtId="0" fontId="11" fillId="0" borderId="73" xfId="0" applyFont="1" applyBorder="1" applyAlignment="1">
      <alignment horizontal="center" vertical="center"/>
    </xf>
    <xf numFmtId="0" fontId="81" fillId="8" borderId="93" xfId="0" applyFont="1" applyFill="1" applyBorder="1" applyAlignment="1">
      <alignment horizontal="center" vertical="center"/>
    </xf>
    <xf numFmtId="0" fontId="81" fillId="8" borderId="1" xfId="0" applyFont="1" applyFill="1" applyBorder="1" applyAlignment="1">
      <alignment horizontal="center" vertical="center"/>
    </xf>
    <xf numFmtId="0" fontId="0" fillId="7" borderId="160" xfId="0" applyFill="1" applyBorder="1" applyAlignment="1">
      <alignment horizontal="center" vertical="center"/>
    </xf>
    <xf numFmtId="0" fontId="0" fillId="7" borderId="98" xfId="0" applyFill="1" applyBorder="1" applyAlignment="1">
      <alignment horizontal="center" vertical="center"/>
    </xf>
    <xf numFmtId="0" fontId="0" fillId="7" borderId="163" xfId="0" applyFill="1" applyBorder="1" applyAlignment="1">
      <alignment horizontal="center" vertical="center"/>
    </xf>
    <xf numFmtId="0" fontId="0" fillId="7" borderId="21" xfId="0" applyFill="1" applyBorder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7" borderId="9" xfId="0" applyFill="1" applyBorder="1" applyAlignment="1">
      <alignment horizontal="center" vertical="center"/>
    </xf>
    <xf numFmtId="0" fontId="0" fillId="7" borderId="161" xfId="0" applyFill="1" applyBorder="1" applyAlignment="1">
      <alignment horizontal="center" vertical="center"/>
    </xf>
    <xf numFmtId="0" fontId="0" fillId="7" borderId="47" xfId="0" applyFill="1" applyBorder="1" applyAlignment="1">
      <alignment horizontal="center" vertical="center"/>
    </xf>
    <xf numFmtId="0" fontId="0" fillId="7" borderId="162" xfId="0" applyFill="1" applyBorder="1" applyAlignment="1">
      <alignment horizontal="center" vertical="center"/>
    </xf>
    <xf numFmtId="0" fontId="0" fillId="7" borderId="60" xfId="0" applyFill="1" applyBorder="1" applyAlignment="1">
      <alignment horizontal="center"/>
    </xf>
    <xf numFmtId="0" fontId="0" fillId="7" borderId="60" xfId="0" applyFill="1" applyBorder="1" applyAlignment="1">
      <alignment horizontal="center" vertical="center" wrapText="1"/>
    </xf>
    <xf numFmtId="0" fontId="75" fillId="7" borderId="60" xfId="0" applyFont="1" applyFill="1" applyBorder="1" applyAlignment="1">
      <alignment horizontal="center" vertical="center" shrinkToFit="1"/>
    </xf>
    <xf numFmtId="0" fontId="75" fillId="7" borderId="138" xfId="0" applyFont="1" applyFill="1" applyBorder="1" applyAlignment="1">
      <alignment horizontal="center" vertical="center" shrinkToFit="1"/>
    </xf>
    <xf numFmtId="0" fontId="75" fillId="7" borderId="137" xfId="0" applyFont="1" applyFill="1" applyBorder="1" applyAlignment="1">
      <alignment horizontal="center" vertical="center" shrinkToFit="1"/>
    </xf>
    <xf numFmtId="0" fontId="0" fillId="7" borderId="158" xfId="0" applyFill="1" applyBorder="1" applyAlignment="1">
      <alignment horizontal="center" vertical="center" wrapText="1"/>
    </xf>
    <xf numFmtId="0" fontId="0" fillId="7" borderId="20" xfId="0" applyFill="1" applyBorder="1" applyAlignment="1">
      <alignment horizontal="center" vertical="center" wrapText="1"/>
    </xf>
    <xf numFmtId="0" fontId="75" fillId="7" borderId="60" xfId="0" applyFont="1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 wrapText="1"/>
    </xf>
    <xf numFmtId="0" fontId="11" fillId="7" borderId="47" xfId="0" applyFont="1" applyFill="1" applyBorder="1" applyAlignment="1">
      <alignment horizontal="center" vertical="center"/>
    </xf>
    <xf numFmtId="0" fontId="11" fillId="7" borderId="60" xfId="0" applyFont="1" applyFill="1" applyBorder="1" applyAlignment="1">
      <alignment horizontal="center" vertical="center"/>
    </xf>
    <xf numFmtId="0" fontId="11" fillId="7" borderId="20" xfId="0" applyFont="1" applyFill="1" applyBorder="1" applyAlignment="1">
      <alignment horizontal="center" vertical="center" wrapText="1"/>
    </xf>
    <xf numFmtId="0" fontId="11" fillId="7" borderId="62" xfId="0" applyFont="1" applyFill="1" applyBorder="1" applyAlignment="1">
      <alignment horizontal="center" vertical="center" wrapText="1"/>
    </xf>
    <xf numFmtId="0" fontId="11" fillId="7" borderId="73" xfId="0" applyFont="1" applyFill="1" applyBorder="1" applyAlignment="1">
      <alignment horizontal="center" vertical="center" wrapText="1"/>
    </xf>
    <xf numFmtId="0" fontId="11" fillId="7" borderId="62" xfId="0" applyFont="1" applyFill="1" applyBorder="1" applyAlignment="1">
      <alignment horizontal="center" vertical="center"/>
    </xf>
    <xf numFmtId="0" fontId="11" fillId="7" borderId="73" xfId="0" applyFont="1" applyFill="1" applyBorder="1" applyAlignment="1">
      <alignment horizontal="center" vertical="center"/>
    </xf>
    <xf numFmtId="0" fontId="11" fillId="7" borderId="74" xfId="0" applyFont="1" applyFill="1" applyBorder="1" applyAlignment="1">
      <alignment horizontal="center" vertical="center"/>
    </xf>
    <xf numFmtId="0" fontId="11" fillId="7" borderId="66" xfId="0" applyFont="1" applyFill="1" applyBorder="1" applyAlignment="1">
      <alignment horizontal="center" vertical="center"/>
    </xf>
    <xf numFmtId="0" fontId="81" fillId="8" borderId="66" xfId="0" applyFont="1" applyFill="1" applyBorder="1" applyAlignment="1">
      <alignment vertical="center" wrapText="1"/>
    </xf>
    <xf numFmtId="0" fontId="81" fillId="8" borderId="66" xfId="0" applyFont="1" applyFill="1" applyBorder="1" applyAlignment="1">
      <alignment horizontal="center" vertical="center" wrapText="1"/>
    </xf>
    <xf numFmtId="0" fontId="11" fillId="75" borderId="117" xfId="0" applyFont="1" applyFill="1" applyBorder="1" applyAlignment="1">
      <alignment horizontal="center" vertical="center" wrapText="1"/>
    </xf>
    <xf numFmtId="0" fontId="11" fillId="75" borderId="118" xfId="0" applyFont="1" applyFill="1" applyBorder="1" applyAlignment="1">
      <alignment horizontal="center" vertical="center" wrapText="1"/>
    </xf>
    <xf numFmtId="0" fontId="11" fillId="75" borderId="128" xfId="0" applyFont="1" applyFill="1" applyBorder="1" applyAlignment="1">
      <alignment horizontal="center" vertical="center" wrapText="1"/>
    </xf>
    <xf numFmtId="0" fontId="11" fillId="0" borderId="101" xfId="0" applyFont="1" applyBorder="1" applyAlignment="1">
      <alignment horizontal="center" vertical="center" wrapText="1"/>
    </xf>
    <xf numFmtId="0" fontId="11" fillId="0" borderId="29" xfId="0" applyFont="1" applyBorder="1" applyAlignment="1">
      <alignment horizontal="center" vertical="center" wrapText="1"/>
    </xf>
    <xf numFmtId="0" fontId="11" fillId="0" borderId="102" xfId="0" applyFont="1" applyBorder="1" applyAlignment="1">
      <alignment horizontal="center" vertical="center" wrapText="1"/>
    </xf>
    <xf numFmtId="0" fontId="11" fillId="0" borderId="14" xfId="0" applyFont="1" applyBorder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11" fillId="0" borderId="105" xfId="0" applyFont="1" applyBorder="1" applyAlignment="1">
      <alignment horizontal="center" vertical="center" wrapText="1"/>
    </xf>
    <xf numFmtId="0" fontId="11" fillId="0" borderId="109" xfId="0" applyFont="1" applyBorder="1" applyAlignment="1">
      <alignment horizontal="center" vertical="center" wrapText="1"/>
    </xf>
    <xf numFmtId="0" fontId="11" fillId="0" borderId="110" xfId="0" applyFont="1" applyBorder="1" applyAlignment="1">
      <alignment horizontal="center" vertical="center" wrapText="1"/>
    </xf>
    <xf numFmtId="0" fontId="11" fillId="0" borderId="111" xfId="0" applyFont="1" applyBorder="1" applyAlignment="1">
      <alignment horizontal="center" vertical="center" wrapText="1"/>
    </xf>
    <xf numFmtId="0" fontId="11" fillId="0" borderId="106" xfId="0" applyFont="1" applyBorder="1" applyAlignment="1">
      <alignment horizontal="center" vertical="center"/>
    </xf>
    <xf numFmtId="0" fontId="11" fillId="0" borderId="107" xfId="0" applyFont="1" applyBorder="1" applyAlignment="1">
      <alignment horizontal="center" vertical="center"/>
    </xf>
    <xf numFmtId="0" fontId="11" fillId="0" borderId="108" xfId="0" applyFont="1" applyBorder="1" applyAlignment="1">
      <alignment horizontal="center" vertical="center"/>
    </xf>
    <xf numFmtId="0" fontId="11" fillId="0" borderId="106" xfId="0" applyFont="1" applyBorder="1" applyAlignment="1">
      <alignment horizontal="center" vertical="center" wrapText="1"/>
    </xf>
    <xf numFmtId="0" fontId="11" fillId="75" borderId="129" xfId="0" applyFont="1" applyFill="1" applyBorder="1" applyAlignment="1">
      <alignment horizontal="center" vertical="center" wrapText="1"/>
    </xf>
    <xf numFmtId="0" fontId="11" fillId="75" borderId="130" xfId="0" applyFont="1" applyFill="1" applyBorder="1" applyAlignment="1">
      <alignment horizontal="center" vertical="center" wrapText="1"/>
    </xf>
    <xf numFmtId="0" fontId="11" fillId="0" borderId="159" xfId="0" applyFont="1" applyBorder="1" applyAlignment="1">
      <alignment horizontal="center" vertical="center"/>
    </xf>
    <xf numFmtId="0" fontId="11" fillId="0" borderId="136" xfId="0" applyFont="1" applyBorder="1" applyAlignment="1">
      <alignment horizontal="center" vertical="center"/>
    </xf>
    <xf numFmtId="0" fontId="11" fillId="0" borderId="138" xfId="0" applyFont="1" applyBorder="1" applyAlignment="1">
      <alignment horizontal="center" vertical="center" wrapText="1"/>
    </xf>
    <xf numFmtId="0" fontId="11" fillId="0" borderId="137" xfId="0" applyFont="1" applyBorder="1" applyAlignment="1">
      <alignment horizontal="center" vertical="center" wrapText="1"/>
    </xf>
    <xf numFmtId="0" fontId="81" fillId="8" borderId="138" xfId="0" applyFont="1" applyFill="1" applyBorder="1" applyAlignment="1">
      <alignment horizontal="center" vertical="center" wrapText="1"/>
    </xf>
    <xf numFmtId="0" fontId="81" fillId="8" borderId="137" xfId="0" applyFont="1" applyFill="1" applyBorder="1" applyAlignment="1">
      <alignment horizontal="center" vertical="center" wrapText="1"/>
    </xf>
    <xf numFmtId="0" fontId="81" fillId="8" borderId="129" xfId="0" applyFont="1" applyFill="1" applyBorder="1" applyAlignment="1">
      <alignment horizontal="center" vertical="center" wrapText="1"/>
    </xf>
    <xf numFmtId="0" fontId="81" fillId="8" borderId="130" xfId="0" applyFont="1" applyFill="1" applyBorder="1" applyAlignment="1">
      <alignment horizontal="center" vertical="center" wrapText="1"/>
    </xf>
    <xf numFmtId="0" fontId="243" fillId="7" borderId="60" xfId="0" applyFont="1" applyFill="1" applyBorder="1" applyAlignment="1">
      <alignment horizontal="center" vertical="center" wrapText="1"/>
    </xf>
    <xf numFmtId="0" fontId="243" fillId="7" borderId="156" xfId="0" applyFont="1" applyFill="1" applyBorder="1" applyAlignment="1">
      <alignment horizontal="center" vertical="center" wrapText="1"/>
    </xf>
    <xf numFmtId="0" fontId="243" fillId="7" borderId="15" xfId="0" applyFont="1" applyFill="1" applyBorder="1" applyAlignment="1">
      <alignment horizontal="center" vertical="center" wrapText="1"/>
    </xf>
    <xf numFmtId="0" fontId="243" fillId="7" borderId="16" xfId="0" applyFont="1" applyFill="1" applyBorder="1" applyAlignment="1">
      <alignment horizontal="center" vertical="center" wrapText="1"/>
    </xf>
    <xf numFmtId="0" fontId="243" fillId="7" borderId="154" xfId="0" applyFont="1" applyFill="1" applyBorder="1" applyAlignment="1">
      <alignment horizontal="center" vertical="center" wrapText="1"/>
    </xf>
    <xf numFmtId="0" fontId="11" fillId="7" borderId="126" xfId="0" applyFont="1" applyFill="1" applyBorder="1" applyAlignment="1">
      <alignment horizontal="center" vertical="center"/>
    </xf>
    <xf numFmtId="0" fontId="75" fillId="7" borderId="60" xfId="0" applyFont="1" applyFill="1" applyBorder="1" applyAlignment="1">
      <alignment horizontal="center" wrapText="1"/>
    </xf>
    <xf numFmtId="0" fontId="0" fillId="7" borderId="60" xfId="0" applyFill="1" applyBorder="1"/>
    <xf numFmtId="0" fontId="0" fillId="7" borderId="138" xfId="0" applyFill="1" applyBorder="1" applyAlignment="1">
      <alignment horizontal="center"/>
    </xf>
    <xf numFmtId="0" fontId="0" fillId="7" borderId="159" xfId="0" applyFill="1" applyBorder="1" applyAlignment="1">
      <alignment horizontal="center"/>
    </xf>
    <xf numFmtId="0" fontId="0" fillId="7" borderId="137" xfId="0" applyFill="1" applyBorder="1" applyAlignment="1">
      <alignment horizontal="center"/>
    </xf>
    <xf numFmtId="0" fontId="0" fillId="7" borderId="60" xfId="0" applyFill="1" applyBorder="1" applyAlignment="1">
      <alignment horizontal="center" vertical="center"/>
    </xf>
    <xf numFmtId="0" fontId="243" fillId="74" borderId="128" xfId="0" applyFont="1" applyFill="1" applyBorder="1" applyAlignment="1">
      <alignment horizontal="center" vertical="center" wrapText="1"/>
    </xf>
    <xf numFmtId="0" fontId="243" fillId="74" borderId="117" xfId="0" applyFont="1" applyFill="1" applyBorder="1" applyAlignment="1">
      <alignment horizontal="center" vertical="center" wrapText="1"/>
    </xf>
    <xf numFmtId="0" fontId="243" fillId="74" borderId="118" xfId="0" applyFont="1" applyFill="1" applyBorder="1" applyAlignment="1">
      <alignment horizontal="center" vertical="center" wrapText="1"/>
    </xf>
    <xf numFmtId="0" fontId="243" fillId="74" borderId="129" xfId="0" applyFont="1" applyFill="1" applyBorder="1" applyAlignment="1">
      <alignment horizontal="center" wrapText="1"/>
    </xf>
    <xf numFmtId="0" fontId="243" fillId="74" borderId="130" xfId="0" applyFont="1" applyFill="1" applyBorder="1" applyAlignment="1">
      <alignment horizontal="center" wrapText="1"/>
    </xf>
    <xf numFmtId="0" fontId="243" fillId="7" borderId="101" xfId="0" applyFont="1" applyFill="1" applyBorder="1" applyAlignment="1">
      <alignment horizontal="center" vertical="center" wrapText="1"/>
    </xf>
    <xf numFmtId="0" fontId="243" fillId="7" borderId="29" xfId="0" applyFont="1" applyFill="1" applyBorder="1" applyAlignment="1">
      <alignment horizontal="center" vertical="center" wrapText="1"/>
    </xf>
    <xf numFmtId="0" fontId="243" fillId="7" borderId="102" xfId="0" applyFont="1" applyFill="1" applyBorder="1" applyAlignment="1">
      <alignment horizontal="center" vertical="center" wrapText="1"/>
    </xf>
    <xf numFmtId="0" fontId="243" fillId="7" borderId="14" xfId="0" applyFont="1" applyFill="1" applyBorder="1" applyAlignment="1">
      <alignment horizontal="center" vertical="center" wrapText="1"/>
    </xf>
    <xf numFmtId="0" fontId="243" fillId="7" borderId="0" xfId="0" applyFont="1" applyFill="1" applyAlignment="1">
      <alignment horizontal="center" vertical="center" wrapText="1"/>
    </xf>
    <xf numFmtId="0" fontId="243" fillId="7" borderId="105" xfId="0" applyFont="1" applyFill="1" applyBorder="1" applyAlignment="1">
      <alignment horizontal="center" vertical="center" wrapText="1"/>
    </xf>
    <xf numFmtId="0" fontId="243" fillId="7" borderId="109" xfId="0" applyFont="1" applyFill="1" applyBorder="1" applyAlignment="1">
      <alignment horizontal="center" vertical="center" wrapText="1"/>
    </xf>
    <xf numFmtId="0" fontId="243" fillId="7" borderId="110" xfId="0" applyFont="1" applyFill="1" applyBorder="1" applyAlignment="1">
      <alignment horizontal="center" vertical="center" wrapText="1"/>
    </xf>
    <xf numFmtId="0" fontId="243" fillId="7" borderId="111" xfId="0" applyFont="1" applyFill="1" applyBorder="1" applyAlignment="1">
      <alignment horizontal="center" vertical="center" wrapText="1"/>
    </xf>
    <xf numFmtId="0" fontId="11" fillId="7" borderId="106" xfId="0" applyFont="1" applyFill="1" applyBorder="1" applyAlignment="1">
      <alignment horizontal="center"/>
    </xf>
    <xf numFmtId="0" fontId="11" fillId="7" borderId="135" xfId="0" applyFont="1" applyFill="1" applyBorder="1" applyAlignment="1">
      <alignment horizontal="center"/>
    </xf>
    <xf numFmtId="0" fontId="11" fillId="7" borderId="136" xfId="0" applyFont="1" applyFill="1" applyBorder="1" applyAlignment="1">
      <alignment horizontal="center"/>
    </xf>
    <xf numFmtId="0" fontId="11" fillId="7" borderId="106" xfId="0" applyFont="1" applyFill="1" applyBorder="1" applyAlignment="1">
      <alignment horizontal="center" wrapText="1"/>
    </xf>
    <xf numFmtId="0" fontId="11" fillId="7" borderId="137" xfId="0" applyFont="1" applyFill="1" applyBorder="1" applyAlignment="1">
      <alignment horizontal="center" wrapText="1"/>
    </xf>
    <xf numFmtId="0" fontId="11" fillId="7" borderId="138" xfId="0" applyFont="1" applyFill="1" applyBorder="1" applyAlignment="1">
      <alignment horizontal="center" wrapText="1"/>
    </xf>
    <xf numFmtId="0" fontId="11" fillId="7" borderId="136" xfId="0" applyFont="1" applyFill="1" applyBorder="1" applyAlignment="1">
      <alignment horizontal="center" wrapText="1"/>
    </xf>
    <xf numFmtId="0" fontId="11" fillId="7" borderId="60" xfId="0" applyFont="1" applyFill="1" applyBorder="1" applyAlignment="1">
      <alignment horizontal="center" wrapText="1"/>
    </xf>
    <xf numFmtId="0" fontId="247" fillId="8" borderId="138" xfId="0" applyFont="1" applyFill="1" applyBorder="1" applyAlignment="1">
      <alignment horizontal="center" vertical="center" wrapText="1"/>
    </xf>
    <xf numFmtId="0" fontId="247" fillId="8" borderId="137" xfId="0" applyFont="1" applyFill="1" applyBorder="1" applyAlignment="1">
      <alignment horizontal="center" vertical="center" wrapText="1"/>
    </xf>
    <xf numFmtId="0" fontId="11" fillId="7" borderId="60" xfId="0" applyFont="1" applyFill="1" applyBorder="1" applyAlignment="1">
      <alignment horizontal="center"/>
    </xf>
  </cellXfs>
  <cellStyles count="5735">
    <cellStyle name="          _x000d__x000a_386grabber=KSVGA.3GR" xfId="337" xr:uid="{00000000-0005-0000-0000-000000000000}"/>
    <cellStyle name="          _x000d__x000a_386grabber=vga.3gr_x000d__x000a_" xfId="338" xr:uid="{00000000-0005-0000-0000-000001000000}"/>
    <cellStyle name="          _x000d__x000a_shell=progman.exe_x000d__x000a_m" xfId="339" xr:uid="{00000000-0005-0000-0000-000002000000}"/>
    <cellStyle name="_x000a_386grabber=M" xfId="1" xr:uid="{00000000-0005-0000-0000-000003000000}"/>
    <cellStyle name="#,##0" xfId="340" xr:uid="{00000000-0005-0000-0000-000004000000}"/>
    <cellStyle name="#,##0!" xfId="341" xr:uid="{00000000-0005-0000-0000-000005000000}"/>
    <cellStyle name="#,##0$" xfId="342" xr:uid="{00000000-0005-0000-0000-000006000000}"/>
    <cellStyle name="#,##0$!" xfId="343" xr:uid="{00000000-0005-0000-0000-000007000000}"/>
    <cellStyle name="#,##0$! 10" xfId="344" xr:uid="{00000000-0005-0000-0000-000008000000}"/>
    <cellStyle name="#,##0$! 10 2" xfId="3547" xr:uid="{00000000-0005-0000-0000-000008000000}"/>
    <cellStyle name="#,##0$! 11" xfId="345" xr:uid="{00000000-0005-0000-0000-000009000000}"/>
    <cellStyle name="#,##0$! 11 2" xfId="3548" xr:uid="{00000000-0005-0000-0000-000009000000}"/>
    <cellStyle name="#,##0$! 12" xfId="346" xr:uid="{00000000-0005-0000-0000-00000A000000}"/>
    <cellStyle name="#,##0$! 12 2" xfId="3549" xr:uid="{00000000-0005-0000-0000-00000A000000}"/>
    <cellStyle name="#,##0$! 13" xfId="347" xr:uid="{00000000-0005-0000-0000-00000B000000}"/>
    <cellStyle name="#,##0$! 13 2" xfId="3550" xr:uid="{00000000-0005-0000-0000-00000B000000}"/>
    <cellStyle name="#,##0$! 14" xfId="3546" xr:uid="{00000000-0005-0000-0000-000007000000}"/>
    <cellStyle name="#,##0$! 2" xfId="348" xr:uid="{00000000-0005-0000-0000-00000C000000}"/>
    <cellStyle name="#,##0$! 2 2" xfId="349" xr:uid="{00000000-0005-0000-0000-00000D000000}"/>
    <cellStyle name="#,##0$! 2 2 2" xfId="3552" xr:uid="{00000000-0005-0000-0000-00000D000000}"/>
    <cellStyle name="#,##0$! 2 3" xfId="350" xr:uid="{00000000-0005-0000-0000-00000E000000}"/>
    <cellStyle name="#,##0$! 2 3 2" xfId="3553" xr:uid="{00000000-0005-0000-0000-00000E000000}"/>
    <cellStyle name="#,##0$! 2 4" xfId="351" xr:uid="{00000000-0005-0000-0000-00000F000000}"/>
    <cellStyle name="#,##0$! 2 4 2" xfId="3554" xr:uid="{00000000-0005-0000-0000-00000F000000}"/>
    <cellStyle name="#,##0$! 2 5" xfId="352" xr:uid="{00000000-0005-0000-0000-000010000000}"/>
    <cellStyle name="#,##0$! 2 5 2" xfId="3555" xr:uid="{00000000-0005-0000-0000-000010000000}"/>
    <cellStyle name="#,##0$! 2 6" xfId="3551" xr:uid="{00000000-0005-0000-0000-00000C000000}"/>
    <cellStyle name="#,##0$! 3" xfId="353" xr:uid="{00000000-0005-0000-0000-000011000000}"/>
    <cellStyle name="#,##0$! 3 2" xfId="354" xr:uid="{00000000-0005-0000-0000-000012000000}"/>
    <cellStyle name="#,##0$! 3 2 2" xfId="3557" xr:uid="{00000000-0005-0000-0000-000012000000}"/>
    <cellStyle name="#,##0$! 3 3" xfId="355" xr:uid="{00000000-0005-0000-0000-000013000000}"/>
    <cellStyle name="#,##0$! 3 3 2" xfId="3558" xr:uid="{00000000-0005-0000-0000-000013000000}"/>
    <cellStyle name="#,##0$! 3 4" xfId="356" xr:uid="{00000000-0005-0000-0000-000014000000}"/>
    <cellStyle name="#,##0$! 3 4 2" xfId="3559" xr:uid="{00000000-0005-0000-0000-000014000000}"/>
    <cellStyle name="#,##0$! 3 5" xfId="357" xr:uid="{00000000-0005-0000-0000-000015000000}"/>
    <cellStyle name="#,##0$! 3 5 2" xfId="3560" xr:uid="{00000000-0005-0000-0000-000015000000}"/>
    <cellStyle name="#,##0$! 3 6" xfId="3556" xr:uid="{00000000-0005-0000-0000-000011000000}"/>
    <cellStyle name="#,##0$! 4" xfId="358" xr:uid="{00000000-0005-0000-0000-000016000000}"/>
    <cellStyle name="#,##0$! 4 2" xfId="359" xr:uid="{00000000-0005-0000-0000-000017000000}"/>
    <cellStyle name="#,##0$! 4 2 2" xfId="3562" xr:uid="{00000000-0005-0000-0000-000017000000}"/>
    <cellStyle name="#,##0$! 4 3" xfId="360" xr:uid="{00000000-0005-0000-0000-000018000000}"/>
    <cellStyle name="#,##0$! 4 3 2" xfId="3563" xr:uid="{00000000-0005-0000-0000-000018000000}"/>
    <cellStyle name="#,##0$! 4 4" xfId="361" xr:uid="{00000000-0005-0000-0000-000019000000}"/>
    <cellStyle name="#,##0$! 4 4 2" xfId="3564" xr:uid="{00000000-0005-0000-0000-000019000000}"/>
    <cellStyle name="#,##0$! 4 5" xfId="362" xr:uid="{00000000-0005-0000-0000-00001A000000}"/>
    <cellStyle name="#,##0$! 4 5 2" xfId="3565" xr:uid="{00000000-0005-0000-0000-00001A000000}"/>
    <cellStyle name="#,##0$! 4 6" xfId="3561" xr:uid="{00000000-0005-0000-0000-000016000000}"/>
    <cellStyle name="#,##0$! 5" xfId="363" xr:uid="{00000000-0005-0000-0000-00001B000000}"/>
    <cellStyle name="#,##0$! 5 2" xfId="364" xr:uid="{00000000-0005-0000-0000-00001C000000}"/>
    <cellStyle name="#,##0$! 5 2 2" xfId="3567" xr:uid="{00000000-0005-0000-0000-00001C000000}"/>
    <cellStyle name="#,##0$! 5 3" xfId="365" xr:uid="{00000000-0005-0000-0000-00001D000000}"/>
    <cellStyle name="#,##0$! 5 3 2" xfId="3568" xr:uid="{00000000-0005-0000-0000-00001D000000}"/>
    <cellStyle name="#,##0$! 5 4" xfId="366" xr:uid="{00000000-0005-0000-0000-00001E000000}"/>
    <cellStyle name="#,##0$! 5 4 2" xfId="3569" xr:uid="{00000000-0005-0000-0000-00001E000000}"/>
    <cellStyle name="#,##0$! 5 5" xfId="367" xr:uid="{00000000-0005-0000-0000-00001F000000}"/>
    <cellStyle name="#,##0$! 5 5 2" xfId="3570" xr:uid="{00000000-0005-0000-0000-00001F000000}"/>
    <cellStyle name="#,##0$! 5 6" xfId="3566" xr:uid="{00000000-0005-0000-0000-00001B000000}"/>
    <cellStyle name="#,##0$! 6" xfId="368" xr:uid="{00000000-0005-0000-0000-000020000000}"/>
    <cellStyle name="#,##0$! 6 2" xfId="369" xr:uid="{00000000-0005-0000-0000-000021000000}"/>
    <cellStyle name="#,##0$! 6 2 2" xfId="3572" xr:uid="{00000000-0005-0000-0000-000021000000}"/>
    <cellStyle name="#,##0$! 6 3" xfId="370" xr:uid="{00000000-0005-0000-0000-000022000000}"/>
    <cellStyle name="#,##0$! 6 3 2" xfId="3573" xr:uid="{00000000-0005-0000-0000-000022000000}"/>
    <cellStyle name="#,##0$! 6 4" xfId="371" xr:uid="{00000000-0005-0000-0000-000023000000}"/>
    <cellStyle name="#,##0$! 6 4 2" xfId="3574" xr:uid="{00000000-0005-0000-0000-000023000000}"/>
    <cellStyle name="#,##0$! 6 5" xfId="372" xr:uid="{00000000-0005-0000-0000-000024000000}"/>
    <cellStyle name="#,##0$! 6 5 2" xfId="3575" xr:uid="{00000000-0005-0000-0000-000024000000}"/>
    <cellStyle name="#,##0$! 6 6" xfId="3571" xr:uid="{00000000-0005-0000-0000-000020000000}"/>
    <cellStyle name="#,##0$! 7" xfId="373" xr:uid="{00000000-0005-0000-0000-000025000000}"/>
    <cellStyle name="#,##0$! 7 2" xfId="374" xr:uid="{00000000-0005-0000-0000-000026000000}"/>
    <cellStyle name="#,##0$! 7 2 2" xfId="3577" xr:uid="{00000000-0005-0000-0000-000026000000}"/>
    <cellStyle name="#,##0$! 7 3" xfId="375" xr:uid="{00000000-0005-0000-0000-000027000000}"/>
    <cellStyle name="#,##0$! 7 3 2" xfId="3578" xr:uid="{00000000-0005-0000-0000-000027000000}"/>
    <cellStyle name="#,##0$! 7 4" xfId="376" xr:uid="{00000000-0005-0000-0000-000028000000}"/>
    <cellStyle name="#,##0$! 7 4 2" xfId="3579" xr:uid="{00000000-0005-0000-0000-000028000000}"/>
    <cellStyle name="#,##0$! 7 5" xfId="377" xr:uid="{00000000-0005-0000-0000-000029000000}"/>
    <cellStyle name="#,##0$! 7 5 2" xfId="3580" xr:uid="{00000000-0005-0000-0000-000029000000}"/>
    <cellStyle name="#,##0$! 7 6" xfId="3576" xr:uid="{00000000-0005-0000-0000-000025000000}"/>
    <cellStyle name="#,##0$! 8" xfId="378" xr:uid="{00000000-0005-0000-0000-00002A000000}"/>
    <cellStyle name="#,##0$! 8 2" xfId="379" xr:uid="{00000000-0005-0000-0000-00002B000000}"/>
    <cellStyle name="#,##0$! 8 2 2" xfId="3582" xr:uid="{00000000-0005-0000-0000-00002B000000}"/>
    <cellStyle name="#,##0$! 8 3" xfId="380" xr:uid="{00000000-0005-0000-0000-00002C000000}"/>
    <cellStyle name="#,##0$! 8 3 2" xfId="3583" xr:uid="{00000000-0005-0000-0000-00002C000000}"/>
    <cellStyle name="#,##0$! 8 4" xfId="381" xr:uid="{00000000-0005-0000-0000-00002D000000}"/>
    <cellStyle name="#,##0$! 8 4 2" xfId="3584" xr:uid="{00000000-0005-0000-0000-00002D000000}"/>
    <cellStyle name="#,##0$! 8 5" xfId="382" xr:uid="{00000000-0005-0000-0000-00002E000000}"/>
    <cellStyle name="#,##0$! 8 5 2" xfId="3585" xr:uid="{00000000-0005-0000-0000-00002E000000}"/>
    <cellStyle name="#,##0$! 8 6" xfId="3581" xr:uid="{00000000-0005-0000-0000-00002A000000}"/>
    <cellStyle name="#,##0$! 9" xfId="383" xr:uid="{00000000-0005-0000-0000-00002F000000}"/>
    <cellStyle name="#,##0$! 9 2" xfId="384" xr:uid="{00000000-0005-0000-0000-000030000000}"/>
    <cellStyle name="#,##0$! 9 2 2" xfId="3587" xr:uid="{00000000-0005-0000-0000-000030000000}"/>
    <cellStyle name="#,##0$! 9 3" xfId="385" xr:uid="{00000000-0005-0000-0000-000031000000}"/>
    <cellStyle name="#,##0$! 9 3 2" xfId="3588" xr:uid="{00000000-0005-0000-0000-000031000000}"/>
    <cellStyle name="#,##0$! 9 4" xfId="386" xr:uid="{00000000-0005-0000-0000-000032000000}"/>
    <cellStyle name="#,##0$! 9 4 2" xfId="3589" xr:uid="{00000000-0005-0000-0000-000032000000}"/>
    <cellStyle name="#,##0$! 9 5" xfId="387" xr:uid="{00000000-0005-0000-0000-000033000000}"/>
    <cellStyle name="#,##0$! 9 5 2" xfId="3590" xr:uid="{00000000-0005-0000-0000-000033000000}"/>
    <cellStyle name="#,##0$! 9 6" xfId="3586" xr:uid="{00000000-0005-0000-0000-00002F000000}"/>
    <cellStyle name="#,##0$$" xfId="388" xr:uid="{00000000-0005-0000-0000-000034000000}"/>
    <cellStyle name="#,##0$$!" xfId="389" xr:uid="{00000000-0005-0000-0000-000035000000}"/>
    <cellStyle name="#,##0$$$" xfId="390" xr:uid="{00000000-0005-0000-0000-000036000000}"/>
    <cellStyle name="#,##0$$$!" xfId="391" xr:uid="{00000000-0005-0000-0000-000037000000}"/>
    <cellStyle name="#,##0$$$$" xfId="392" xr:uid="{00000000-0005-0000-0000-000038000000}"/>
    <cellStyle name="#,##0$$$$!" xfId="393" xr:uid="{00000000-0005-0000-0000-000039000000}"/>
    <cellStyle name="#,##0$$$$$" xfId="394" xr:uid="{00000000-0005-0000-0000-00003A000000}"/>
    <cellStyle name="#,##0$$$$$!" xfId="395" xr:uid="{00000000-0005-0000-0000-00003B000000}"/>
    <cellStyle name="#,##0$$$$$$" xfId="396" xr:uid="{00000000-0005-0000-0000-00003C000000}"/>
    <cellStyle name="#,##0$$$$$$!" xfId="397" xr:uid="{00000000-0005-0000-0000-00003D000000}"/>
    <cellStyle name="#,##0$$$$$$$" xfId="398" xr:uid="{00000000-0005-0000-0000-00003E000000}"/>
    <cellStyle name="#,##0$$$$$$$!" xfId="399" xr:uid="{00000000-0005-0000-0000-00003F000000}"/>
    <cellStyle name="#,##0$$$$$$$$" xfId="400" xr:uid="{00000000-0005-0000-0000-000040000000}"/>
    <cellStyle name="#,##0.0$" xfId="401" xr:uid="{00000000-0005-0000-0000-000041000000}"/>
    <cellStyle name="#,##0.0$!" xfId="402" xr:uid="{00000000-0005-0000-0000-000042000000}"/>
    <cellStyle name="#,##0.0$! 10" xfId="403" xr:uid="{00000000-0005-0000-0000-000043000000}"/>
    <cellStyle name="#,##0.0$! 10 2" xfId="3592" xr:uid="{00000000-0005-0000-0000-000043000000}"/>
    <cellStyle name="#,##0.0$! 11" xfId="404" xr:uid="{00000000-0005-0000-0000-000044000000}"/>
    <cellStyle name="#,##0.0$! 11 2" xfId="3593" xr:uid="{00000000-0005-0000-0000-000044000000}"/>
    <cellStyle name="#,##0.0$! 12" xfId="405" xr:uid="{00000000-0005-0000-0000-000045000000}"/>
    <cellStyle name="#,##0.0$! 12 2" xfId="3594" xr:uid="{00000000-0005-0000-0000-000045000000}"/>
    <cellStyle name="#,##0.0$! 13" xfId="406" xr:uid="{00000000-0005-0000-0000-000046000000}"/>
    <cellStyle name="#,##0.0$! 13 2" xfId="3595" xr:uid="{00000000-0005-0000-0000-000046000000}"/>
    <cellStyle name="#,##0.0$! 14" xfId="3591" xr:uid="{00000000-0005-0000-0000-000042000000}"/>
    <cellStyle name="#,##0.0$! 2" xfId="407" xr:uid="{00000000-0005-0000-0000-000047000000}"/>
    <cellStyle name="#,##0.0$! 2 2" xfId="408" xr:uid="{00000000-0005-0000-0000-000048000000}"/>
    <cellStyle name="#,##0.0$! 2 2 2" xfId="3597" xr:uid="{00000000-0005-0000-0000-000048000000}"/>
    <cellStyle name="#,##0.0$! 2 3" xfId="409" xr:uid="{00000000-0005-0000-0000-000049000000}"/>
    <cellStyle name="#,##0.0$! 2 3 2" xfId="3598" xr:uid="{00000000-0005-0000-0000-000049000000}"/>
    <cellStyle name="#,##0.0$! 2 4" xfId="410" xr:uid="{00000000-0005-0000-0000-00004A000000}"/>
    <cellStyle name="#,##0.0$! 2 4 2" xfId="3599" xr:uid="{00000000-0005-0000-0000-00004A000000}"/>
    <cellStyle name="#,##0.0$! 2 5" xfId="411" xr:uid="{00000000-0005-0000-0000-00004B000000}"/>
    <cellStyle name="#,##0.0$! 2 5 2" xfId="3600" xr:uid="{00000000-0005-0000-0000-00004B000000}"/>
    <cellStyle name="#,##0.0$! 2 6" xfId="3596" xr:uid="{00000000-0005-0000-0000-000047000000}"/>
    <cellStyle name="#,##0.0$! 3" xfId="412" xr:uid="{00000000-0005-0000-0000-00004C000000}"/>
    <cellStyle name="#,##0.0$! 3 2" xfId="413" xr:uid="{00000000-0005-0000-0000-00004D000000}"/>
    <cellStyle name="#,##0.0$! 3 2 2" xfId="3602" xr:uid="{00000000-0005-0000-0000-00004D000000}"/>
    <cellStyle name="#,##0.0$! 3 3" xfId="414" xr:uid="{00000000-0005-0000-0000-00004E000000}"/>
    <cellStyle name="#,##0.0$! 3 3 2" xfId="3603" xr:uid="{00000000-0005-0000-0000-00004E000000}"/>
    <cellStyle name="#,##0.0$! 3 4" xfId="415" xr:uid="{00000000-0005-0000-0000-00004F000000}"/>
    <cellStyle name="#,##0.0$! 3 4 2" xfId="3604" xr:uid="{00000000-0005-0000-0000-00004F000000}"/>
    <cellStyle name="#,##0.0$! 3 5" xfId="416" xr:uid="{00000000-0005-0000-0000-000050000000}"/>
    <cellStyle name="#,##0.0$! 3 5 2" xfId="3605" xr:uid="{00000000-0005-0000-0000-000050000000}"/>
    <cellStyle name="#,##0.0$! 3 6" xfId="3601" xr:uid="{00000000-0005-0000-0000-00004C000000}"/>
    <cellStyle name="#,##0.0$! 4" xfId="417" xr:uid="{00000000-0005-0000-0000-000051000000}"/>
    <cellStyle name="#,##0.0$! 4 2" xfId="418" xr:uid="{00000000-0005-0000-0000-000052000000}"/>
    <cellStyle name="#,##0.0$! 4 2 2" xfId="3607" xr:uid="{00000000-0005-0000-0000-000052000000}"/>
    <cellStyle name="#,##0.0$! 4 3" xfId="419" xr:uid="{00000000-0005-0000-0000-000053000000}"/>
    <cellStyle name="#,##0.0$! 4 3 2" xfId="3608" xr:uid="{00000000-0005-0000-0000-000053000000}"/>
    <cellStyle name="#,##0.0$! 4 4" xfId="420" xr:uid="{00000000-0005-0000-0000-000054000000}"/>
    <cellStyle name="#,##0.0$! 4 4 2" xfId="3609" xr:uid="{00000000-0005-0000-0000-000054000000}"/>
    <cellStyle name="#,##0.0$! 4 5" xfId="421" xr:uid="{00000000-0005-0000-0000-000055000000}"/>
    <cellStyle name="#,##0.0$! 4 5 2" xfId="3610" xr:uid="{00000000-0005-0000-0000-000055000000}"/>
    <cellStyle name="#,##0.0$! 4 6" xfId="3606" xr:uid="{00000000-0005-0000-0000-000051000000}"/>
    <cellStyle name="#,##0.0$! 5" xfId="422" xr:uid="{00000000-0005-0000-0000-000056000000}"/>
    <cellStyle name="#,##0.0$! 5 2" xfId="423" xr:uid="{00000000-0005-0000-0000-000057000000}"/>
    <cellStyle name="#,##0.0$! 5 2 2" xfId="3612" xr:uid="{00000000-0005-0000-0000-000057000000}"/>
    <cellStyle name="#,##0.0$! 5 3" xfId="424" xr:uid="{00000000-0005-0000-0000-000058000000}"/>
    <cellStyle name="#,##0.0$! 5 3 2" xfId="3613" xr:uid="{00000000-0005-0000-0000-000058000000}"/>
    <cellStyle name="#,##0.0$! 5 4" xfId="425" xr:uid="{00000000-0005-0000-0000-000059000000}"/>
    <cellStyle name="#,##0.0$! 5 4 2" xfId="3614" xr:uid="{00000000-0005-0000-0000-000059000000}"/>
    <cellStyle name="#,##0.0$! 5 5" xfId="426" xr:uid="{00000000-0005-0000-0000-00005A000000}"/>
    <cellStyle name="#,##0.0$! 5 5 2" xfId="3615" xr:uid="{00000000-0005-0000-0000-00005A000000}"/>
    <cellStyle name="#,##0.0$! 5 6" xfId="3611" xr:uid="{00000000-0005-0000-0000-000056000000}"/>
    <cellStyle name="#,##0.0$! 6" xfId="427" xr:uid="{00000000-0005-0000-0000-00005B000000}"/>
    <cellStyle name="#,##0.0$! 6 2" xfId="428" xr:uid="{00000000-0005-0000-0000-00005C000000}"/>
    <cellStyle name="#,##0.0$! 6 2 2" xfId="3617" xr:uid="{00000000-0005-0000-0000-00005C000000}"/>
    <cellStyle name="#,##0.0$! 6 3" xfId="429" xr:uid="{00000000-0005-0000-0000-00005D000000}"/>
    <cellStyle name="#,##0.0$! 6 3 2" xfId="3618" xr:uid="{00000000-0005-0000-0000-00005D000000}"/>
    <cellStyle name="#,##0.0$! 6 4" xfId="430" xr:uid="{00000000-0005-0000-0000-00005E000000}"/>
    <cellStyle name="#,##0.0$! 6 4 2" xfId="3619" xr:uid="{00000000-0005-0000-0000-00005E000000}"/>
    <cellStyle name="#,##0.0$! 6 5" xfId="431" xr:uid="{00000000-0005-0000-0000-00005F000000}"/>
    <cellStyle name="#,##0.0$! 6 5 2" xfId="3620" xr:uid="{00000000-0005-0000-0000-00005F000000}"/>
    <cellStyle name="#,##0.0$! 6 6" xfId="3616" xr:uid="{00000000-0005-0000-0000-00005B000000}"/>
    <cellStyle name="#,##0.0$! 7" xfId="432" xr:uid="{00000000-0005-0000-0000-000060000000}"/>
    <cellStyle name="#,##0.0$! 7 2" xfId="433" xr:uid="{00000000-0005-0000-0000-000061000000}"/>
    <cellStyle name="#,##0.0$! 7 2 2" xfId="3622" xr:uid="{00000000-0005-0000-0000-000061000000}"/>
    <cellStyle name="#,##0.0$! 7 3" xfId="434" xr:uid="{00000000-0005-0000-0000-000062000000}"/>
    <cellStyle name="#,##0.0$! 7 3 2" xfId="3623" xr:uid="{00000000-0005-0000-0000-000062000000}"/>
    <cellStyle name="#,##0.0$! 7 4" xfId="435" xr:uid="{00000000-0005-0000-0000-000063000000}"/>
    <cellStyle name="#,##0.0$! 7 4 2" xfId="3624" xr:uid="{00000000-0005-0000-0000-000063000000}"/>
    <cellStyle name="#,##0.0$! 7 5" xfId="436" xr:uid="{00000000-0005-0000-0000-000064000000}"/>
    <cellStyle name="#,##0.0$! 7 5 2" xfId="3625" xr:uid="{00000000-0005-0000-0000-000064000000}"/>
    <cellStyle name="#,##0.0$! 7 6" xfId="3621" xr:uid="{00000000-0005-0000-0000-000060000000}"/>
    <cellStyle name="#,##0.0$! 8" xfId="437" xr:uid="{00000000-0005-0000-0000-000065000000}"/>
    <cellStyle name="#,##0.0$! 8 2" xfId="438" xr:uid="{00000000-0005-0000-0000-000066000000}"/>
    <cellStyle name="#,##0.0$! 8 2 2" xfId="3627" xr:uid="{00000000-0005-0000-0000-000066000000}"/>
    <cellStyle name="#,##0.0$! 8 3" xfId="439" xr:uid="{00000000-0005-0000-0000-000067000000}"/>
    <cellStyle name="#,##0.0$! 8 3 2" xfId="3628" xr:uid="{00000000-0005-0000-0000-000067000000}"/>
    <cellStyle name="#,##0.0$! 8 4" xfId="440" xr:uid="{00000000-0005-0000-0000-000068000000}"/>
    <cellStyle name="#,##0.0$! 8 4 2" xfId="3629" xr:uid="{00000000-0005-0000-0000-000068000000}"/>
    <cellStyle name="#,##0.0$! 8 5" xfId="441" xr:uid="{00000000-0005-0000-0000-000069000000}"/>
    <cellStyle name="#,##0.0$! 8 5 2" xfId="3630" xr:uid="{00000000-0005-0000-0000-000069000000}"/>
    <cellStyle name="#,##0.0$! 8 6" xfId="3626" xr:uid="{00000000-0005-0000-0000-000065000000}"/>
    <cellStyle name="#,##0.0$! 9" xfId="442" xr:uid="{00000000-0005-0000-0000-00006A000000}"/>
    <cellStyle name="#,##0.0$! 9 2" xfId="443" xr:uid="{00000000-0005-0000-0000-00006B000000}"/>
    <cellStyle name="#,##0.0$! 9 2 2" xfId="3632" xr:uid="{00000000-0005-0000-0000-00006B000000}"/>
    <cellStyle name="#,##0.0$! 9 3" xfId="444" xr:uid="{00000000-0005-0000-0000-00006C000000}"/>
    <cellStyle name="#,##0.0$! 9 3 2" xfId="3633" xr:uid="{00000000-0005-0000-0000-00006C000000}"/>
    <cellStyle name="#,##0.0$! 9 4" xfId="445" xr:uid="{00000000-0005-0000-0000-00006D000000}"/>
    <cellStyle name="#,##0.0$! 9 4 2" xfId="3634" xr:uid="{00000000-0005-0000-0000-00006D000000}"/>
    <cellStyle name="#,##0.0$! 9 5" xfId="446" xr:uid="{00000000-0005-0000-0000-00006E000000}"/>
    <cellStyle name="#,##0.0$! 9 5 2" xfId="3635" xr:uid="{00000000-0005-0000-0000-00006E000000}"/>
    <cellStyle name="#,##0.0$! 9 6" xfId="3631" xr:uid="{00000000-0005-0000-0000-00006A000000}"/>
    <cellStyle name="#,##0.0$$" xfId="447" xr:uid="{00000000-0005-0000-0000-00006F000000}"/>
    <cellStyle name="#,##0.0$$!" xfId="448" xr:uid="{00000000-0005-0000-0000-000070000000}"/>
    <cellStyle name="#,##0.0$$$" xfId="449" xr:uid="{00000000-0005-0000-0000-000071000000}"/>
    <cellStyle name="#,##0.0$$$!" xfId="450" xr:uid="{00000000-0005-0000-0000-000072000000}"/>
    <cellStyle name="#,##0.0$$$$" xfId="451" xr:uid="{00000000-0005-0000-0000-000073000000}"/>
    <cellStyle name="#,##0.0$$$$!" xfId="452" xr:uid="{00000000-0005-0000-0000-000074000000}"/>
    <cellStyle name="#,##0.0$$$$$" xfId="453" xr:uid="{00000000-0005-0000-0000-000075000000}"/>
    <cellStyle name="#,##0.0$$$$$!" xfId="454" xr:uid="{00000000-0005-0000-0000-000076000000}"/>
    <cellStyle name="#,##0.0$$$$$$" xfId="455" xr:uid="{00000000-0005-0000-0000-000077000000}"/>
    <cellStyle name="#,##0.0$$$$$$!" xfId="456" xr:uid="{00000000-0005-0000-0000-000078000000}"/>
    <cellStyle name="$" xfId="2" xr:uid="{00000000-0005-0000-0000-000079000000}"/>
    <cellStyle name="$_db진흥" xfId="3" xr:uid="{00000000-0005-0000-0000-00007A000000}"/>
    <cellStyle name="$_견적2" xfId="4" xr:uid="{00000000-0005-0000-0000-00007B000000}"/>
    <cellStyle name="$_기아" xfId="5" xr:uid="{00000000-0005-0000-0000-00007C000000}"/>
    <cellStyle name="?" xfId="457" xr:uid="{00000000-0005-0000-0000-00007D000000}"/>
    <cellStyle name="_x001f_?--_x0004_ _x000c_ _x0003__x000b__x0001__x000a__x000b__x0002_--_x0008__x0004__x0002__x0002__x0007__x0007__x0007__x0007__x0007__x0007__x0007__x0007__x0007__x0007__x0007__x0007__x0007__x0007__x0002_-_x0004_ _x000c_ _x0003__x000b__x0001__x000a__x000b__x0002_--_x0008__x0002_" xfId="458" xr:uid="{00000000-0005-0000-0000-00007E000000}"/>
    <cellStyle name="?? [0]_??" xfId="459" xr:uid="{00000000-0005-0000-0000-00007F000000}"/>
    <cellStyle name="??&amp;_x0012_?&amp;_x000b_?_x0008_*_x0007_?_x0007__x0001__x0001_" xfId="460" xr:uid="{00000000-0005-0000-0000-000080000000}"/>
    <cellStyle name="??&amp;O?&amp;" xfId="461" xr:uid="{00000000-0005-0000-0000-000081000000}"/>
    <cellStyle name="??&amp;O?&amp;H?_x0008__x000f__x0007_" xfId="462" xr:uid="{00000000-0005-0000-0000-000082000000}"/>
    <cellStyle name="??&amp;O?&amp;H?_x0008__x000f__x0007_?_x0007__x0001__x0001_" xfId="6" xr:uid="{00000000-0005-0000-0000-000083000000}"/>
    <cellStyle name="??&amp;O?&amp;H?_x0008_??_x0007_" xfId="463" xr:uid="{00000000-0005-0000-0000-000084000000}"/>
    <cellStyle name="??&amp;O?&amp;H?_x0008_??_x0007__x0001__x0001_" xfId="7" xr:uid="{00000000-0005-0000-0000-000085000000}"/>
    <cellStyle name="??&amp;O?&amp;H?_x0008_??_x000f__x0001__x0001_" xfId="464" xr:uid="{00000000-0005-0000-0000-000086000000}"/>
    <cellStyle name="??&amp;O?&amp;H?_x0008_??_x0007__x0001__x0001__▶(경평,송부용) 9월 ROAA 관리업체" xfId="465" xr:uid="{00000000-0005-0000-0000-000087000000}"/>
    <cellStyle name="??&amp;O?&amp;H?_x0008_??_x000f__x0001__x0001__▶(경평,송부용) 9월 ROAA 관리업체" xfId="466" xr:uid="{00000000-0005-0000-0000-000088000000}"/>
    <cellStyle name="??&amp;O?&amp;H?_x0008__x000f__x0007_?_x0007__x0001__x0001__(대1본부)기준목표조정.0416" xfId="467" xr:uid="{00000000-0005-0000-0000-000089000000}"/>
    <cellStyle name="??&amp;O?&amp;H?_x0008_x_x000b_P_x000c__x0007__x0001__x0001_" xfId="468" xr:uid="{00000000-0005-0000-0000-00008A000000}"/>
    <cellStyle name="???? [0.00]_1997 Turns" xfId="469" xr:uid="{00000000-0005-0000-0000-00008B000000}"/>
    <cellStyle name="???? [0]_????? " xfId="470" xr:uid="{00000000-0005-0000-0000-00008C000000}"/>
    <cellStyle name="?????_VERA" xfId="471" xr:uid="{00000000-0005-0000-0000-00008D000000}"/>
    <cellStyle name="????_????? " xfId="472" xr:uid="{00000000-0005-0000-0000-00008E000000}"/>
    <cellStyle name="??_  FAB ??  " xfId="473" xr:uid="{00000000-0005-0000-0000-00008F000000}"/>
    <cellStyle name="?W?_laroux" xfId="474" xr:uid="{00000000-0005-0000-0000-000090000000}"/>
    <cellStyle name="?핺_CASH FLOW " xfId="8" xr:uid="{00000000-0005-0000-0000-000091000000}"/>
    <cellStyle name="]_^[꺞_x0008_?" xfId="475" xr:uid="{00000000-0005-0000-0000-000092000000}"/>
    <cellStyle name="_(080218) 주택담보대출 원금상환관련_한국씨티은행" xfId="476" xr:uid="{00000000-0005-0000-0000-000093000000}"/>
    <cellStyle name="_(080523) 주택담보대출 원금상환관련(재수정)-최종" xfId="477" xr:uid="{00000000-0005-0000-0000-000094000000}"/>
    <cellStyle name="_(080523) 주택담보대출 원금상환관련(재수정)-최종_1" xfId="478" xr:uid="{00000000-0005-0000-0000-000095000000}"/>
    <cellStyle name="_(주)동부cwi01" xfId="479" xr:uid="{00000000-0005-0000-0000-000096000000}"/>
    <cellStyle name="_(참고자료)_09년제출(090220) 조문환 의원실(연봉)" xfId="480" xr:uid="{00000000-0005-0000-0000-000097000000}"/>
    <cellStyle name="_(참고자료)_2_2007년 직원별 급여자료_08년이진복의원자료_1억이상" xfId="481" xr:uid="{00000000-0005-0000-0000-000098000000}"/>
    <cellStyle name="_(평가판)신용위험관리" xfId="482" xr:uid="{00000000-0005-0000-0000-000099000000}"/>
    <cellStyle name="_~4747474" xfId="483" xr:uid="{00000000-0005-0000-0000-00009A000000}"/>
    <cellStyle name="_~4747474_1" xfId="484" xr:uid="{00000000-0005-0000-0000-00009B000000}"/>
    <cellStyle name="_~MF3326" xfId="485" xr:uid="{00000000-0005-0000-0000-00009C000000}"/>
    <cellStyle name="_~MF3326_1" xfId="486" xr:uid="{00000000-0005-0000-0000-00009D000000}"/>
    <cellStyle name="_~MF3326_2" xfId="487" xr:uid="{00000000-0005-0000-0000-00009E000000}"/>
    <cellStyle name="_~MF3326_2분기조서" xfId="488" xr:uid="{00000000-0005-0000-0000-00009F000000}"/>
    <cellStyle name="_~MF3326_3" xfId="489" xr:uid="{00000000-0005-0000-0000-0000A0000000}"/>
    <cellStyle name="_~MF3326_3분기조서" xfId="490" xr:uid="{00000000-0005-0000-0000-0000A1000000}"/>
    <cellStyle name="_~MF3326_4" xfId="491" xr:uid="{00000000-0005-0000-0000-0000A2000000}"/>
    <cellStyle name="_~MF3326_4 2" xfId="3636" xr:uid="{00000000-0005-0000-0000-0000A2000000}"/>
    <cellStyle name="_~MF3326_5" xfId="492" xr:uid="{00000000-0005-0000-0000-0000A3000000}"/>
    <cellStyle name="_~MF3326_자회사배당익불산고려(7(1).18)" xfId="493" xr:uid="{00000000-0005-0000-0000-0000A4000000}"/>
    <cellStyle name="_★(기제출)090331신학용 의원실 요청자료(기획팀 소관)_중식대+통근비포함" xfId="494" xr:uid="{00000000-0005-0000-0000-0000A5000000}"/>
    <cellStyle name="_0.보고_연결재무제표(2002.12)" xfId="495" xr:uid="{00000000-0005-0000-0000-0000A6000000}"/>
    <cellStyle name="_00. 2003년8월재무제표_보고" xfId="496" xr:uid="{00000000-0005-0000-0000-0000A7000000}"/>
    <cellStyle name="_00. 2003년8월재무제표_보고 2" xfId="3637" xr:uid="{00000000-0005-0000-0000-0000A7000000}"/>
    <cellStyle name="_00. 영업외수익 및 비용 추정(수정)" xfId="497" xr:uid="{00000000-0005-0000-0000-0000A8000000}"/>
    <cellStyle name="_00.재무제표(보고용_1분기_AJE반영)0303" xfId="498" xr:uid="{00000000-0005-0000-0000-0000A9000000}"/>
    <cellStyle name="_00.재무제표(보고용_1분기_AJE반영)0303 2" xfId="3638" xr:uid="{00000000-0005-0000-0000-0000A9000000}"/>
    <cellStyle name="_01_2009년 인건비 (이민선대리)_보정후" xfId="499" xr:uid="{00000000-0005-0000-0000-0000AA000000}"/>
    <cellStyle name="_01_IR보고(2008년3분기)_참고용_090228" xfId="500" xr:uid="{00000000-0005-0000-0000-0000AB000000}"/>
    <cellStyle name="_01_퇴충(0812)제출(회계부)_4_090107(총급여액변경후)" xfId="501" xr:uid="{00000000-0005-0000-0000-0000AC000000}"/>
    <cellStyle name="_02 결산안(5월)0705" xfId="502" xr:uid="{00000000-0005-0000-0000-0000AD000000}"/>
    <cellStyle name="_02 결산안(5월)0705 2" xfId="3639" xr:uid="{00000000-0005-0000-0000-0000AD000000}"/>
    <cellStyle name="_02기말_cwi" xfId="503" xr:uid="{00000000-0005-0000-0000-0000AE000000}"/>
    <cellStyle name="_03. 계정명세서sum(4월)" xfId="504" xr:uid="{00000000-0005-0000-0000-0000AF000000}"/>
    <cellStyle name="_03_Audit_Hynix_현금흐름표(홍성훈-최종)" xfId="505" xr:uid="{00000000-0005-0000-0000-0000B0000000}"/>
    <cellStyle name="_03_Audit_Hynix_현금흐름표(홍성훈-최종) 2" xfId="3640" xr:uid="{00000000-0005-0000-0000-0000B0000000}"/>
    <cellStyle name="_030820 Final 확정업무보고서(2003.2분기)" xfId="9" xr:uid="{00000000-0005-0000-0000-0000B1000000}"/>
    <cellStyle name="_06 씨티" xfId="506" xr:uid="{00000000-0005-0000-0000-0000B2000000}"/>
    <cellStyle name="_06 씨티_1" xfId="507" xr:uid="{00000000-0005-0000-0000-0000B3000000}"/>
    <cellStyle name="_06 씨티_1_8. 원금상환 예정액(분할상환)" xfId="508" xr:uid="{00000000-0005-0000-0000-0000B4000000}"/>
    <cellStyle name="_06 씨티_8. 원금상환 예정액(분할상환)" xfId="509" xr:uid="{00000000-0005-0000-0000-0000B5000000}"/>
    <cellStyle name="_090227_2008년 인건비 내역별집행현황(보정후)2009" xfId="510" xr:uid="{00000000-0005-0000-0000-0000B6000000}"/>
    <cellStyle name="_090227_2008년 인건비 내역별집행현황(보정후)2009_편집" xfId="511" xr:uid="{00000000-0005-0000-0000-0000B7000000}"/>
    <cellStyle name="_1.업추자료" xfId="512" xr:uid="{00000000-0005-0000-0000-0000B8000000}"/>
    <cellStyle name="_1.업추자료_평가지표.영업점의견 - 영남본부" xfId="513" xr:uid="{00000000-0005-0000-0000-0000B9000000}"/>
    <cellStyle name="_100224_2009년도보고서작성_편집" xfId="514" xr:uid="{00000000-0005-0000-0000-0000BA000000}"/>
    <cellStyle name="_12월말계정명세sum" xfId="515" xr:uid="{00000000-0005-0000-0000-0000BB000000}"/>
    <cellStyle name="_12월말계정명세sum 2" xfId="3641" xr:uid="{00000000-0005-0000-0000-0000BB000000}"/>
    <cellStyle name="_13_사모단독펀드" xfId="516" xr:uid="{00000000-0005-0000-0000-0000BC000000}"/>
    <cellStyle name="_2002년 업무팀 정보제공 평가표(1)" xfId="517" xr:uid="{00000000-0005-0000-0000-0000BD000000}"/>
    <cellStyle name="_2002년 재무제표(주총)_3" xfId="518" xr:uid="{00000000-0005-0000-0000-0000BE000000}"/>
    <cellStyle name="_2002년 재무제표(주총)_3 2" xfId="3642" xr:uid="{00000000-0005-0000-0000-0000BE000000}"/>
    <cellStyle name="_2002년5월결산보고" xfId="519" xr:uid="{00000000-0005-0000-0000-0000BF000000}"/>
    <cellStyle name="_2002년5월결산보고 2" xfId="3643" xr:uid="{00000000-0005-0000-0000-0000BF000000}"/>
    <cellStyle name="_2002년말이자비용(보고용삭제)" xfId="520" xr:uid="{00000000-0005-0000-0000-0000C0000000}"/>
    <cellStyle name="_2002년말이자비용(보고용삭제) 2" xfId="3644" xr:uid="{00000000-0005-0000-0000-0000C0000000}"/>
    <cellStyle name="_2003 6월 재무제표(4)" xfId="521" xr:uid="{00000000-0005-0000-0000-0000C1000000}"/>
    <cellStyle name="_2003.3_4분기_경영관리팀_82~83_제출_현호씨" xfId="10" xr:uid="{00000000-0005-0000-0000-0000C2000000}"/>
    <cellStyle name="_2003.3_4분기_경영관리팀_할부금융,비용" xfId="11" xr:uid="{00000000-0005-0000-0000-0000C3000000}"/>
    <cellStyle name="_2003.4_4분기_경영관리팀(김기배대리)" xfId="12" xr:uid="{00000000-0005-0000-0000-0000C4000000}"/>
    <cellStyle name="_2003.4_4분기_경영관리팀(김기배대리)_20040316" xfId="13" xr:uid="{00000000-0005-0000-0000-0000C5000000}"/>
    <cellStyle name="_2003년 하반기 업무팀 정보제공 평가" xfId="522" xr:uid="{00000000-0005-0000-0000-0000C6000000}"/>
    <cellStyle name="_2003년5월재무제표(보고용)" xfId="523" xr:uid="{00000000-0005-0000-0000-0000C7000000}"/>
    <cellStyle name="_2003년5월재무제표(보고용) 2" xfId="3645" xr:uid="{00000000-0005-0000-0000-0000C7000000}"/>
    <cellStyle name="_2004 사모펀드별 손익계정" xfId="524" xr:uid="{00000000-0005-0000-0000-0000C8000000}"/>
    <cellStyle name="_2004 사모펀드별 손익계정_13_사모단독펀드" xfId="525" xr:uid="{00000000-0005-0000-0000-0000C9000000}"/>
    <cellStyle name="_2006녀 예상손실자료_최종" xfId="526" xr:uid="{00000000-0005-0000-0000-0000CA000000}"/>
    <cellStyle name="_2006년 상반기 중소기업 총예금 추진실적게시용(3월 31일)" xfId="527" xr:uid="{00000000-0005-0000-0000-0000CB000000}"/>
    <cellStyle name="_2007 Functional Numbers (template)" xfId="528" xr:uid="{00000000-0005-0000-0000-0000CC000000}"/>
    <cellStyle name="_2007 Functional Numbers (template)_data" xfId="529" xr:uid="{00000000-0005-0000-0000-0000CD000000}"/>
    <cellStyle name="_2007 Functional Numbers (template)_InterfaceData_Query_v1.0_20120209" xfId="530" xr:uid="{00000000-0005-0000-0000-0000CE000000}"/>
    <cellStyle name="_2007 Functional Numbers (template)_Sheet3" xfId="531" xr:uid="{00000000-0005-0000-0000-0000CF000000}"/>
    <cellStyle name="_2007_12파생주석(스왑자료)" xfId="532" xr:uid="{00000000-0005-0000-0000-0000D0000000}"/>
    <cellStyle name="_2007_12파생주석(스왑자료)_파생 현금흐름표(최종)" xfId="533" xr:uid="{00000000-0005-0000-0000-0000D1000000}"/>
    <cellStyle name="_2007_12파생주석(스왑자료)_파생 현금흐름표(최종)_파생상품요청양식(080211)(1)_최종" xfId="534" xr:uid="{00000000-0005-0000-0000-0000D2000000}"/>
    <cellStyle name="_2008" xfId="535" xr:uid="{00000000-0005-0000-0000-0000D3000000}"/>
    <cellStyle name="_2008_2010" xfId="536" xr:uid="{00000000-0005-0000-0000-0000D4000000}"/>
    <cellStyle name="_2008_2010_IB (10)" xfId="537" xr:uid="{00000000-0005-0000-0000-0000D5000000}"/>
    <cellStyle name="_2008_2010_IB (11)" xfId="538" xr:uid="{00000000-0005-0000-0000-0000D6000000}"/>
    <cellStyle name="_2008_2010_IBA2010" xfId="539" xr:uid="{00000000-0005-0000-0000-0000D7000000}"/>
    <cellStyle name="_2008_2010_IBA2010 (version 1)" xfId="540" xr:uid="{00000000-0005-0000-0000-0000D8000000}"/>
    <cellStyle name="_2008_2010_IBA2011" xfId="541" xr:uid="{00000000-0005-0000-0000-0000D9000000}"/>
    <cellStyle name="_2008_India" xfId="542" xr:uid="{00000000-0005-0000-0000-0000DA000000}"/>
    <cellStyle name="_2008_India_2010" xfId="543" xr:uid="{00000000-0005-0000-0000-0000DB000000}"/>
    <cellStyle name="_2008_India_2010_IB (10)" xfId="544" xr:uid="{00000000-0005-0000-0000-0000DC000000}"/>
    <cellStyle name="_2008_India_2010_IB (11)" xfId="545" xr:uid="{00000000-0005-0000-0000-0000DD000000}"/>
    <cellStyle name="_2008_India_2010_IBA2010" xfId="546" xr:uid="{00000000-0005-0000-0000-0000DE000000}"/>
    <cellStyle name="_2008_India_2010_IBA2010 (version 1)" xfId="547" xr:uid="{00000000-0005-0000-0000-0000DF000000}"/>
    <cellStyle name="_2008_India_2010_IBA2011" xfId="548" xr:uid="{00000000-0005-0000-0000-0000E0000000}"/>
    <cellStyle name="_2008_India_Korea" xfId="549" xr:uid="{00000000-0005-0000-0000-0000E1000000}"/>
    <cellStyle name="_2008_India_Taiwan" xfId="550" xr:uid="{00000000-0005-0000-0000-0000E2000000}"/>
    <cellStyle name="_2008_Korea" xfId="551" xr:uid="{00000000-0005-0000-0000-0000E3000000}"/>
    <cellStyle name="_2008_Korea_India" xfId="552" xr:uid="{00000000-0005-0000-0000-0000E4000000}"/>
    <cellStyle name="_2008_Taiwan" xfId="553" xr:uid="{00000000-0005-0000-0000-0000E5000000}"/>
    <cellStyle name="_2008_Taiwan_India" xfId="554" xr:uid="{00000000-0005-0000-0000-0000E6000000}"/>
    <cellStyle name="_2008년 예산편성액(FIS)_20080421" xfId="555" xr:uid="{00000000-0005-0000-0000-0000E7000000}"/>
    <cellStyle name="_2010년 직원 급여 지급 내역(본부특별 시간외 금액 별도 표시)_02+" xfId="556" xr:uid="{00000000-0005-0000-0000-0000E8000000}"/>
    <cellStyle name="_2Q말판관비" xfId="557" xr:uid="{00000000-0005-0000-0000-0000E9000000}"/>
    <cellStyle name="_2Q말판관비 2" xfId="3646" xr:uid="{00000000-0005-0000-0000-0000E9000000}"/>
    <cellStyle name="_3Q말판관비" xfId="558" xr:uid="{00000000-0005-0000-0000-0000EA000000}"/>
    <cellStyle name="_3Q말판관비 2" xfId="3647" xr:uid="{00000000-0005-0000-0000-0000EA000000}"/>
    <cellStyle name="_3Q인센티브한도" xfId="559" xr:uid="{00000000-0005-0000-0000-0000EB000000}"/>
    <cellStyle name="_3Q인센티브한도 2" xfId="3648" xr:uid="{00000000-0005-0000-0000-0000EB000000}"/>
    <cellStyle name="_3Q재무제표(보고용)" xfId="560" xr:uid="{00000000-0005-0000-0000-0000EC000000}"/>
    <cellStyle name="_3Q재무제표(보고용) 2" xfId="3649" xr:uid="{00000000-0005-0000-0000-0000EC000000}"/>
    <cellStyle name="_3Q재무제표(보고용)_021028" xfId="561" xr:uid="{00000000-0005-0000-0000-0000ED000000}"/>
    <cellStyle name="_3Q재무제표(보고용)_021028 2" xfId="3650" xr:uid="{00000000-0005-0000-0000-0000ED000000}"/>
    <cellStyle name="_3분기이자비용" xfId="562" xr:uid="{00000000-0005-0000-0000-0000EE000000}"/>
    <cellStyle name="_3분기이자비용 2" xfId="3651" xr:uid="{00000000-0005-0000-0000-0000EE000000}"/>
    <cellStyle name="_41_2010년2분기사업보고서_작업_100715" xfId="563" xr:uid="{00000000-0005-0000-0000-0000EF000000}"/>
    <cellStyle name="_4Q요약손익추정" xfId="564" xr:uid="{00000000-0005-0000-0000-0000F0000000}"/>
    <cellStyle name="_4Q요약손익추정 2" xfId="3652" xr:uid="{00000000-0005-0000-0000-0000F0000000}"/>
    <cellStyle name="_55_제출7_이사회보고_재무관리부제출자료_20071116" xfId="565" xr:uid="{00000000-0005-0000-0000-0000F1000000}"/>
    <cellStyle name="_56_제출8_06~07,07~08 인건비 증감내역_20071122" xfId="566" xr:uid="{00000000-0005-0000-0000-0000F2000000}"/>
    <cellStyle name="_6월말계정명세sum_12월비교" xfId="567" xr:uid="{00000000-0005-0000-0000-0000F3000000}"/>
    <cellStyle name="_6월말계정명세sum_12월비교 2" xfId="3653" xr:uid="{00000000-0005-0000-0000-0000F3000000}"/>
    <cellStyle name="_6월말계정명세sum_3월비교" xfId="568" xr:uid="{00000000-0005-0000-0000-0000F4000000}"/>
    <cellStyle name="_6월말계정명세sum_3월비교 2" xfId="3654" xr:uid="{00000000-0005-0000-0000-0000F4000000}"/>
    <cellStyle name="_6월자산건전성분류(최종)8월26일s" xfId="14" xr:uid="{00000000-0005-0000-0000-0000F5000000}"/>
    <cellStyle name="_6월자산건전성분류_최종" xfId="15" xr:uid="{00000000-0005-0000-0000-0000F6000000}"/>
    <cellStyle name="_7월누적투자" xfId="16" xr:uid="{00000000-0005-0000-0000-0000F7000000}"/>
    <cellStyle name="_9910-구매업무보고-05" xfId="569" xr:uid="{00000000-0005-0000-0000-0000F8000000}"/>
    <cellStyle name="_9910-구매업무보고-05 2" xfId="3655" xr:uid="{00000000-0005-0000-0000-0000F8000000}"/>
    <cellStyle name="_9910-구매업무보고-05_1" xfId="570" xr:uid="{00000000-0005-0000-0000-0000F9000000}"/>
    <cellStyle name="_9910-구매업무보고-05_1 2" xfId="3656" xr:uid="{00000000-0005-0000-0000-0000F9000000}"/>
    <cellStyle name="_9월말계정명세sum" xfId="571" xr:uid="{00000000-0005-0000-0000-0000FA000000}"/>
    <cellStyle name="_9월말계정명세sum 2" xfId="3657" xr:uid="{00000000-0005-0000-0000-0000FA000000}"/>
    <cellStyle name="_9월말계정명세sum_021014" xfId="572" xr:uid="{00000000-0005-0000-0000-0000FB000000}"/>
    <cellStyle name="_9월말계정명세sum_021014 2" xfId="3658" xr:uid="{00000000-0005-0000-0000-0000FB000000}"/>
    <cellStyle name="_ABS" xfId="573" xr:uid="{00000000-0005-0000-0000-0000FC000000}"/>
    <cellStyle name="_abs우리모아1차(6월)" xfId="574" xr:uid="{00000000-0005-0000-0000-0000FD000000}"/>
    <cellStyle name="_Addition" xfId="575" xr:uid="{00000000-0005-0000-0000-0000FE000000}"/>
    <cellStyle name="_ALM ReportⅡ Liquidity Risk(20050531)" xfId="576" xr:uid="{00000000-0005-0000-0000-0000FF000000}"/>
    <cellStyle name="_ALM ReportⅡ Liquidity Risk(20050630)" xfId="577" xr:uid="{00000000-0005-0000-0000-000000010000}"/>
    <cellStyle name="_ALM ReportⅡ Liquidity Risk(2005731)" xfId="578" xr:uid="{00000000-0005-0000-0000-000001010000}"/>
    <cellStyle name="_ALM ReportⅡ Liquidity Risk(2005831)" xfId="579" xr:uid="{00000000-0005-0000-0000-000002010000}"/>
    <cellStyle name="_Book1" xfId="17" xr:uid="{00000000-0005-0000-0000-000003010000}"/>
    <cellStyle name="_Book1_1_임금인상" xfId="580" xr:uid="{00000000-0005-0000-0000-000004010000}"/>
    <cellStyle name="_Book2" xfId="581" xr:uid="{00000000-0005-0000-0000-000005010000}"/>
    <cellStyle name="_Book2_☆★퇴직금잔액장_100408" xfId="582" xr:uid="{00000000-0005-0000-0000-000006010000}"/>
    <cellStyle name="_Book2_☆100331_퇴직금지급내역표" xfId="583" xr:uid="{00000000-0005-0000-0000-000007010000}"/>
    <cellStyle name="_Book2_※퇴직금지급내역서_100705" xfId="584" xr:uid="{00000000-0005-0000-0000-000008010000}"/>
    <cellStyle name="_Book2_100224_2009년도보고서작성_편집" xfId="585" xr:uid="{00000000-0005-0000-0000-000009010000}"/>
    <cellStyle name="_Book2_100531_2010년퇴직금지급내역서" xfId="586" xr:uid="{00000000-0005-0000-0000-00000A010000}"/>
    <cellStyle name="_Book2_41_2010년2분기사업보고서_작업_100715" xfId="587" xr:uid="{00000000-0005-0000-0000-00000B010000}"/>
    <cellStyle name="_Book2_54.퇴직급여(보험)충당금(200812)_1R" xfId="588" xr:uid="{00000000-0005-0000-0000-00000C010000}"/>
    <cellStyle name="_Book3" xfId="589" xr:uid="{00000000-0005-0000-0000-00000D010000}"/>
    <cellStyle name="_BSC재무제표양식_연결" xfId="590" xr:uid="{00000000-0005-0000-0000-00000E010000}"/>
    <cellStyle name="_BSC재무제표양식_연결 2" xfId="3659" xr:uid="{00000000-0005-0000-0000-00000E010000}"/>
    <cellStyle name="_Column1" xfId="591" xr:uid="{00000000-0005-0000-0000-00000F010000}"/>
    <cellStyle name="_Column1_평가지표.영업점의견 - 영남본부" xfId="592" xr:uid="{00000000-0005-0000-0000-000010010000}"/>
    <cellStyle name="_Column2" xfId="593" xr:uid="{00000000-0005-0000-0000-000011010000}"/>
    <cellStyle name="_Column2_평가지표.영업점의견 - 영남본부" xfId="594" xr:uid="{00000000-0005-0000-0000-000012010000}"/>
    <cellStyle name="_Column3" xfId="595" xr:uid="{00000000-0005-0000-0000-000013010000}"/>
    <cellStyle name="_Column3_평가지표.영업점의견 - 영남본부" xfId="596" xr:uid="{00000000-0005-0000-0000-000014010000}"/>
    <cellStyle name="_Column4" xfId="597" xr:uid="{00000000-0005-0000-0000-000015010000}"/>
    <cellStyle name="_Column4_평가지표.영업점의견 - 영남본부" xfId="598" xr:uid="{00000000-0005-0000-0000-000016010000}"/>
    <cellStyle name="_Column5" xfId="599" xr:uid="{00000000-0005-0000-0000-000017010000}"/>
    <cellStyle name="_Column5_평가지표.영업점의견 - 영남본부" xfId="600" xr:uid="{00000000-0005-0000-0000-000018010000}"/>
    <cellStyle name="_Column6" xfId="601" xr:uid="{00000000-0005-0000-0000-000019010000}"/>
    <cellStyle name="_Column6_평가지표.영업점의견 - 영남본부" xfId="602" xr:uid="{00000000-0005-0000-0000-00001A010000}"/>
    <cellStyle name="_Column7" xfId="603" xr:uid="{00000000-0005-0000-0000-00001B010000}"/>
    <cellStyle name="_Column7_평가지표.영업점의견 - 영남본부" xfId="604" xr:uid="{00000000-0005-0000-0000-00001C010000}"/>
    <cellStyle name="_CWI(반기)2002" xfId="605" xr:uid="{00000000-0005-0000-0000-00001D010000}"/>
    <cellStyle name="_CWI(반기)2002-최악의경우" xfId="606" xr:uid="{00000000-0005-0000-0000-00001E010000}"/>
    <cellStyle name="_Data" xfId="607" xr:uid="{00000000-0005-0000-0000-00001F010000}"/>
    <cellStyle name="_data (2)" xfId="608" xr:uid="{00000000-0005-0000-0000-000020010000}"/>
    <cellStyle name="_data_data" xfId="609" xr:uid="{00000000-0005-0000-0000-000021010000}"/>
    <cellStyle name="_data_InterfaceData_Query_v1.0_20120209" xfId="610" xr:uid="{00000000-0005-0000-0000-000022010000}"/>
    <cellStyle name="_data_Sheet3" xfId="611" xr:uid="{00000000-0005-0000-0000-000023010000}"/>
    <cellStyle name="_Data_평가지표.영업점의견 - 영남본부" xfId="612" xr:uid="{00000000-0005-0000-0000-000024010000}"/>
    <cellStyle name="_DB_CUR" xfId="613" xr:uid="{00000000-0005-0000-0000-000025010000}"/>
    <cellStyle name="_DB_CUR 2" xfId="3660" xr:uid="{00000000-0005-0000-0000-000025010000}"/>
    <cellStyle name="_Excomm 자료_연결" xfId="614" xr:uid="{00000000-0005-0000-0000-000026010000}"/>
    <cellStyle name="_foxz" xfId="18" xr:uid="{00000000-0005-0000-0000-000027010000}"/>
    <cellStyle name="_FS03.07" xfId="615" xr:uid="{00000000-0005-0000-0000-000028010000}"/>
    <cellStyle name="_Functional Number Dec" xfId="616" xr:uid="{00000000-0005-0000-0000-000029010000}"/>
    <cellStyle name="_Functional Number YTD April 2009" xfId="617" xr:uid="{00000000-0005-0000-0000-00002A010000}"/>
    <cellStyle name="_Functional Number YTD August 2008" xfId="618" xr:uid="{00000000-0005-0000-0000-00002B010000}"/>
    <cellStyle name="_Functional Number YTD August 2009" xfId="619" xr:uid="{00000000-0005-0000-0000-00002C010000}"/>
    <cellStyle name="_Functional Number YTD December 2008" xfId="620" xr:uid="{00000000-0005-0000-0000-00002D010000}"/>
    <cellStyle name="_Functional Number YTD December-2009" xfId="621" xr:uid="{00000000-0005-0000-0000-00002E010000}"/>
    <cellStyle name="_Functional Number YTD December-2009_data" xfId="622" xr:uid="{00000000-0005-0000-0000-00002F010000}"/>
    <cellStyle name="_Functional Number YTD December-2009_InterfaceData_Query_v1.0_20120209" xfId="623" xr:uid="{00000000-0005-0000-0000-000030010000}"/>
    <cellStyle name="_Functional Number YTD December-2009_Sheet3" xfId="624" xr:uid="{00000000-0005-0000-0000-000031010000}"/>
    <cellStyle name="_Functional Number YTD December2011" xfId="625" xr:uid="{00000000-0005-0000-0000-000032010000}"/>
    <cellStyle name="_Functional Number YTD July 2009" xfId="626" xr:uid="{00000000-0005-0000-0000-000033010000}"/>
    <cellStyle name="_Functional Number YTD June 2009" xfId="627" xr:uid="{00000000-0005-0000-0000-000034010000}"/>
    <cellStyle name="_Functional Number YTD March 2009" xfId="628" xr:uid="{00000000-0005-0000-0000-000035010000}"/>
    <cellStyle name="_Functional Number YTD May 2009" xfId="629" xr:uid="{00000000-0005-0000-0000-000036010000}"/>
    <cellStyle name="_Functional Number YTD November 2009" xfId="630" xr:uid="{00000000-0005-0000-0000-000037010000}"/>
    <cellStyle name="_Functional Number YTD November2011 Amend" xfId="631" xr:uid="{00000000-0005-0000-0000-000038010000}"/>
    <cellStyle name="_Functional Number YTD October 2009" xfId="632" xr:uid="{00000000-0005-0000-0000-000039010000}"/>
    <cellStyle name="_Functional Number YTD September 2008" xfId="633" xr:uid="{00000000-0005-0000-0000-00003A010000}"/>
    <cellStyle name="_Functional Number YTD September 2009" xfId="634" xr:uid="{00000000-0005-0000-0000-00003B010000}"/>
    <cellStyle name="_GNBV" xfId="635" xr:uid="{00000000-0005-0000-0000-00003C010000}"/>
    <cellStyle name="_GNBV_data" xfId="636" xr:uid="{00000000-0005-0000-0000-00003D010000}"/>
    <cellStyle name="_GNBV_InterfaceData_Query_v1.0_20120209" xfId="637" xr:uid="{00000000-0005-0000-0000-00003E010000}"/>
    <cellStyle name="_GNBV_Sheet3" xfId="638" xr:uid="{00000000-0005-0000-0000-00003F010000}"/>
    <cellStyle name="_Header" xfId="639" xr:uid="{00000000-0005-0000-0000-000040010000}"/>
    <cellStyle name="_Header_1월사업별분석" xfId="640" xr:uid="{00000000-0005-0000-0000-000041010000}"/>
    <cellStyle name="_Header_평가지표.영업점의견 - 영남본부" xfId="641" xr:uid="{00000000-0005-0000-0000-000042010000}"/>
    <cellStyle name="_Hong Kong" xfId="642" xr:uid="{00000000-0005-0000-0000-000043010000}"/>
    <cellStyle name="_Hong Kong_Detail" xfId="643" xr:uid="{00000000-0005-0000-0000-000044010000}"/>
    <cellStyle name="_Hong Kong_Detail_India" xfId="644" xr:uid="{00000000-0005-0000-0000-000045010000}"/>
    <cellStyle name="_Hong Kong_India" xfId="645" xr:uid="{00000000-0005-0000-0000-000046010000}"/>
    <cellStyle name="_HYNIX_요약정산표" xfId="646" xr:uid="{00000000-0005-0000-0000-000047010000}"/>
    <cellStyle name="_HYNIX_요약정산표 2" xfId="3661" xr:uid="{00000000-0005-0000-0000-000047010000}"/>
    <cellStyle name="_K원장검증" xfId="647" xr:uid="{00000000-0005-0000-0000-000048010000}"/>
    <cellStyle name="_leadsheet(스파클)" xfId="19" xr:uid="{00000000-0005-0000-0000-000049010000}"/>
    <cellStyle name="_LIM_MC (4)" xfId="648" xr:uid="{00000000-0005-0000-0000-00004A010000}"/>
    <cellStyle name="_LIM_SC (13)" xfId="649" xr:uid="{00000000-0005-0000-0000-00004B010000}"/>
    <cellStyle name="_Lover" xfId="650" xr:uid="{00000000-0005-0000-0000-00004C010000}"/>
    <cellStyle name="_MBS관련(신용우)" xfId="651" xr:uid="{00000000-0005-0000-0000-00004D010000}"/>
    <cellStyle name="_MBS관련(신용우)_1" xfId="652" xr:uid="{00000000-0005-0000-0000-00004E010000}"/>
    <cellStyle name="_P_현금흐름표" xfId="653" xr:uid="{00000000-0005-0000-0000-00004F010000}"/>
    <cellStyle name="_P_현금흐름표 2" xfId="3662" xr:uid="{00000000-0005-0000-0000-00004F010000}"/>
    <cellStyle name="_Receivable" xfId="654" xr:uid="{00000000-0005-0000-0000-000050010000}"/>
    <cellStyle name="_Research_Report용(2001년말).xls Chart 1" xfId="20" xr:uid="{00000000-0005-0000-0000-000051010000}"/>
    <cellStyle name="_Research_Report용(2001년말).xls Chart 10" xfId="21" xr:uid="{00000000-0005-0000-0000-000052010000}"/>
    <cellStyle name="_Research_Report용(2001년말).xls Chart 11" xfId="22" xr:uid="{00000000-0005-0000-0000-000053010000}"/>
    <cellStyle name="_Research_Report용(2001년말).xls Chart 12" xfId="23" xr:uid="{00000000-0005-0000-0000-000054010000}"/>
    <cellStyle name="_Research_Report용(2001년말).xls Chart 13" xfId="24" xr:uid="{00000000-0005-0000-0000-000055010000}"/>
    <cellStyle name="_Research_Report용(2001년말).xls Chart 14" xfId="25" xr:uid="{00000000-0005-0000-0000-000056010000}"/>
    <cellStyle name="_Research_Report용(2001년말).xls Chart 15" xfId="26" xr:uid="{00000000-0005-0000-0000-000057010000}"/>
    <cellStyle name="_Research_Report용(2001년말).xls Chart 16" xfId="27" xr:uid="{00000000-0005-0000-0000-000058010000}"/>
    <cellStyle name="_Research_Report용(2001년말).xls Chart 17" xfId="28" xr:uid="{00000000-0005-0000-0000-000059010000}"/>
    <cellStyle name="_Research_Report용(2001년말).xls Chart 18" xfId="29" xr:uid="{00000000-0005-0000-0000-00005A010000}"/>
    <cellStyle name="_Research_Report용(2001년말).xls Chart 19" xfId="30" xr:uid="{00000000-0005-0000-0000-00005B010000}"/>
    <cellStyle name="_Research_Report용(2001년말).xls Chart 2" xfId="31" xr:uid="{00000000-0005-0000-0000-00005C010000}"/>
    <cellStyle name="_Research_Report용(2001년말).xls Chart 20" xfId="32" xr:uid="{00000000-0005-0000-0000-00005D010000}"/>
    <cellStyle name="_Research_Report용(2001년말).xls Chart 21" xfId="33" xr:uid="{00000000-0005-0000-0000-00005E010000}"/>
    <cellStyle name="_Research_Report용(2001년말).xls Chart 3" xfId="34" xr:uid="{00000000-0005-0000-0000-00005F010000}"/>
    <cellStyle name="_Research_Report용(2001년말).xls Chart 4" xfId="35" xr:uid="{00000000-0005-0000-0000-000060010000}"/>
    <cellStyle name="_Research_Report용(2001년말).xls Chart 5" xfId="36" xr:uid="{00000000-0005-0000-0000-000061010000}"/>
    <cellStyle name="_Research_Report용(2001년말).xls Chart 6" xfId="37" xr:uid="{00000000-0005-0000-0000-000062010000}"/>
    <cellStyle name="_Research_Report용(2001년말).xls Chart 7" xfId="38" xr:uid="{00000000-0005-0000-0000-000063010000}"/>
    <cellStyle name="_Research_Report용(2001년말).xls Chart 8" xfId="39" xr:uid="{00000000-0005-0000-0000-000064010000}"/>
    <cellStyle name="_Research_Report용(2001년말).xls Chart 9" xfId="40" xr:uid="{00000000-0005-0000-0000-000065010000}"/>
    <cellStyle name="_Row1" xfId="655" xr:uid="{00000000-0005-0000-0000-000066010000}"/>
    <cellStyle name="_Row1_파생 현금흐름표(최종)" xfId="656" xr:uid="{00000000-0005-0000-0000-000067010000}"/>
    <cellStyle name="_Row1_파생 현금흐름표(최종)_파생상품요청양식(080211)(1)_최종" xfId="657" xr:uid="{00000000-0005-0000-0000-000068010000}"/>
    <cellStyle name="_Row1_평가지표.영업점의견 - 영남본부" xfId="658" xr:uid="{00000000-0005-0000-0000-000069010000}"/>
    <cellStyle name="_Row2" xfId="659" xr:uid="{00000000-0005-0000-0000-00006A010000}"/>
    <cellStyle name="_Row2_평가지표.영업점의견 - 영남본부" xfId="660" xr:uid="{00000000-0005-0000-0000-00006B010000}"/>
    <cellStyle name="_Row3" xfId="661" xr:uid="{00000000-0005-0000-0000-00006C010000}"/>
    <cellStyle name="_Row3_평가지표.영업점의견 - 영남본부" xfId="662" xr:uid="{00000000-0005-0000-0000-00006D010000}"/>
    <cellStyle name="_Row4" xfId="663" xr:uid="{00000000-0005-0000-0000-00006E010000}"/>
    <cellStyle name="_Row4_평가지표.영업점의견 - 영남본부" xfId="664" xr:uid="{00000000-0005-0000-0000-00006F010000}"/>
    <cellStyle name="_Row5" xfId="665" xr:uid="{00000000-0005-0000-0000-000070010000}"/>
    <cellStyle name="_Row5_평가지표.영업점의견 - 영남본부" xfId="666" xr:uid="{00000000-0005-0000-0000-000071010000}"/>
    <cellStyle name="_Row6" xfId="667" xr:uid="{00000000-0005-0000-0000-000072010000}"/>
    <cellStyle name="_Row6_평가지표.영업점의견 - 영남본부" xfId="668" xr:uid="{00000000-0005-0000-0000-000073010000}"/>
    <cellStyle name="_Row7" xfId="669" xr:uid="{00000000-0005-0000-0000-000074010000}"/>
    <cellStyle name="_Row7_평가지표.영업점의견 - 영남본부" xfId="670" xr:uid="{00000000-0005-0000-0000-000075010000}"/>
    <cellStyle name="_SC Bank 2003 CTR WP" xfId="671" xr:uid="{00000000-0005-0000-0000-000076010000}"/>
    <cellStyle name="_sc_RVS VAL" xfId="672" xr:uid="{00000000-0005-0000-0000-000077010000}"/>
    <cellStyle name="_Sheet1" xfId="673" xr:uid="{00000000-0005-0000-0000-000078010000}"/>
    <cellStyle name="_Sheet1_1" xfId="674" xr:uid="{00000000-0005-0000-0000-000079010000}"/>
    <cellStyle name="_Sheet2" xfId="675" xr:uid="{00000000-0005-0000-0000-00007A010000}"/>
    <cellStyle name="_Sheet2_InterfaceData_Query_v1.0_20120209" xfId="676" xr:uid="{00000000-0005-0000-0000-00007B010000}"/>
    <cellStyle name="_valu_ib (6)" xfId="677" xr:uid="{00000000-0005-0000-0000-00007C010000}"/>
    <cellStyle name="_Volume" xfId="678" xr:uid="{00000000-0005-0000-0000-00007D010000}"/>
    <cellStyle name="_Volume_data" xfId="679" xr:uid="{00000000-0005-0000-0000-00007E010000}"/>
    <cellStyle name="_Volume_InterfaceData_Query_v1.0_20120209" xfId="680" xr:uid="{00000000-0005-0000-0000-00007F010000}"/>
    <cellStyle name="_Volume_Sheet3" xfId="681" xr:uid="{00000000-0005-0000-0000-000080010000}"/>
    <cellStyle name="_개발비상각1" xfId="41" xr:uid="{00000000-0005-0000-0000-000081010000}"/>
    <cellStyle name="_결산200412_0124_v1_감사후_bs pl" xfId="42" xr:uid="{00000000-0005-0000-0000-000082010000}"/>
    <cellStyle name="_결산명세_매출원가명세서" xfId="682" xr:uid="{00000000-0005-0000-0000-000083010000}"/>
    <cellStyle name="_결산명세_매출원가명세서 2" xfId="3663" xr:uid="{00000000-0005-0000-0000-000083010000}"/>
    <cellStyle name="_결손금처분계산서(변경_최종)" xfId="683" xr:uid="{00000000-0005-0000-0000-000084010000}"/>
    <cellStyle name="_결손금처분계산서(변경_최종) 2" xfId="3664" xr:uid="{00000000-0005-0000-0000-000084010000}"/>
    <cellStyle name="_경비집행내역 추정" xfId="684" xr:uid="{00000000-0005-0000-0000-000085010000}"/>
    <cellStyle name="_경영관리3분기_박정호대리비용" xfId="43" xr:uid="{00000000-0005-0000-0000-000086010000}"/>
    <cellStyle name="_경영관리비용(0204김기배)" xfId="44" xr:uid="{00000000-0005-0000-0000-000087010000}"/>
    <cellStyle name="_경영관리비용(0304김기배최종)" xfId="45" xr:uid="{00000000-0005-0000-0000-000088010000}"/>
    <cellStyle name="_경영관리팀(2002.4_4분기)" xfId="46" xr:uid="{00000000-0005-0000-0000-000089010000}"/>
    <cellStyle name="_계정명세sum" xfId="685" xr:uid="{00000000-0005-0000-0000-00008A010000}"/>
    <cellStyle name="_계정명세sum 2" xfId="3665" xr:uid="{00000000-0005-0000-0000-00008A010000}"/>
    <cellStyle name="_계정명세서_sum(8월)" xfId="686" xr:uid="{00000000-0005-0000-0000-00008B010000}"/>
    <cellStyle name="_계정명세서sum(4월)" xfId="687" xr:uid="{00000000-0005-0000-0000-00008C010000}"/>
    <cellStyle name="_계정명세서sum(5월)" xfId="688" xr:uid="{00000000-0005-0000-0000-00008D010000}"/>
    <cellStyle name="_계정명세서SUM_1월말" xfId="689" xr:uid="{00000000-0005-0000-0000-00008E010000}"/>
    <cellStyle name="_계정명세서SUM_2월말" xfId="690" xr:uid="{00000000-0005-0000-0000-00008F010000}"/>
    <cellStyle name="_계정명세서SUM_3월말" xfId="691" xr:uid="{00000000-0005-0000-0000-000090010000}"/>
    <cellStyle name="_계정증감" xfId="692" xr:uid="{00000000-0005-0000-0000-000091010000}"/>
    <cellStyle name="_고정자산" xfId="693" xr:uid="{00000000-0005-0000-0000-000092010000}"/>
    <cellStyle name="_김대봉DL_FCF재송부_030414" xfId="694" xr:uid="{00000000-0005-0000-0000-000093010000}"/>
    <cellStyle name="_김대봉DL_FCF재송부_030414 2" xfId="3666" xr:uid="{00000000-0005-0000-0000-000093010000}"/>
    <cellStyle name="_김대봉GJ_결산보고서작성-2003" xfId="695" xr:uid="{00000000-0005-0000-0000-000094010000}"/>
    <cellStyle name="_김대봉GJ_결산보고서작성-2003 2" xfId="3667" xr:uid="{00000000-0005-0000-0000-000094010000}"/>
    <cellStyle name="_김미숙DL_계정명세서sum(5월)" xfId="696" xr:uid="{00000000-0005-0000-0000-000095010000}"/>
    <cellStyle name="_김종영_4분기 영업외수익 및 비용 추정" xfId="697" xr:uid="{00000000-0005-0000-0000-000096010000}"/>
    <cellStyle name="_김종영GJ_보고자료(9월말)" xfId="698" xr:uid="{00000000-0005-0000-0000-000097010000}"/>
    <cellStyle name="_김종영GJ_영업권계산(보고)" xfId="699" xr:uid="{00000000-0005-0000-0000-000098010000}"/>
    <cellStyle name="_김종영GJ_영업권계산(보고) 2" xfId="3668" xr:uid="{00000000-0005-0000-0000-000098010000}"/>
    <cellStyle name="_김창규_060620_전산개발 의뢰 업무 요건서_본부부서정의" xfId="700" xr:uid="{00000000-0005-0000-0000-000099010000}"/>
    <cellStyle name="_나인_재무제표(보고용_최종)0303" xfId="701" xr:uid="{00000000-0005-0000-0000-00009A010000}"/>
    <cellStyle name="_나인_재무제표(보고용_최종)0303 2" xfId="3669" xr:uid="{00000000-0005-0000-0000-00009A010000}"/>
    <cellStyle name="_나인DL_정산표0312_0403152000(AJE재수정_Samil)" xfId="702" xr:uid="{00000000-0005-0000-0000-00009B010000}"/>
    <cellStyle name="_나인DL_정산표0312_0403152000(AJE재수정_Samil) 2" xfId="3670" xr:uid="{00000000-0005-0000-0000-00009B010000}"/>
    <cellStyle name="_담배 2001 3사분기_2" xfId="703" xr:uid="{00000000-0005-0000-0000-00009C010000}"/>
    <cellStyle name="_대손충당금" xfId="704" xr:uid="{00000000-0005-0000-0000-00009D010000}"/>
    <cellStyle name="_대손충당금 2" xfId="3671" xr:uid="{00000000-0005-0000-0000-00009D010000}"/>
    <cellStyle name="_박순동_주식보상비용_보고용" xfId="705" xr:uid="{00000000-0005-0000-0000-00009E010000}"/>
    <cellStyle name="_박순동_주식보상비용_보고용 2" xfId="3672" xr:uid="{00000000-0005-0000-0000-00009E010000}"/>
    <cellStyle name="_박순동_파생상품" xfId="706" xr:uid="{00000000-0005-0000-0000-00009F010000}"/>
    <cellStyle name="_박순동_파생상품 2" xfId="3673" xr:uid="{00000000-0005-0000-0000-00009F010000}"/>
    <cellStyle name="_박지현 회계사(20050323)" xfId="707" xr:uid="{00000000-0005-0000-0000-0000A0010000}"/>
    <cellStyle name="_박지현 회계사(20050323)_KB CTR확인사항" xfId="708" xr:uid="{00000000-0005-0000-0000-0000A1010000}"/>
    <cellStyle name="_박지현 회계사(20050323)_기타충당금&amp;기타자산대손충당금내역(0806)_잠정표" xfId="709" xr:uid="{00000000-0005-0000-0000-0000A2010000}"/>
    <cellStyle name="_박지현 회계사(20050323)_대손충당금 변동내역(잠정)_0806-v5" xfId="710" xr:uid="{00000000-0005-0000-0000-0000A3010000}"/>
    <cellStyle name="_변경최종_인센티브" xfId="711" xr:uid="{00000000-0005-0000-0000-0000A4010000}"/>
    <cellStyle name="_변경최종_인센티브 2" xfId="3674" xr:uid="{00000000-0005-0000-0000-0000A4010000}"/>
    <cellStyle name="_보고_해외법인실적 (2002.12)" xfId="712" xr:uid="{00000000-0005-0000-0000-0000A5010000}"/>
    <cellStyle name="_보고용_법인별손익(5월 당월_누계)" xfId="713" xr:uid="{00000000-0005-0000-0000-0000A6010000}"/>
    <cellStyle name="_보고용_법인별손익(5월 당월_누계) 2" xfId="3675" xr:uid="{00000000-0005-0000-0000-0000A6010000}"/>
    <cellStyle name="_보고자료(12월말)_PL" xfId="714" xr:uid="{00000000-0005-0000-0000-0000A7010000}"/>
    <cellStyle name="_보고자료(9월말)_김종영" xfId="715" xr:uid="{00000000-0005-0000-0000-0000A8010000}"/>
    <cellStyle name="_소코드1" xfId="47" xr:uid="{00000000-0005-0000-0000-0000A9010000}"/>
    <cellStyle name="_수기작업_050630 현재 판매관리비" xfId="716" xr:uid="{00000000-0005-0000-0000-0000AA010000}"/>
    <cellStyle name="_수기작업_계정이관 총괄표" xfId="717" xr:uid="{00000000-0005-0000-0000-0000AB010000}"/>
    <cellStyle name="_수기작업_대출금" xfId="718" xr:uid="{00000000-0005-0000-0000-0000AC010000}"/>
    <cellStyle name="_수기작업_퇴직급여충당금_6월분리" xfId="719" xr:uid="{00000000-0005-0000-0000-0000AD010000}"/>
    <cellStyle name="_수기작업_판매관리비" xfId="720" xr:uid="{00000000-0005-0000-0000-0000AE010000}"/>
    <cellStyle name="_수기작업_판매관리비(수정)" xfId="721" xr:uid="{00000000-0005-0000-0000-0000AF010000}"/>
    <cellStyle name="_수기작업_판매관리비_6월 구분" xfId="722" xr:uid="{00000000-0005-0000-0000-0000B0010000}"/>
    <cellStyle name="_수산그룹미수금현황_20020506" xfId="723" xr:uid="{00000000-0005-0000-0000-0000B1010000}"/>
    <cellStyle name="_수정사항(8월26일)" xfId="48" xr:uid="{00000000-0005-0000-0000-0000B2010000}"/>
    <cellStyle name="_업무보고8월" xfId="724" xr:uid="{00000000-0005-0000-0000-0000B3010000}"/>
    <cellStyle name="_업무보고8월 2" xfId="3676" xr:uid="{00000000-0005-0000-0000-0000B3010000}"/>
    <cellStyle name="_업무보고서(2003.6월)미수금예수금조정" xfId="49" xr:uid="{00000000-0005-0000-0000-0000B4010000}"/>
    <cellStyle name="_업무보고서2" xfId="725" xr:uid="{00000000-0005-0000-0000-0000B5010000}"/>
    <cellStyle name="_업무보고서2_1" xfId="726" xr:uid="{00000000-0005-0000-0000-0000B6010000}"/>
    <cellStyle name="_업무팀정보제공평가" xfId="727" xr:uid="{00000000-0005-0000-0000-0000B7010000}"/>
    <cellStyle name="_연결보고서_EXCEL_030124" xfId="728" xr:uid="{00000000-0005-0000-0000-0000B8010000}"/>
    <cellStyle name="_연결보고서_EXCEL_030124 2" xfId="3677" xr:uid="{00000000-0005-0000-0000-0000B8010000}"/>
    <cellStyle name="_연결재무제표(보고용)_연결" xfId="729" xr:uid="{00000000-0005-0000-0000-0000B9010000}"/>
    <cellStyle name="_연결재무제표(보고용)_연결 2" xfId="3678" xr:uid="{00000000-0005-0000-0000-0000B9010000}"/>
    <cellStyle name="_영업권 상각" xfId="730" xr:uid="{00000000-0005-0000-0000-0000BA010000}"/>
    <cellStyle name="_영업외손익 LS" xfId="50" xr:uid="{00000000-0005-0000-0000-0000BB010000}"/>
    <cellStyle name="_영업외손익총괄표" xfId="731" xr:uid="{00000000-0005-0000-0000-0000BC010000}"/>
    <cellStyle name="_영업외손익총괄표 2" xfId="3679" xr:uid="{00000000-0005-0000-0000-0000BC010000}"/>
    <cellStyle name="_오호석부장1014" xfId="51" xr:uid="{00000000-0005-0000-0000-0000BD010000}"/>
    <cellStyle name="_오호석차장0625" xfId="52" xr:uid="{00000000-0005-0000-0000-0000BE010000}"/>
    <cellStyle name="_오호석차장0723" xfId="53" xr:uid="{00000000-0005-0000-0000-0000BF010000}"/>
    <cellStyle name="_유경욱SW_미수수익0203" xfId="732" xr:uid="{00000000-0005-0000-0000-0000C0010000}"/>
    <cellStyle name="_유경욱SW_미수수익0203 2" xfId="3680" xr:uid="{00000000-0005-0000-0000-0000C0010000}"/>
    <cellStyle name="_유경욱SW_미수수익0212" xfId="733" xr:uid="{00000000-0005-0000-0000-0000C1010000}"/>
    <cellStyle name="_유경욱SW_미수수익0212 2" xfId="3681" xr:uid="{00000000-0005-0000-0000-0000C1010000}"/>
    <cellStyle name="_유경욱SW_미수수익0301" xfId="734" xr:uid="{00000000-0005-0000-0000-0000C2010000}"/>
    <cellStyle name="_유경욱SW_미수수익0301 2" xfId="3682" xr:uid="{00000000-0005-0000-0000-0000C2010000}"/>
    <cellStyle name="_유경욱SW_미수수익0303" xfId="735" xr:uid="{00000000-0005-0000-0000-0000C3010000}"/>
    <cellStyle name="_유경욱SW_미수수익0303 2" xfId="3683" xr:uid="{00000000-0005-0000-0000-0000C3010000}"/>
    <cellStyle name="_이용욱(05.20) 2004편성2-4분기(수정최종)" xfId="736" xr:uid="{00000000-0005-0000-0000-0000C4010000}"/>
    <cellStyle name="_이자비용" xfId="737" xr:uid="{00000000-0005-0000-0000-0000C5010000}"/>
    <cellStyle name="_이자비용 2" xfId="3684" xr:uid="{00000000-0005-0000-0000-0000C5010000}"/>
    <cellStyle name="_이재민과장0206_무형자산상각" xfId="54" xr:uid="{00000000-0005-0000-0000-0000C6010000}"/>
    <cellStyle name="_이지영_050331_마케팅일일속보_200504" xfId="738" xr:uid="{00000000-0005-0000-0000-0000C7010000}"/>
    <cellStyle name="_이진우대리(0540725)" xfId="55" xr:uid="{00000000-0005-0000-0000-0000C8010000}"/>
    <cellStyle name="_이진우氏0204(2)" xfId="56" xr:uid="{00000000-0005-0000-0000-0000C9010000}"/>
    <cellStyle name="_이진우氏0727" xfId="57" xr:uid="{00000000-0005-0000-0000-0000CA010000}"/>
    <cellStyle name="_인센티브" xfId="739" xr:uid="{00000000-0005-0000-0000-0000CB010000}"/>
    <cellStyle name="_인센티브 2" xfId="3685" xr:uid="{00000000-0005-0000-0000-0000CB010000}"/>
    <cellStyle name="_임시_법인BS모음" xfId="740" xr:uid="{00000000-0005-0000-0000-0000CC010000}"/>
    <cellStyle name="_자회사배당익불산고려(7(1).18)" xfId="741" xr:uid="{00000000-0005-0000-0000-0000CD010000}"/>
    <cellStyle name="_잡손실" xfId="742" xr:uid="{00000000-0005-0000-0000-0000CE010000}"/>
    <cellStyle name="_잡손실 2" xfId="3686" xr:uid="{00000000-0005-0000-0000-0000CE010000}"/>
    <cellStyle name="_잡이익" xfId="743" xr:uid="{00000000-0005-0000-0000-0000CF010000}"/>
    <cellStyle name="_잡이익 2" xfId="3687" xr:uid="{00000000-0005-0000-0000-0000CF010000}"/>
    <cellStyle name="_재무 seo(1543억원)(5월까지 실적)(최종수정)" xfId="744" xr:uid="{00000000-0005-0000-0000-0000D0010000}"/>
    <cellStyle name="_재무실적6월" xfId="745" xr:uid="{00000000-0005-0000-0000-0000D1010000}"/>
    <cellStyle name="_재무제표(보고용)0301" xfId="746" xr:uid="{00000000-0005-0000-0000-0000D2010000}"/>
    <cellStyle name="_재무제표(보고용)0301 2" xfId="3688" xr:uid="{00000000-0005-0000-0000-0000D2010000}"/>
    <cellStyle name="_재무제표(보고용_1분기)0303" xfId="747" xr:uid="{00000000-0005-0000-0000-0000D3010000}"/>
    <cellStyle name="_재무제표(보고용_1분기)0303 2" xfId="3689" xr:uid="{00000000-0005-0000-0000-0000D3010000}"/>
    <cellStyle name="_재무제표(분기보고용)0303" xfId="748" xr:uid="{00000000-0005-0000-0000-0000D4010000}"/>
    <cellStyle name="_재무제표(분기보고용)0303 2" xfId="3690" xr:uid="{00000000-0005-0000-0000-0000D4010000}"/>
    <cellStyle name="_정보제공(정보제공지수)" xfId="749" xr:uid="{00000000-0005-0000-0000-0000D5010000}"/>
    <cellStyle name="_주식보상비용_보고용" xfId="750" xr:uid="{00000000-0005-0000-0000-0000D6010000}"/>
    <cellStyle name="_주식보상비용_보고용 2" xfId="3691" xr:uid="{00000000-0005-0000-0000-0000D6010000}"/>
    <cellStyle name="_차입금보고자료" xfId="751" xr:uid="{00000000-0005-0000-0000-0000D7010000}"/>
    <cellStyle name="_차입금보고자료 2" xfId="3692" xr:uid="{00000000-0005-0000-0000-0000D7010000}"/>
    <cellStyle name="_총괄표-2002반기(홍성훈)" xfId="752" xr:uid="{00000000-0005-0000-0000-0000D8010000}"/>
    <cellStyle name="_총수신 실적" xfId="753" xr:uid="{00000000-0005-0000-0000-0000D9010000}"/>
    <cellStyle name="_총수신 진도현황_3월_v01" xfId="754" xr:uid="{00000000-0005-0000-0000-0000DA010000}"/>
    <cellStyle name="_최시창CPA_영업권감액고려" xfId="755" xr:uid="{00000000-0005-0000-0000-0000DB010000}"/>
    <cellStyle name="_최시창CPA_영업권감액고려 2" xfId="3693" xr:uid="{00000000-0005-0000-0000-0000DB010000}"/>
    <cellStyle name="_파생 현금흐름표(최종)" xfId="756" xr:uid="{00000000-0005-0000-0000-0000DC010000}"/>
    <cellStyle name="_파생 현금흐름표(최종)_파생상품요청양식(080211)(1)_최종" xfId="757" xr:uid="{00000000-0005-0000-0000-0000DD010000}"/>
    <cellStyle name="_파생상품" xfId="758" xr:uid="{00000000-0005-0000-0000-0000DE010000}"/>
    <cellStyle name="_파생상품 2" xfId="3694" xr:uid="{00000000-0005-0000-0000-0000DE010000}"/>
    <cellStyle name="_파생상품요청양식" xfId="759" xr:uid="{00000000-0005-0000-0000-0000DF010000}"/>
    <cellStyle name="_파생상품요청양식_파생 현금흐름표(최종)" xfId="760" xr:uid="{00000000-0005-0000-0000-0000E0010000}"/>
    <cellStyle name="_파생상품요청양식_파생 현금흐름표(최종)_파생상품요청양식(080211)(1)_최종" xfId="761" xr:uid="{00000000-0005-0000-0000-0000E1010000}"/>
    <cellStyle name="_판관,제조경비" xfId="58" xr:uid="{00000000-0005-0000-0000-0000E2010000}"/>
    <cellStyle name="_판관비 LS" xfId="59" xr:uid="{00000000-0005-0000-0000-0000E3010000}"/>
    <cellStyle name="_평가지표.영업점의견 - 영남본부" xfId="762" xr:uid="{00000000-0005-0000-0000-0000E4010000}"/>
    <cellStyle name="_평가지표.영업점의견 - 영남본부_1" xfId="763" xr:uid="{00000000-0005-0000-0000-0000E5010000}"/>
    <cellStyle name="_현금흐름정산표" xfId="764" xr:uid="{00000000-0005-0000-0000-0000E6010000}"/>
    <cellStyle name="_홍민기SW_미수수익" xfId="765" xr:uid="{00000000-0005-0000-0000-0000E7010000}"/>
    <cellStyle name="_홍민기SW_미수수익 2" xfId="3695" xr:uid="{00000000-0005-0000-0000-0000E7010000}"/>
    <cellStyle name="_홍민기SW_미수수익_결산" xfId="766" xr:uid="{00000000-0005-0000-0000-0000E8010000}"/>
    <cellStyle name="_홍민기SW_미수수익_결산 2" xfId="3696" xr:uid="{00000000-0005-0000-0000-0000E8010000}"/>
    <cellStyle name="_홍민기SW_양수도대금미수수익" xfId="767" xr:uid="{00000000-0005-0000-0000-0000E9010000}"/>
    <cellStyle name="_홍민기SW_양수도대금미수수익 2" xfId="3697" xr:uid="{00000000-0005-0000-0000-0000E9010000}"/>
    <cellStyle name="’E‰Y [0.00]_laroux" xfId="768" xr:uid="{00000000-0005-0000-0000-0000EA010000}"/>
    <cellStyle name="’E‰Y_laroux" xfId="769" xr:uid="{00000000-0005-0000-0000-0000EB010000}"/>
    <cellStyle name="£ BP" xfId="770" xr:uid="{00000000-0005-0000-0000-0000EC010000}"/>
    <cellStyle name="¤@?e_TEST-1 " xfId="771" xr:uid="{00000000-0005-0000-0000-0000ED010000}"/>
    <cellStyle name="¥ JY" xfId="772" xr:uid="{00000000-0005-0000-0000-0000EE010000}"/>
    <cellStyle name="=C:\WINNT\SYSTEM32\COMMAND.COM" xfId="773" xr:uid="{00000000-0005-0000-0000-0000EF010000}"/>
    <cellStyle name="=today()" xfId="774" xr:uid="{00000000-0005-0000-0000-0000F0010000}"/>
    <cellStyle name="æøè [0.00" xfId="60" xr:uid="{00000000-0005-0000-0000-0000F1010000}"/>
    <cellStyle name="æøè_produ" xfId="61" xr:uid="{00000000-0005-0000-0000-0000F2010000}"/>
    <cellStyle name="êý [0.00]_pr" xfId="62" xr:uid="{00000000-0005-0000-0000-0000F3010000}"/>
    <cellStyle name="êý_product d" xfId="63" xr:uid="{00000000-0005-0000-0000-0000F4010000}"/>
    <cellStyle name="W?_BOOKSHIP_½ÇÀûÇöÈ² " xfId="775" xr:uid="{00000000-0005-0000-0000-0000F5010000}"/>
    <cellStyle name="w_bookship" xfId="64" xr:uid="{00000000-0005-0000-0000-0000F6010000}"/>
    <cellStyle name="0" xfId="65" xr:uid="{00000000-0005-0000-0000-0000F7010000}"/>
    <cellStyle name="0_(C) 5296 외화유가증권(주식)의 워크시트" xfId="776" xr:uid="{00000000-0005-0000-0000-0000F8010000}"/>
    <cellStyle name="0_2007.03 외화부문결산자료1948" xfId="777" xr:uid="{00000000-0005-0000-0000-0000F9010000}"/>
    <cellStyle name="0_5280-4 자본조정(지분법)(0603)의 워크시트" xfId="778" xr:uid="{00000000-0005-0000-0000-0000FA010000}"/>
    <cellStyle name="19990216" xfId="779" xr:uid="{00000000-0005-0000-0000-0000FB010000}"/>
    <cellStyle name="¹éºðà²" xfId="66" xr:uid="{00000000-0005-0000-0000-0000FC010000}"/>
    <cellStyle name="¹eºÐA²_AIAIC°AuCoE² " xfId="67" xr:uid="{00000000-0005-0000-0000-0000FD010000}"/>
    <cellStyle name="¹éºðà²_Sheet1" xfId="780" xr:uid="{00000000-0005-0000-0000-0000FE010000}"/>
    <cellStyle name="1월" xfId="781" xr:uid="{00000000-0005-0000-0000-0000FF010000}"/>
    <cellStyle name="20% - Accent1" xfId="782" xr:uid="{00000000-0005-0000-0000-000000020000}"/>
    <cellStyle name="20% - Accent2" xfId="783" xr:uid="{00000000-0005-0000-0000-000001020000}"/>
    <cellStyle name="20% - Accent3" xfId="784" xr:uid="{00000000-0005-0000-0000-000002020000}"/>
    <cellStyle name="20% - Accent4" xfId="785" xr:uid="{00000000-0005-0000-0000-000003020000}"/>
    <cellStyle name="20% - Accent5" xfId="786" xr:uid="{00000000-0005-0000-0000-000004020000}"/>
    <cellStyle name="20% - Accent6" xfId="787" xr:uid="{00000000-0005-0000-0000-000005020000}"/>
    <cellStyle name="20% - 强调文字颜色 1" xfId="788" xr:uid="{00000000-0005-0000-0000-000006020000}"/>
    <cellStyle name="20% - 强调文字颜色 2" xfId="789" xr:uid="{00000000-0005-0000-0000-000007020000}"/>
    <cellStyle name="20% - 强调文字颜色 3" xfId="790" xr:uid="{00000000-0005-0000-0000-000008020000}"/>
    <cellStyle name="20% - 强调文字颜色 4" xfId="791" xr:uid="{00000000-0005-0000-0000-000009020000}"/>
    <cellStyle name="20% - 强调文字颜色 5" xfId="792" xr:uid="{00000000-0005-0000-0000-00000A020000}"/>
    <cellStyle name="20% - 强调文字颜色 6" xfId="793" xr:uid="{00000000-0005-0000-0000-00000B020000}"/>
    <cellStyle name="20% - 강조색1 2" xfId="794" xr:uid="{00000000-0005-0000-0000-00000C020000}"/>
    <cellStyle name="20% - 강조색1 2 2" xfId="795" xr:uid="{00000000-0005-0000-0000-00000D020000}"/>
    <cellStyle name="20% - 강조색1 2 2 2" xfId="796" xr:uid="{00000000-0005-0000-0000-00000E020000}"/>
    <cellStyle name="20% - 강조색1 2 2 2 2" xfId="797" xr:uid="{00000000-0005-0000-0000-00000F020000}"/>
    <cellStyle name="20% - 강조색1 2 2 2 2 2" xfId="798" xr:uid="{00000000-0005-0000-0000-000010020000}"/>
    <cellStyle name="20% - 강조색1 2 2 2 2 2 2" xfId="3702" xr:uid="{00000000-0005-0000-0000-000010020000}"/>
    <cellStyle name="20% - 강조색1 2 2 2 2 3" xfId="3701" xr:uid="{00000000-0005-0000-0000-00000F020000}"/>
    <cellStyle name="20% - 강조색1 2 2 2 3" xfId="799" xr:uid="{00000000-0005-0000-0000-000011020000}"/>
    <cellStyle name="20% - 강조색1 2 2 2 4" xfId="800" xr:uid="{00000000-0005-0000-0000-000012020000}"/>
    <cellStyle name="20% - 강조색1 2 2 2 4 2" xfId="3703" xr:uid="{00000000-0005-0000-0000-000012020000}"/>
    <cellStyle name="20% - 강조색1 2 2 2 5" xfId="3700" xr:uid="{00000000-0005-0000-0000-00000E020000}"/>
    <cellStyle name="20% - 강조색1 2 2 3" xfId="801" xr:uid="{00000000-0005-0000-0000-000013020000}"/>
    <cellStyle name="20% - 강조색1 2 2 3 2" xfId="802" xr:uid="{00000000-0005-0000-0000-000014020000}"/>
    <cellStyle name="20% - 강조색1 2 2 3 2 2" xfId="3705" xr:uid="{00000000-0005-0000-0000-000014020000}"/>
    <cellStyle name="20% - 강조색1 2 2 3 3" xfId="3704" xr:uid="{00000000-0005-0000-0000-000013020000}"/>
    <cellStyle name="20% - 강조색1 2 2 4" xfId="803" xr:uid="{00000000-0005-0000-0000-000015020000}"/>
    <cellStyle name="20% - 강조색1 2 2 5" xfId="804" xr:uid="{00000000-0005-0000-0000-000016020000}"/>
    <cellStyle name="20% - 강조색1 2 2 5 2" xfId="3706" xr:uid="{00000000-0005-0000-0000-000016020000}"/>
    <cellStyle name="20% - 강조색1 2 2 6" xfId="3699" xr:uid="{00000000-0005-0000-0000-00000D020000}"/>
    <cellStyle name="20% - 강조색1 2 3" xfId="805" xr:uid="{00000000-0005-0000-0000-000017020000}"/>
    <cellStyle name="20% - 강조색1 2 3 2" xfId="806" xr:uid="{00000000-0005-0000-0000-000018020000}"/>
    <cellStyle name="20% - 강조색1 2 3 2 2" xfId="807" xr:uid="{00000000-0005-0000-0000-000019020000}"/>
    <cellStyle name="20% - 강조색1 2 3 2 2 2" xfId="3709" xr:uid="{00000000-0005-0000-0000-000019020000}"/>
    <cellStyle name="20% - 강조색1 2 3 2 3" xfId="3708" xr:uid="{00000000-0005-0000-0000-000018020000}"/>
    <cellStyle name="20% - 강조색1 2 3 3" xfId="808" xr:uid="{00000000-0005-0000-0000-00001A020000}"/>
    <cellStyle name="20% - 강조색1 2 3 4" xfId="809" xr:uid="{00000000-0005-0000-0000-00001B020000}"/>
    <cellStyle name="20% - 강조색1 2 3 4 2" xfId="3710" xr:uid="{00000000-0005-0000-0000-00001B020000}"/>
    <cellStyle name="20% - 강조색1 2 3 5" xfId="3707" xr:uid="{00000000-0005-0000-0000-000017020000}"/>
    <cellStyle name="20% - 강조색1 2 4" xfId="810" xr:uid="{00000000-0005-0000-0000-00001C020000}"/>
    <cellStyle name="20% - 강조색1 2 4 2" xfId="811" xr:uid="{00000000-0005-0000-0000-00001D020000}"/>
    <cellStyle name="20% - 강조색1 2 4 2 2" xfId="3712" xr:uid="{00000000-0005-0000-0000-00001D020000}"/>
    <cellStyle name="20% - 강조색1 2 4 3" xfId="3711" xr:uid="{00000000-0005-0000-0000-00001C020000}"/>
    <cellStyle name="20% - 강조색1 2 5" xfId="812" xr:uid="{00000000-0005-0000-0000-00001E020000}"/>
    <cellStyle name="20% - 강조색1 2 6" xfId="813" xr:uid="{00000000-0005-0000-0000-00001F020000}"/>
    <cellStyle name="20% - 강조색1 2 6 2" xfId="3713" xr:uid="{00000000-0005-0000-0000-00001F020000}"/>
    <cellStyle name="20% - 강조색1 2 7" xfId="3698" xr:uid="{00000000-0005-0000-0000-00000C020000}"/>
    <cellStyle name="20% - 강조색1 3" xfId="814" xr:uid="{00000000-0005-0000-0000-000020020000}"/>
    <cellStyle name="20% - 강조색1 3 2" xfId="815" xr:uid="{00000000-0005-0000-0000-000021020000}"/>
    <cellStyle name="20% - 강조색1 3 2 2" xfId="816" xr:uid="{00000000-0005-0000-0000-000022020000}"/>
    <cellStyle name="20% - 강조색1 3 2 2 2" xfId="817" xr:uid="{00000000-0005-0000-0000-000023020000}"/>
    <cellStyle name="20% - 강조색1 3 2 2 2 2" xfId="3717" xr:uid="{00000000-0005-0000-0000-000023020000}"/>
    <cellStyle name="20% - 강조색1 3 2 2 3" xfId="3716" xr:uid="{00000000-0005-0000-0000-000022020000}"/>
    <cellStyle name="20% - 강조색1 3 2 3" xfId="818" xr:uid="{00000000-0005-0000-0000-000024020000}"/>
    <cellStyle name="20% - 강조색1 3 2 4" xfId="819" xr:uid="{00000000-0005-0000-0000-000025020000}"/>
    <cellStyle name="20% - 강조색1 3 2 4 2" xfId="3718" xr:uid="{00000000-0005-0000-0000-000025020000}"/>
    <cellStyle name="20% - 강조색1 3 2 5" xfId="3715" xr:uid="{00000000-0005-0000-0000-000021020000}"/>
    <cellStyle name="20% - 강조색1 3 3" xfId="820" xr:uid="{00000000-0005-0000-0000-000026020000}"/>
    <cellStyle name="20% - 강조색1 3 3 2" xfId="821" xr:uid="{00000000-0005-0000-0000-000027020000}"/>
    <cellStyle name="20% - 강조색1 3 3 2 2" xfId="3720" xr:uid="{00000000-0005-0000-0000-000027020000}"/>
    <cellStyle name="20% - 강조색1 3 3 3" xfId="3719" xr:uid="{00000000-0005-0000-0000-000026020000}"/>
    <cellStyle name="20% - 강조색1 3 4" xfId="822" xr:uid="{00000000-0005-0000-0000-000028020000}"/>
    <cellStyle name="20% - 강조색1 3 5" xfId="823" xr:uid="{00000000-0005-0000-0000-000029020000}"/>
    <cellStyle name="20% - 강조색1 3 5 2" xfId="3721" xr:uid="{00000000-0005-0000-0000-000029020000}"/>
    <cellStyle name="20% - 강조색1 3 6" xfId="3714" xr:uid="{00000000-0005-0000-0000-000020020000}"/>
    <cellStyle name="20% - 강조색1 4" xfId="824" xr:uid="{00000000-0005-0000-0000-00002A020000}"/>
    <cellStyle name="20% - 강조색1 4 2" xfId="825" xr:uid="{00000000-0005-0000-0000-00002B020000}"/>
    <cellStyle name="20% - 강조색1 4 2 2" xfId="826" xr:uid="{00000000-0005-0000-0000-00002C020000}"/>
    <cellStyle name="20% - 강조색1 4 2 2 2" xfId="3724" xr:uid="{00000000-0005-0000-0000-00002C020000}"/>
    <cellStyle name="20% - 강조색1 4 2 3" xfId="3723" xr:uid="{00000000-0005-0000-0000-00002B020000}"/>
    <cellStyle name="20% - 강조색1 4 3" xfId="827" xr:uid="{00000000-0005-0000-0000-00002D020000}"/>
    <cellStyle name="20% - 강조색1 4 4" xfId="828" xr:uid="{00000000-0005-0000-0000-00002E020000}"/>
    <cellStyle name="20% - 강조색1 4 4 2" xfId="3725" xr:uid="{00000000-0005-0000-0000-00002E020000}"/>
    <cellStyle name="20% - 강조색1 4 5" xfId="3722" xr:uid="{00000000-0005-0000-0000-00002A020000}"/>
    <cellStyle name="20% - 강조색1 5" xfId="829" xr:uid="{00000000-0005-0000-0000-00002F020000}"/>
    <cellStyle name="20% - 강조색1 5 2" xfId="830" xr:uid="{00000000-0005-0000-0000-000030020000}"/>
    <cellStyle name="20% - 강조색1 5 2 2" xfId="3727" xr:uid="{00000000-0005-0000-0000-000030020000}"/>
    <cellStyle name="20% - 강조색1 5 3" xfId="3726" xr:uid="{00000000-0005-0000-0000-00002F020000}"/>
    <cellStyle name="20% - 강조색1 6" xfId="831" xr:uid="{00000000-0005-0000-0000-000031020000}"/>
    <cellStyle name="20% - 강조색1 6 2" xfId="3728" xr:uid="{00000000-0005-0000-0000-000031020000}"/>
    <cellStyle name="20% - 강조색2 2" xfId="832" xr:uid="{00000000-0005-0000-0000-000032020000}"/>
    <cellStyle name="20% - 강조색2 2 2" xfId="833" xr:uid="{00000000-0005-0000-0000-000033020000}"/>
    <cellStyle name="20% - 강조색2 2 2 2" xfId="834" xr:uid="{00000000-0005-0000-0000-000034020000}"/>
    <cellStyle name="20% - 강조색2 2 2 2 2" xfId="835" xr:uid="{00000000-0005-0000-0000-000035020000}"/>
    <cellStyle name="20% - 강조색2 2 2 2 2 2" xfId="836" xr:uid="{00000000-0005-0000-0000-000036020000}"/>
    <cellStyle name="20% - 강조색2 2 2 2 2 2 2" xfId="3733" xr:uid="{00000000-0005-0000-0000-000036020000}"/>
    <cellStyle name="20% - 강조색2 2 2 2 2 3" xfId="3732" xr:uid="{00000000-0005-0000-0000-000035020000}"/>
    <cellStyle name="20% - 강조색2 2 2 2 3" xfId="837" xr:uid="{00000000-0005-0000-0000-000037020000}"/>
    <cellStyle name="20% - 강조색2 2 2 2 4" xfId="838" xr:uid="{00000000-0005-0000-0000-000038020000}"/>
    <cellStyle name="20% - 강조색2 2 2 2 4 2" xfId="3734" xr:uid="{00000000-0005-0000-0000-000038020000}"/>
    <cellStyle name="20% - 강조색2 2 2 2 5" xfId="3731" xr:uid="{00000000-0005-0000-0000-000034020000}"/>
    <cellStyle name="20% - 강조색2 2 2 3" xfId="839" xr:uid="{00000000-0005-0000-0000-000039020000}"/>
    <cellStyle name="20% - 강조색2 2 2 3 2" xfId="840" xr:uid="{00000000-0005-0000-0000-00003A020000}"/>
    <cellStyle name="20% - 강조색2 2 2 3 2 2" xfId="3736" xr:uid="{00000000-0005-0000-0000-00003A020000}"/>
    <cellStyle name="20% - 강조색2 2 2 3 3" xfId="3735" xr:uid="{00000000-0005-0000-0000-000039020000}"/>
    <cellStyle name="20% - 강조색2 2 2 4" xfId="841" xr:uid="{00000000-0005-0000-0000-00003B020000}"/>
    <cellStyle name="20% - 강조색2 2 2 5" xfId="842" xr:uid="{00000000-0005-0000-0000-00003C020000}"/>
    <cellStyle name="20% - 강조색2 2 2 5 2" xfId="3737" xr:uid="{00000000-0005-0000-0000-00003C020000}"/>
    <cellStyle name="20% - 강조색2 2 2 6" xfId="3730" xr:uid="{00000000-0005-0000-0000-000033020000}"/>
    <cellStyle name="20% - 강조색2 2 3" xfId="843" xr:uid="{00000000-0005-0000-0000-00003D020000}"/>
    <cellStyle name="20% - 강조색2 2 3 2" xfId="844" xr:uid="{00000000-0005-0000-0000-00003E020000}"/>
    <cellStyle name="20% - 강조색2 2 3 2 2" xfId="845" xr:uid="{00000000-0005-0000-0000-00003F020000}"/>
    <cellStyle name="20% - 강조색2 2 3 2 2 2" xfId="3740" xr:uid="{00000000-0005-0000-0000-00003F020000}"/>
    <cellStyle name="20% - 강조색2 2 3 2 3" xfId="3739" xr:uid="{00000000-0005-0000-0000-00003E020000}"/>
    <cellStyle name="20% - 강조색2 2 3 3" xfId="846" xr:uid="{00000000-0005-0000-0000-000040020000}"/>
    <cellStyle name="20% - 강조색2 2 3 4" xfId="847" xr:uid="{00000000-0005-0000-0000-000041020000}"/>
    <cellStyle name="20% - 강조색2 2 3 4 2" xfId="3741" xr:uid="{00000000-0005-0000-0000-000041020000}"/>
    <cellStyle name="20% - 강조색2 2 3 5" xfId="3738" xr:uid="{00000000-0005-0000-0000-00003D020000}"/>
    <cellStyle name="20% - 강조색2 2 4" xfId="848" xr:uid="{00000000-0005-0000-0000-000042020000}"/>
    <cellStyle name="20% - 강조색2 2 4 2" xfId="849" xr:uid="{00000000-0005-0000-0000-000043020000}"/>
    <cellStyle name="20% - 강조색2 2 4 2 2" xfId="3743" xr:uid="{00000000-0005-0000-0000-000043020000}"/>
    <cellStyle name="20% - 강조색2 2 4 3" xfId="3742" xr:uid="{00000000-0005-0000-0000-000042020000}"/>
    <cellStyle name="20% - 강조색2 2 5" xfId="850" xr:uid="{00000000-0005-0000-0000-000044020000}"/>
    <cellStyle name="20% - 강조색2 2 6" xfId="851" xr:uid="{00000000-0005-0000-0000-000045020000}"/>
    <cellStyle name="20% - 강조색2 2 6 2" xfId="3744" xr:uid="{00000000-0005-0000-0000-000045020000}"/>
    <cellStyle name="20% - 강조색2 2 7" xfId="3729" xr:uid="{00000000-0005-0000-0000-000032020000}"/>
    <cellStyle name="20% - 강조색2 3" xfId="852" xr:uid="{00000000-0005-0000-0000-000046020000}"/>
    <cellStyle name="20% - 강조색2 3 2" xfId="853" xr:uid="{00000000-0005-0000-0000-000047020000}"/>
    <cellStyle name="20% - 강조색2 3 2 2" xfId="854" xr:uid="{00000000-0005-0000-0000-000048020000}"/>
    <cellStyle name="20% - 강조색2 3 2 2 2" xfId="855" xr:uid="{00000000-0005-0000-0000-000049020000}"/>
    <cellStyle name="20% - 강조색2 3 2 2 2 2" xfId="3748" xr:uid="{00000000-0005-0000-0000-000049020000}"/>
    <cellStyle name="20% - 강조색2 3 2 2 3" xfId="3747" xr:uid="{00000000-0005-0000-0000-000048020000}"/>
    <cellStyle name="20% - 강조색2 3 2 3" xfId="856" xr:uid="{00000000-0005-0000-0000-00004A020000}"/>
    <cellStyle name="20% - 강조색2 3 2 4" xfId="857" xr:uid="{00000000-0005-0000-0000-00004B020000}"/>
    <cellStyle name="20% - 강조색2 3 2 4 2" xfId="3749" xr:uid="{00000000-0005-0000-0000-00004B020000}"/>
    <cellStyle name="20% - 강조색2 3 2 5" xfId="3746" xr:uid="{00000000-0005-0000-0000-000047020000}"/>
    <cellStyle name="20% - 강조색2 3 3" xfId="858" xr:uid="{00000000-0005-0000-0000-00004C020000}"/>
    <cellStyle name="20% - 강조색2 3 3 2" xfId="859" xr:uid="{00000000-0005-0000-0000-00004D020000}"/>
    <cellStyle name="20% - 강조색2 3 3 2 2" xfId="3751" xr:uid="{00000000-0005-0000-0000-00004D020000}"/>
    <cellStyle name="20% - 강조색2 3 3 3" xfId="3750" xr:uid="{00000000-0005-0000-0000-00004C020000}"/>
    <cellStyle name="20% - 강조색2 3 4" xfId="860" xr:uid="{00000000-0005-0000-0000-00004E020000}"/>
    <cellStyle name="20% - 강조색2 3 5" xfId="861" xr:uid="{00000000-0005-0000-0000-00004F020000}"/>
    <cellStyle name="20% - 강조색2 3 5 2" xfId="3752" xr:uid="{00000000-0005-0000-0000-00004F020000}"/>
    <cellStyle name="20% - 강조색2 3 6" xfId="3745" xr:uid="{00000000-0005-0000-0000-000046020000}"/>
    <cellStyle name="20% - 강조색2 4" xfId="862" xr:uid="{00000000-0005-0000-0000-000050020000}"/>
    <cellStyle name="20% - 강조색2 4 2" xfId="863" xr:uid="{00000000-0005-0000-0000-000051020000}"/>
    <cellStyle name="20% - 강조색2 4 2 2" xfId="864" xr:uid="{00000000-0005-0000-0000-000052020000}"/>
    <cellStyle name="20% - 강조색2 4 2 2 2" xfId="3755" xr:uid="{00000000-0005-0000-0000-000052020000}"/>
    <cellStyle name="20% - 강조색2 4 2 3" xfId="3754" xr:uid="{00000000-0005-0000-0000-000051020000}"/>
    <cellStyle name="20% - 강조색2 4 3" xfId="865" xr:uid="{00000000-0005-0000-0000-000053020000}"/>
    <cellStyle name="20% - 강조색2 4 4" xfId="866" xr:uid="{00000000-0005-0000-0000-000054020000}"/>
    <cellStyle name="20% - 강조색2 4 4 2" xfId="3756" xr:uid="{00000000-0005-0000-0000-000054020000}"/>
    <cellStyle name="20% - 강조색2 4 5" xfId="3753" xr:uid="{00000000-0005-0000-0000-000050020000}"/>
    <cellStyle name="20% - 강조색2 5" xfId="867" xr:uid="{00000000-0005-0000-0000-000055020000}"/>
    <cellStyle name="20% - 강조색2 5 2" xfId="868" xr:uid="{00000000-0005-0000-0000-000056020000}"/>
    <cellStyle name="20% - 강조색2 5 2 2" xfId="3758" xr:uid="{00000000-0005-0000-0000-000056020000}"/>
    <cellStyle name="20% - 강조색2 5 3" xfId="3757" xr:uid="{00000000-0005-0000-0000-000055020000}"/>
    <cellStyle name="20% - 강조색2 6" xfId="869" xr:uid="{00000000-0005-0000-0000-000057020000}"/>
    <cellStyle name="20% - 강조색2 6 2" xfId="3759" xr:uid="{00000000-0005-0000-0000-000057020000}"/>
    <cellStyle name="20% - 강조색3 2" xfId="870" xr:uid="{00000000-0005-0000-0000-000058020000}"/>
    <cellStyle name="20% - 강조색3 2 2" xfId="871" xr:uid="{00000000-0005-0000-0000-000059020000}"/>
    <cellStyle name="20% - 강조색3 2 2 2" xfId="872" xr:uid="{00000000-0005-0000-0000-00005A020000}"/>
    <cellStyle name="20% - 강조색3 2 2 2 2" xfId="873" xr:uid="{00000000-0005-0000-0000-00005B020000}"/>
    <cellStyle name="20% - 강조색3 2 2 2 2 2" xfId="874" xr:uid="{00000000-0005-0000-0000-00005C020000}"/>
    <cellStyle name="20% - 강조색3 2 2 2 2 2 2" xfId="3764" xr:uid="{00000000-0005-0000-0000-00005C020000}"/>
    <cellStyle name="20% - 강조색3 2 2 2 2 3" xfId="3763" xr:uid="{00000000-0005-0000-0000-00005B020000}"/>
    <cellStyle name="20% - 강조색3 2 2 2 3" xfId="875" xr:uid="{00000000-0005-0000-0000-00005D020000}"/>
    <cellStyle name="20% - 강조색3 2 2 2 4" xfId="876" xr:uid="{00000000-0005-0000-0000-00005E020000}"/>
    <cellStyle name="20% - 강조색3 2 2 2 4 2" xfId="3765" xr:uid="{00000000-0005-0000-0000-00005E020000}"/>
    <cellStyle name="20% - 강조색3 2 2 2 5" xfId="3762" xr:uid="{00000000-0005-0000-0000-00005A020000}"/>
    <cellStyle name="20% - 강조색3 2 2 3" xfId="877" xr:uid="{00000000-0005-0000-0000-00005F020000}"/>
    <cellStyle name="20% - 강조색3 2 2 3 2" xfId="878" xr:uid="{00000000-0005-0000-0000-000060020000}"/>
    <cellStyle name="20% - 강조색3 2 2 3 2 2" xfId="3767" xr:uid="{00000000-0005-0000-0000-000060020000}"/>
    <cellStyle name="20% - 강조색3 2 2 3 3" xfId="3766" xr:uid="{00000000-0005-0000-0000-00005F020000}"/>
    <cellStyle name="20% - 강조색3 2 2 4" xfId="879" xr:uid="{00000000-0005-0000-0000-000061020000}"/>
    <cellStyle name="20% - 강조색3 2 2 5" xfId="880" xr:uid="{00000000-0005-0000-0000-000062020000}"/>
    <cellStyle name="20% - 강조색3 2 2 5 2" xfId="3768" xr:uid="{00000000-0005-0000-0000-000062020000}"/>
    <cellStyle name="20% - 강조색3 2 2 6" xfId="3761" xr:uid="{00000000-0005-0000-0000-000059020000}"/>
    <cellStyle name="20% - 강조색3 2 3" xfId="881" xr:uid="{00000000-0005-0000-0000-000063020000}"/>
    <cellStyle name="20% - 강조색3 2 3 2" xfId="882" xr:uid="{00000000-0005-0000-0000-000064020000}"/>
    <cellStyle name="20% - 강조색3 2 3 2 2" xfId="883" xr:uid="{00000000-0005-0000-0000-000065020000}"/>
    <cellStyle name="20% - 강조색3 2 3 2 2 2" xfId="3771" xr:uid="{00000000-0005-0000-0000-000065020000}"/>
    <cellStyle name="20% - 강조색3 2 3 2 3" xfId="3770" xr:uid="{00000000-0005-0000-0000-000064020000}"/>
    <cellStyle name="20% - 강조색3 2 3 3" xfId="884" xr:uid="{00000000-0005-0000-0000-000066020000}"/>
    <cellStyle name="20% - 강조색3 2 3 4" xfId="885" xr:uid="{00000000-0005-0000-0000-000067020000}"/>
    <cellStyle name="20% - 강조색3 2 3 4 2" xfId="3772" xr:uid="{00000000-0005-0000-0000-000067020000}"/>
    <cellStyle name="20% - 강조색3 2 3 5" xfId="3769" xr:uid="{00000000-0005-0000-0000-000063020000}"/>
    <cellStyle name="20% - 강조색3 2 4" xfId="886" xr:uid="{00000000-0005-0000-0000-000068020000}"/>
    <cellStyle name="20% - 강조색3 2 4 2" xfId="887" xr:uid="{00000000-0005-0000-0000-000069020000}"/>
    <cellStyle name="20% - 강조색3 2 4 2 2" xfId="3774" xr:uid="{00000000-0005-0000-0000-000069020000}"/>
    <cellStyle name="20% - 강조색3 2 4 3" xfId="3773" xr:uid="{00000000-0005-0000-0000-000068020000}"/>
    <cellStyle name="20% - 강조색3 2 5" xfId="888" xr:uid="{00000000-0005-0000-0000-00006A020000}"/>
    <cellStyle name="20% - 강조색3 2 6" xfId="889" xr:uid="{00000000-0005-0000-0000-00006B020000}"/>
    <cellStyle name="20% - 강조색3 2 6 2" xfId="3775" xr:uid="{00000000-0005-0000-0000-00006B020000}"/>
    <cellStyle name="20% - 강조색3 2 7" xfId="3760" xr:uid="{00000000-0005-0000-0000-000058020000}"/>
    <cellStyle name="20% - 강조색3 3" xfId="890" xr:uid="{00000000-0005-0000-0000-00006C020000}"/>
    <cellStyle name="20% - 강조색3 3 2" xfId="891" xr:uid="{00000000-0005-0000-0000-00006D020000}"/>
    <cellStyle name="20% - 강조색3 3 2 2" xfId="892" xr:uid="{00000000-0005-0000-0000-00006E020000}"/>
    <cellStyle name="20% - 강조색3 3 2 2 2" xfId="893" xr:uid="{00000000-0005-0000-0000-00006F020000}"/>
    <cellStyle name="20% - 강조색3 3 2 2 2 2" xfId="3779" xr:uid="{00000000-0005-0000-0000-00006F020000}"/>
    <cellStyle name="20% - 강조색3 3 2 2 3" xfId="3778" xr:uid="{00000000-0005-0000-0000-00006E020000}"/>
    <cellStyle name="20% - 강조색3 3 2 3" xfId="894" xr:uid="{00000000-0005-0000-0000-000070020000}"/>
    <cellStyle name="20% - 강조색3 3 2 4" xfId="895" xr:uid="{00000000-0005-0000-0000-000071020000}"/>
    <cellStyle name="20% - 강조색3 3 2 4 2" xfId="3780" xr:uid="{00000000-0005-0000-0000-000071020000}"/>
    <cellStyle name="20% - 강조색3 3 2 5" xfId="3777" xr:uid="{00000000-0005-0000-0000-00006D020000}"/>
    <cellStyle name="20% - 강조색3 3 3" xfId="896" xr:uid="{00000000-0005-0000-0000-000072020000}"/>
    <cellStyle name="20% - 강조색3 3 3 2" xfId="897" xr:uid="{00000000-0005-0000-0000-000073020000}"/>
    <cellStyle name="20% - 강조색3 3 3 2 2" xfId="3782" xr:uid="{00000000-0005-0000-0000-000073020000}"/>
    <cellStyle name="20% - 강조색3 3 3 3" xfId="3781" xr:uid="{00000000-0005-0000-0000-000072020000}"/>
    <cellStyle name="20% - 강조색3 3 4" xfId="898" xr:uid="{00000000-0005-0000-0000-000074020000}"/>
    <cellStyle name="20% - 강조색3 3 5" xfId="899" xr:uid="{00000000-0005-0000-0000-000075020000}"/>
    <cellStyle name="20% - 강조색3 3 5 2" xfId="3783" xr:uid="{00000000-0005-0000-0000-000075020000}"/>
    <cellStyle name="20% - 강조색3 3 6" xfId="3776" xr:uid="{00000000-0005-0000-0000-00006C020000}"/>
    <cellStyle name="20% - 강조색3 4" xfId="900" xr:uid="{00000000-0005-0000-0000-000076020000}"/>
    <cellStyle name="20% - 강조색3 4 2" xfId="901" xr:uid="{00000000-0005-0000-0000-000077020000}"/>
    <cellStyle name="20% - 강조색3 4 2 2" xfId="902" xr:uid="{00000000-0005-0000-0000-000078020000}"/>
    <cellStyle name="20% - 강조색3 4 2 2 2" xfId="3786" xr:uid="{00000000-0005-0000-0000-000078020000}"/>
    <cellStyle name="20% - 강조색3 4 2 3" xfId="3785" xr:uid="{00000000-0005-0000-0000-000077020000}"/>
    <cellStyle name="20% - 강조색3 4 3" xfId="903" xr:uid="{00000000-0005-0000-0000-000079020000}"/>
    <cellStyle name="20% - 강조색3 4 4" xfId="904" xr:uid="{00000000-0005-0000-0000-00007A020000}"/>
    <cellStyle name="20% - 강조색3 4 4 2" xfId="3787" xr:uid="{00000000-0005-0000-0000-00007A020000}"/>
    <cellStyle name="20% - 강조색3 4 5" xfId="3784" xr:uid="{00000000-0005-0000-0000-000076020000}"/>
    <cellStyle name="20% - 강조색3 5" xfId="905" xr:uid="{00000000-0005-0000-0000-00007B020000}"/>
    <cellStyle name="20% - 강조색3 5 2" xfId="906" xr:uid="{00000000-0005-0000-0000-00007C020000}"/>
    <cellStyle name="20% - 강조색3 5 2 2" xfId="3789" xr:uid="{00000000-0005-0000-0000-00007C020000}"/>
    <cellStyle name="20% - 강조색3 5 3" xfId="3788" xr:uid="{00000000-0005-0000-0000-00007B020000}"/>
    <cellStyle name="20% - 강조색3 6" xfId="907" xr:uid="{00000000-0005-0000-0000-00007D020000}"/>
    <cellStyle name="20% - 강조색3 6 2" xfId="3790" xr:uid="{00000000-0005-0000-0000-00007D020000}"/>
    <cellStyle name="20% - 강조색4 2" xfId="908" xr:uid="{00000000-0005-0000-0000-00007E020000}"/>
    <cellStyle name="20% - 강조색4 2 2" xfId="909" xr:uid="{00000000-0005-0000-0000-00007F020000}"/>
    <cellStyle name="20% - 강조색4 2 2 2" xfId="910" xr:uid="{00000000-0005-0000-0000-000080020000}"/>
    <cellStyle name="20% - 강조색4 2 2 2 2" xfId="911" xr:uid="{00000000-0005-0000-0000-000081020000}"/>
    <cellStyle name="20% - 강조색4 2 2 2 2 2" xfId="912" xr:uid="{00000000-0005-0000-0000-000082020000}"/>
    <cellStyle name="20% - 강조색4 2 2 2 2 2 2" xfId="3795" xr:uid="{00000000-0005-0000-0000-000082020000}"/>
    <cellStyle name="20% - 강조색4 2 2 2 2 3" xfId="3794" xr:uid="{00000000-0005-0000-0000-000081020000}"/>
    <cellStyle name="20% - 강조색4 2 2 2 3" xfId="913" xr:uid="{00000000-0005-0000-0000-000083020000}"/>
    <cellStyle name="20% - 강조색4 2 2 2 4" xfId="914" xr:uid="{00000000-0005-0000-0000-000084020000}"/>
    <cellStyle name="20% - 강조색4 2 2 2 4 2" xfId="3796" xr:uid="{00000000-0005-0000-0000-000084020000}"/>
    <cellStyle name="20% - 강조색4 2 2 2 5" xfId="3793" xr:uid="{00000000-0005-0000-0000-000080020000}"/>
    <cellStyle name="20% - 강조색4 2 2 3" xfId="915" xr:uid="{00000000-0005-0000-0000-000085020000}"/>
    <cellStyle name="20% - 강조색4 2 2 3 2" xfId="916" xr:uid="{00000000-0005-0000-0000-000086020000}"/>
    <cellStyle name="20% - 강조색4 2 2 3 2 2" xfId="3798" xr:uid="{00000000-0005-0000-0000-000086020000}"/>
    <cellStyle name="20% - 강조색4 2 2 3 3" xfId="3797" xr:uid="{00000000-0005-0000-0000-000085020000}"/>
    <cellStyle name="20% - 강조색4 2 2 4" xfId="917" xr:uid="{00000000-0005-0000-0000-000087020000}"/>
    <cellStyle name="20% - 강조색4 2 2 5" xfId="918" xr:uid="{00000000-0005-0000-0000-000088020000}"/>
    <cellStyle name="20% - 강조색4 2 2 5 2" xfId="3799" xr:uid="{00000000-0005-0000-0000-000088020000}"/>
    <cellStyle name="20% - 강조색4 2 2 6" xfId="3792" xr:uid="{00000000-0005-0000-0000-00007F020000}"/>
    <cellStyle name="20% - 강조색4 2 3" xfId="919" xr:uid="{00000000-0005-0000-0000-000089020000}"/>
    <cellStyle name="20% - 강조색4 2 3 2" xfId="920" xr:uid="{00000000-0005-0000-0000-00008A020000}"/>
    <cellStyle name="20% - 강조색4 2 3 2 2" xfId="921" xr:uid="{00000000-0005-0000-0000-00008B020000}"/>
    <cellStyle name="20% - 강조색4 2 3 2 2 2" xfId="3802" xr:uid="{00000000-0005-0000-0000-00008B020000}"/>
    <cellStyle name="20% - 강조색4 2 3 2 3" xfId="3801" xr:uid="{00000000-0005-0000-0000-00008A020000}"/>
    <cellStyle name="20% - 강조색4 2 3 3" xfId="922" xr:uid="{00000000-0005-0000-0000-00008C020000}"/>
    <cellStyle name="20% - 강조색4 2 3 4" xfId="923" xr:uid="{00000000-0005-0000-0000-00008D020000}"/>
    <cellStyle name="20% - 강조색4 2 3 4 2" xfId="3803" xr:uid="{00000000-0005-0000-0000-00008D020000}"/>
    <cellStyle name="20% - 강조색4 2 3 5" xfId="3800" xr:uid="{00000000-0005-0000-0000-000089020000}"/>
    <cellStyle name="20% - 강조색4 2 4" xfId="924" xr:uid="{00000000-0005-0000-0000-00008E020000}"/>
    <cellStyle name="20% - 강조색4 2 4 2" xfId="925" xr:uid="{00000000-0005-0000-0000-00008F020000}"/>
    <cellStyle name="20% - 강조색4 2 4 2 2" xfId="3805" xr:uid="{00000000-0005-0000-0000-00008F020000}"/>
    <cellStyle name="20% - 강조색4 2 4 3" xfId="3804" xr:uid="{00000000-0005-0000-0000-00008E020000}"/>
    <cellStyle name="20% - 강조색4 2 5" xfId="926" xr:uid="{00000000-0005-0000-0000-000090020000}"/>
    <cellStyle name="20% - 강조색4 2 6" xfId="927" xr:uid="{00000000-0005-0000-0000-000091020000}"/>
    <cellStyle name="20% - 강조색4 2 6 2" xfId="3806" xr:uid="{00000000-0005-0000-0000-000091020000}"/>
    <cellStyle name="20% - 강조색4 2 7" xfId="3791" xr:uid="{00000000-0005-0000-0000-00007E020000}"/>
    <cellStyle name="20% - 강조색4 3" xfId="928" xr:uid="{00000000-0005-0000-0000-000092020000}"/>
    <cellStyle name="20% - 강조색4 3 2" xfId="929" xr:uid="{00000000-0005-0000-0000-000093020000}"/>
    <cellStyle name="20% - 강조색4 3 2 2" xfId="930" xr:uid="{00000000-0005-0000-0000-000094020000}"/>
    <cellStyle name="20% - 강조색4 3 2 2 2" xfId="931" xr:uid="{00000000-0005-0000-0000-000095020000}"/>
    <cellStyle name="20% - 강조색4 3 2 2 2 2" xfId="3810" xr:uid="{00000000-0005-0000-0000-000095020000}"/>
    <cellStyle name="20% - 강조색4 3 2 2 3" xfId="3809" xr:uid="{00000000-0005-0000-0000-000094020000}"/>
    <cellStyle name="20% - 강조색4 3 2 3" xfId="932" xr:uid="{00000000-0005-0000-0000-000096020000}"/>
    <cellStyle name="20% - 강조색4 3 2 4" xfId="933" xr:uid="{00000000-0005-0000-0000-000097020000}"/>
    <cellStyle name="20% - 강조색4 3 2 4 2" xfId="3811" xr:uid="{00000000-0005-0000-0000-000097020000}"/>
    <cellStyle name="20% - 강조색4 3 2 5" xfId="3808" xr:uid="{00000000-0005-0000-0000-000093020000}"/>
    <cellStyle name="20% - 강조색4 3 3" xfId="934" xr:uid="{00000000-0005-0000-0000-000098020000}"/>
    <cellStyle name="20% - 강조색4 3 3 2" xfId="935" xr:uid="{00000000-0005-0000-0000-000099020000}"/>
    <cellStyle name="20% - 강조색4 3 3 2 2" xfId="3813" xr:uid="{00000000-0005-0000-0000-000099020000}"/>
    <cellStyle name="20% - 강조색4 3 3 3" xfId="3812" xr:uid="{00000000-0005-0000-0000-000098020000}"/>
    <cellStyle name="20% - 강조색4 3 4" xfId="936" xr:uid="{00000000-0005-0000-0000-00009A020000}"/>
    <cellStyle name="20% - 강조색4 3 5" xfId="937" xr:uid="{00000000-0005-0000-0000-00009B020000}"/>
    <cellStyle name="20% - 강조색4 3 5 2" xfId="3814" xr:uid="{00000000-0005-0000-0000-00009B020000}"/>
    <cellStyle name="20% - 강조색4 3 6" xfId="3807" xr:uid="{00000000-0005-0000-0000-000092020000}"/>
    <cellStyle name="20% - 강조색4 4" xfId="938" xr:uid="{00000000-0005-0000-0000-00009C020000}"/>
    <cellStyle name="20% - 강조색4 4 2" xfId="939" xr:uid="{00000000-0005-0000-0000-00009D020000}"/>
    <cellStyle name="20% - 강조색4 4 2 2" xfId="940" xr:uid="{00000000-0005-0000-0000-00009E020000}"/>
    <cellStyle name="20% - 강조색4 4 2 2 2" xfId="3817" xr:uid="{00000000-0005-0000-0000-00009E020000}"/>
    <cellStyle name="20% - 강조색4 4 2 3" xfId="3816" xr:uid="{00000000-0005-0000-0000-00009D020000}"/>
    <cellStyle name="20% - 강조색4 4 3" xfId="941" xr:uid="{00000000-0005-0000-0000-00009F020000}"/>
    <cellStyle name="20% - 강조색4 4 4" xfId="942" xr:uid="{00000000-0005-0000-0000-0000A0020000}"/>
    <cellStyle name="20% - 강조색4 4 4 2" xfId="3818" xr:uid="{00000000-0005-0000-0000-0000A0020000}"/>
    <cellStyle name="20% - 강조색4 4 5" xfId="3815" xr:uid="{00000000-0005-0000-0000-00009C020000}"/>
    <cellStyle name="20% - 강조색4 5" xfId="943" xr:uid="{00000000-0005-0000-0000-0000A1020000}"/>
    <cellStyle name="20% - 강조색4 5 2" xfId="944" xr:uid="{00000000-0005-0000-0000-0000A2020000}"/>
    <cellStyle name="20% - 강조색4 5 2 2" xfId="3820" xr:uid="{00000000-0005-0000-0000-0000A2020000}"/>
    <cellStyle name="20% - 강조색4 5 3" xfId="3819" xr:uid="{00000000-0005-0000-0000-0000A1020000}"/>
    <cellStyle name="20% - 강조색4 6" xfId="945" xr:uid="{00000000-0005-0000-0000-0000A3020000}"/>
    <cellStyle name="20% - 강조색4 6 2" xfId="3821" xr:uid="{00000000-0005-0000-0000-0000A3020000}"/>
    <cellStyle name="20% - 강조색5 2" xfId="946" xr:uid="{00000000-0005-0000-0000-0000A4020000}"/>
    <cellStyle name="20% - 강조색5 2 2" xfId="947" xr:uid="{00000000-0005-0000-0000-0000A5020000}"/>
    <cellStyle name="20% - 강조색5 2 2 2" xfId="948" xr:uid="{00000000-0005-0000-0000-0000A6020000}"/>
    <cellStyle name="20% - 강조색5 2 2 2 2" xfId="949" xr:uid="{00000000-0005-0000-0000-0000A7020000}"/>
    <cellStyle name="20% - 강조색5 2 2 2 2 2" xfId="950" xr:uid="{00000000-0005-0000-0000-0000A8020000}"/>
    <cellStyle name="20% - 강조색5 2 2 2 2 2 2" xfId="3826" xr:uid="{00000000-0005-0000-0000-0000A8020000}"/>
    <cellStyle name="20% - 강조색5 2 2 2 2 3" xfId="3825" xr:uid="{00000000-0005-0000-0000-0000A7020000}"/>
    <cellStyle name="20% - 강조색5 2 2 2 3" xfId="951" xr:uid="{00000000-0005-0000-0000-0000A9020000}"/>
    <cellStyle name="20% - 강조색5 2 2 2 4" xfId="952" xr:uid="{00000000-0005-0000-0000-0000AA020000}"/>
    <cellStyle name="20% - 강조색5 2 2 2 4 2" xfId="3827" xr:uid="{00000000-0005-0000-0000-0000AA020000}"/>
    <cellStyle name="20% - 강조색5 2 2 2 5" xfId="3824" xr:uid="{00000000-0005-0000-0000-0000A6020000}"/>
    <cellStyle name="20% - 강조색5 2 2 3" xfId="953" xr:uid="{00000000-0005-0000-0000-0000AB020000}"/>
    <cellStyle name="20% - 강조색5 2 2 3 2" xfId="954" xr:uid="{00000000-0005-0000-0000-0000AC020000}"/>
    <cellStyle name="20% - 강조색5 2 2 3 2 2" xfId="3829" xr:uid="{00000000-0005-0000-0000-0000AC020000}"/>
    <cellStyle name="20% - 강조색5 2 2 3 3" xfId="3828" xr:uid="{00000000-0005-0000-0000-0000AB020000}"/>
    <cellStyle name="20% - 강조색5 2 2 4" xfId="955" xr:uid="{00000000-0005-0000-0000-0000AD020000}"/>
    <cellStyle name="20% - 강조색5 2 2 5" xfId="956" xr:uid="{00000000-0005-0000-0000-0000AE020000}"/>
    <cellStyle name="20% - 강조색5 2 2 5 2" xfId="3830" xr:uid="{00000000-0005-0000-0000-0000AE020000}"/>
    <cellStyle name="20% - 강조색5 2 2 6" xfId="3823" xr:uid="{00000000-0005-0000-0000-0000A5020000}"/>
    <cellStyle name="20% - 강조색5 2 3" xfId="957" xr:uid="{00000000-0005-0000-0000-0000AF020000}"/>
    <cellStyle name="20% - 강조색5 2 3 2" xfId="958" xr:uid="{00000000-0005-0000-0000-0000B0020000}"/>
    <cellStyle name="20% - 강조색5 2 3 2 2" xfId="959" xr:uid="{00000000-0005-0000-0000-0000B1020000}"/>
    <cellStyle name="20% - 강조색5 2 3 2 2 2" xfId="3833" xr:uid="{00000000-0005-0000-0000-0000B1020000}"/>
    <cellStyle name="20% - 강조색5 2 3 2 3" xfId="3832" xr:uid="{00000000-0005-0000-0000-0000B0020000}"/>
    <cellStyle name="20% - 강조색5 2 3 3" xfId="960" xr:uid="{00000000-0005-0000-0000-0000B2020000}"/>
    <cellStyle name="20% - 강조색5 2 3 4" xfId="961" xr:uid="{00000000-0005-0000-0000-0000B3020000}"/>
    <cellStyle name="20% - 강조색5 2 3 4 2" xfId="3834" xr:uid="{00000000-0005-0000-0000-0000B3020000}"/>
    <cellStyle name="20% - 강조색5 2 3 5" xfId="3831" xr:uid="{00000000-0005-0000-0000-0000AF020000}"/>
    <cellStyle name="20% - 강조색5 2 4" xfId="962" xr:uid="{00000000-0005-0000-0000-0000B4020000}"/>
    <cellStyle name="20% - 강조색5 2 4 2" xfId="963" xr:uid="{00000000-0005-0000-0000-0000B5020000}"/>
    <cellStyle name="20% - 강조색5 2 4 2 2" xfId="3836" xr:uid="{00000000-0005-0000-0000-0000B5020000}"/>
    <cellStyle name="20% - 강조색5 2 4 3" xfId="3835" xr:uid="{00000000-0005-0000-0000-0000B4020000}"/>
    <cellStyle name="20% - 강조색5 2 5" xfId="964" xr:uid="{00000000-0005-0000-0000-0000B6020000}"/>
    <cellStyle name="20% - 강조색5 2 6" xfId="965" xr:uid="{00000000-0005-0000-0000-0000B7020000}"/>
    <cellStyle name="20% - 강조색5 2 6 2" xfId="3837" xr:uid="{00000000-0005-0000-0000-0000B7020000}"/>
    <cellStyle name="20% - 강조색5 2 7" xfId="3822" xr:uid="{00000000-0005-0000-0000-0000A4020000}"/>
    <cellStyle name="20% - 강조색5 3" xfId="966" xr:uid="{00000000-0005-0000-0000-0000B8020000}"/>
    <cellStyle name="20% - 강조색5 3 2" xfId="967" xr:uid="{00000000-0005-0000-0000-0000B9020000}"/>
    <cellStyle name="20% - 강조색5 3 2 2" xfId="968" xr:uid="{00000000-0005-0000-0000-0000BA020000}"/>
    <cellStyle name="20% - 강조색5 3 2 2 2" xfId="969" xr:uid="{00000000-0005-0000-0000-0000BB020000}"/>
    <cellStyle name="20% - 강조색5 3 2 2 2 2" xfId="3841" xr:uid="{00000000-0005-0000-0000-0000BB020000}"/>
    <cellStyle name="20% - 강조색5 3 2 2 3" xfId="3840" xr:uid="{00000000-0005-0000-0000-0000BA020000}"/>
    <cellStyle name="20% - 강조색5 3 2 3" xfId="970" xr:uid="{00000000-0005-0000-0000-0000BC020000}"/>
    <cellStyle name="20% - 강조색5 3 2 4" xfId="971" xr:uid="{00000000-0005-0000-0000-0000BD020000}"/>
    <cellStyle name="20% - 강조색5 3 2 4 2" xfId="3842" xr:uid="{00000000-0005-0000-0000-0000BD020000}"/>
    <cellStyle name="20% - 강조색5 3 2 5" xfId="3839" xr:uid="{00000000-0005-0000-0000-0000B9020000}"/>
    <cellStyle name="20% - 강조색5 3 3" xfId="972" xr:uid="{00000000-0005-0000-0000-0000BE020000}"/>
    <cellStyle name="20% - 강조색5 3 3 2" xfId="973" xr:uid="{00000000-0005-0000-0000-0000BF020000}"/>
    <cellStyle name="20% - 강조색5 3 3 2 2" xfId="3844" xr:uid="{00000000-0005-0000-0000-0000BF020000}"/>
    <cellStyle name="20% - 강조색5 3 3 3" xfId="3843" xr:uid="{00000000-0005-0000-0000-0000BE020000}"/>
    <cellStyle name="20% - 강조색5 3 4" xfId="974" xr:uid="{00000000-0005-0000-0000-0000C0020000}"/>
    <cellStyle name="20% - 강조색5 3 5" xfId="975" xr:uid="{00000000-0005-0000-0000-0000C1020000}"/>
    <cellStyle name="20% - 강조색5 3 5 2" xfId="3845" xr:uid="{00000000-0005-0000-0000-0000C1020000}"/>
    <cellStyle name="20% - 강조색5 3 6" xfId="3838" xr:uid="{00000000-0005-0000-0000-0000B8020000}"/>
    <cellStyle name="20% - 강조색5 4" xfId="976" xr:uid="{00000000-0005-0000-0000-0000C2020000}"/>
    <cellStyle name="20% - 강조색5 4 2" xfId="977" xr:uid="{00000000-0005-0000-0000-0000C3020000}"/>
    <cellStyle name="20% - 강조색5 4 2 2" xfId="978" xr:uid="{00000000-0005-0000-0000-0000C4020000}"/>
    <cellStyle name="20% - 강조색5 4 2 2 2" xfId="3848" xr:uid="{00000000-0005-0000-0000-0000C4020000}"/>
    <cellStyle name="20% - 강조색5 4 2 3" xfId="3847" xr:uid="{00000000-0005-0000-0000-0000C3020000}"/>
    <cellStyle name="20% - 강조색5 4 3" xfId="979" xr:uid="{00000000-0005-0000-0000-0000C5020000}"/>
    <cellStyle name="20% - 강조색5 4 4" xfId="980" xr:uid="{00000000-0005-0000-0000-0000C6020000}"/>
    <cellStyle name="20% - 강조색5 4 4 2" xfId="3849" xr:uid="{00000000-0005-0000-0000-0000C6020000}"/>
    <cellStyle name="20% - 강조색5 4 5" xfId="3846" xr:uid="{00000000-0005-0000-0000-0000C2020000}"/>
    <cellStyle name="20% - 강조색5 5" xfId="981" xr:uid="{00000000-0005-0000-0000-0000C7020000}"/>
    <cellStyle name="20% - 강조색5 5 2" xfId="982" xr:uid="{00000000-0005-0000-0000-0000C8020000}"/>
    <cellStyle name="20% - 강조색5 5 2 2" xfId="3851" xr:uid="{00000000-0005-0000-0000-0000C8020000}"/>
    <cellStyle name="20% - 강조색5 5 3" xfId="3850" xr:uid="{00000000-0005-0000-0000-0000C7020000}"/>
    <cellStyle name="20% - 강조색5 6" xfId="983" xr:uid="{00000000-0005-0000-0000-0000C9020000}"/>
    <cellStyle name="20% - 강조색5 6 2" xfId="3852" xr:uid="{00000000-0005-0000-0000-0000C9020000}"/>
    <cellStyle name="20% - 강조색6 2" xfId="984" xr:uid="{00000000-0005-0000-0000-0000CA020000}"/>
    <cellStyle name="20% - 강조색6 2 2" xfId="985" xr:uid="{00000000-0005-0000-0000-0000CB020000}"/>
    <cellStyle name="20% - 강조색6 2 2 2" xfId="986" xr:uid="{00000000-0005-0000-0000-0000CC020000}"/>
    <cellStyle name="20% - 강조색6 2 2 2 2" xfId="987" xr:uid="{00000000-0005-0000-0000-0000CD020000}"/>
    <cellStyle name="20% - 강조색6 2 2 2 2 2" xfId="988" xr:uid="{00000000-0005-0000-0000-0000CE020000}"/>
    <cellStyle name="20% - 강조색6 2 2 2 2 2 2" xfId="3857" xr:uid="{00000000-0005-0000-0000-0000CE020000}"/>
    <cellStyle name="20% - 강조색6 2 2 2 2 3" xfId="3856" xr:uid="{00000000-0005-0000-0000-0000CD020000}"/>
    <cellStyle name="20% - 강조색6 2 2 2 3" xfId="989" xr:uid="{00000000-0005-0000-0000-0000CF020000}"/>
    <cellStyle name="20% - 강조색6 2 2 2 4" xfId="990" xr:uid="{00000000-0005-0000-0000-0000D0020000}"/>
    <cellStyle name="20% - 강조색6 2 2 2 4 2" xfId="3858" xr:uid="{00000000-0005-0000-0000-0000D0020000}"/>
    <cellStyle name="20% - 강조색6 2 2 2 5" xfId="3855" xr:uid="{00000000-0005-0000-0000-0000CC020000}"/>
    <cellStyle name="20% - 강조색6 2 2 3" xfId="991" xr:uid="{00000000-0005-0000-0000-0000D1020000}"/>
    <cellStyle name="20% - 강조색6 2 2 3 2" xfId="992" xr:uid="{00000000-0005-0000-0000-0000D2020000}"/>
    <cellStyle name="20% - 강조색6 2 2 3 2 2" xfId="3860" xr:uid="{00000000-0005-0000-0000-0000D2020000}"/>
    <cellStyle name="20% - 강조색6 2 2 3 3" xfId="3859" xr:uid="{00000000-0005-0000-0000-0000D1020000}"/>
    <cellStyle name="20% - 강조색6 2 2 4" xfId="993" xr:uid="{00000000-0005-0000-0000-0000D3020000}"/>
    <cellStyle name="20% - 강조색6 2 2 5" xfId="994" xr:uid="{00000000-0005-0000-0000-0000D4020000}"/>
    <cellStyle name="20% - 강조색6 2 2 5 2" xfId="3861" xr:uid="{00000000-0005-0000-0000-0000D4020000}"/>
    <cellStyle name="20% - 강조색6 2 2 6" xfId="3854" xr:uid="{00000000-0005-0000-0000-0000CB020000}"/>
    <cellStyle name="20% - 강조색6 2 3" xfId="995" xr:uid="{00000000-0005-0000-0000-0000D5020000}"/>
    <cellStyle name="20% - 강조색6 2 3 2" xfId="996" xr:uid="{00000000-0005-0000-0000-0000D6020000}"/>
    <cellStyle name="20% - 강조색6 2 3 2 2" xfId="997" xr:uid="{00000000-0005-0000-0000-0000D7020000}"/>
    <cellStyle name="20% - 강조색6 2 3 2 2 2" xfId="3864" xr:uid="{00000000-0005-0000-0000-0000D7020000}"/>
    <cellStyle name="20% - 강조색6 2 3 2 3" xfId="3863" xr:uid="{00000000-0005-0000-0000-0000D6020000}"/>
    <cellStyle name="20% - 강조색6 2 3 3" xfId="998" xr:uid="{00000000-0005-0000-0000-0000D8020000}"/>
    <cellStyle name="20% - 강조색6 2 3 4" xfId="999" xr:uid="{00000000-0005-0000-0000-0000D9020000}"/>
    <cellStyle name="20% - 강조색6 2 3 4 2" xfId="3865" xr:uid="{00000000-0005-0000-0000-0000D9020000}"/>
    <cellStyle name="20% - 강조색6 2 3 5" xfId="3862" xr:uid="{00000000-0005-0000-0000-0000D5020000}"/>
    <cellStyle name="20% - 강조색6 2 4" xfId="1000" xr:uid="{00000000-0005-0000-0000-0000DA020000}"/>
    <cellStyle name="20% - 강조색6 2 4 2" xfId="1001" xr:uid="{00000000-0005-0000-0000-0000DB020000}"/>
    <cellStyle name="20% - 강조색6 2 4 2 2" xfId="3867" xr:uid="{00000000-0005-0000-0000-0000DB020000}"/>
    <cellStyle name="20% - 강조색6 2 4 3" xfId="3866" xr:uid="{00000000-0005-0000-0000-0000DA020000}"/>
    <cellStyle name="20% - 강조색6 2 5" xfId="1002" xr:uid="{00000000-0005-0000-0000-0000DC020000}"/>
    <cellStyle name="20% - 강조색6 2 6" xfId="1003" xr:uid="{00000000-0005-0000-0000-0000DD020000}"/>
    <cellStyle name="20% - 강조색6 2 6 2" xfId="3868" xr:uid="{00000000-0005-0000-0000-0000DD020000}"/>
    <cellStyle name="20% - 강조색6 2 7" xfId="3853" xr:uid="{00000000-0005-0000-0000-0000CA020000}"/>
    <cellStyle name="20% - 강조색6 3" xfId="1004" xr:uid="{00000000-0005-0000-0000-0000DE020000}"/>
    <cellStyle name="20% - 강조색6 3 2" xfId="1005" xr:uid="{00000000-0005-0000-0000-0000DF020000}"/>
    <cellStyle name="20% - 강조색6 3 2 2" xfId="1006" xr:uid="{00000000-0005-0000-0000-0000E0020000}"/>
    <cellStyle name="20% - 강조색6 3 2 2 2" xfId="1007" xr:uid="{00000000-0005-0000-0000-0000E1020000}"/>
    <cellStyle name="20% - 강조색6 3 2 2 2 2" xfId="3872" xr:uid="{00000000-0005-0000-0000-0000E1020000}"/>
    <cellStyle name="20% - 강조색6 3 2 2 3" xfId="3871" xr:uid="{00000000-0005-0000-0000-0000E0020000}"/>
    <cellStyle name="20% - 강조색6 3 2 3" xfId="1008" xr:uid="{00000000-0005-0000-0000-0000E2020000}"/>
    <cellStyle name="20% - 강조색6 3 2 4" xfId="1009" xr:uid="{00000000-0005-0000-0000-0000E3020000}"/>
    <cellStyle name="20% - 강조색6 3 2 4 2" xfId="3873" xr:uid="{00000000-0005-0000-0000-0000E3020000}"/>
    <cellStyle name="20% - 강조색6 3 2 5" xfId="3870" xr:uid="{00000000-0005-0000-0000-0000DF020000}"/>
    <cellStyle name="20% - 강조색6 3 3" xfId="1010" xr:uid="{00000000-0005-0000-0000-0000E4020000}"/>
    <cellStyle name="20% - 강조색6 3 3 2" xfId="1011" xr:uid="{00000000-0005-0000-0000-0000E5020000}"/>
    <cellStyle name="20% - 강조색6 3 3 2 2" xfId="3875" xr:uid="{00000000-0005-0000-0000-0000E5020000}"/>
    <cellStyle name="20% - 강조색6 3 3 3" xfId="3874" xr:uid="{00000000-0005-0000-0000-0000E4020000}"/>
    <cellStyle name="20% - 강조색6 3 4" xfId="1012" xr:uid="{00000000-0005-0000-0000-0000E6020000}"/>
    <cellStyle name="20% - 강조색6 3 5" xfId="1013" xr:uid="{00000000-0005-0000-0000-0000E7020000}"/>
    <cellStyle name="20% - 강조색6 3 5 2" xfId="3876" xr:uid="{00000000-0005-0000-0000-0000E7020000}"/>
    <cellStyle name="20% - 강조색6 3 6" xfId="3869" xr:uid="{00000000-0005-0000-0000-0000DE020000}"/>
    <cellStyle name="20% - 강조색6 4" xfId="1014" xr:uid="{00000000-0005-0000-0000-0000E8020000}"/>
    <cellStyle name="20% - 강조색6 4 2" xfId="1015" xr:uid="{00000000-0005-0000-0000-0000E9020000}"/>
    <cellStyle name="20% - 강조색6 4 2 2" xfId="1016" xr:uid="{00000000-0005-0000-0000-0000EA020000}"/>
    <cellStyle name="20% - 강조색6 4 2 2 2" xfId="3879" xr:uid="{00000000-0005-0000-0000-0000EA020000}"/>
    <cellStyle name="20% - 강조색6 4 2 3" xfId="3878" xr:uid="{00000000-0005-0000-0000-0000E9020000}"/>
    <cellStyle name="20% - 강조색6 4 3" xfId="1017" xr:uid="{00000000-0005-0000-0000-0000EB020000}"/>
    <cellStyle name="20% - 강조색6 4 4" xfId="1018" xr:uid="{00000000-0005-0000-0000-0000EC020000}"/>
    <cellStyle name="20% - 강조색6 4 4 2" xfId="3880" xr:uid="{00000000-0005-0000-0000-0000EC020000}"/>
    <cellStyle name="20% - 강조색6 4 5" xfId="3877" xr:uid="{00000000-0005-0000-0000-0000E8020000}"/>
    <cellStyle name="20% - 강조색6 5" xfId="1019" xr:uid="{00000000-0005-0000-0000-0000ED020000}"/>
    <cellStyle name="20% - 강조색6 5 2" xfId="1020" xr:uid="{00000000-0005-0000-0000-0000EE020000}"/>
    <cellStyle name="20% - 강조색6 5 2 2" xfId="3882" xr:uid="{00000000-0005-0000-0000-0000EE020000}"/>
    <cellStyle name="20% - 강조색6 5 3" xfId="3881" xr:uid="{00000000-0005-0000-0000-0000ED020000}"/>
    <cellStyle name="20% - 강조색6 6" xfId="1021" xr:uid="{00000000-0005-0000-0000-0000EF020000}"/>
    <cellStyle name="20% - 강조색6 6 2" xfId="3883" xr:uid="{00000000-0005-0000-0000-0000EF020000}"/>
    <cellStyle name="3 V1.00 CORE IMAGE (5200MM3.100 08/01/97)_x000d__x000a__x000d__x000a_[windows]_x000d__x000a_;spooler=yes_x000d__x000a_load=nw" xfId="1022" xr:uid="{00000000-0005-0000-0000-0000F0020000}"/>
    <cellStyle name="40% - Accent1" xfId="1023" xr:uid="{00000000-0005-0000-0000-0000F1020000}"/>
    <cellStyle name="40% - Accent2" xfId="1024" xr:uid="{00000000-0005-0000-0000-0000F2020000}"/>
    <cellStyle name="40% - Accent3" xfId="1025" xr:uid="{00000000-0005-0000-0000-0000F3020000}"/>
    <cellStyle name="40% - Accent4" xfId="1026" xr:uid="{00000000-0005-0000-0000-0000F4020000}"/>
    <cellStyle name="40% - Accent5" xfId="1027" xr:uid="{00000000-0005-0000-0000-0000F5020000}"/>
    <cellStyle name="40% - Accent6" xfId="1028" xr:uid="{00000000-0005-0000-0000-0000F6020000}"/>
    <cellStyle name="40% - 强调文字颜色 1" xfId="1029" xr:uid="{00000000-0005-0000-0000-0000F7020000}"/>
    <cellStyle name="40% - 强调文字颜色 2" xfId="1030" xr:uid="{00000000-0005-0000-0000-0000F8020000}"/>
    <cellStyle name="40% - 强调文字颜色 3" xfId="1031" xr:uid="{00000000-0005-0000-0000-0000F9020000}"/>
    <cellStyle name="40% - 强调文字颜色 4" xfId="1032" xr:uid="{00000000-0005-0000-0000-0000FA020000}"/>
    <cellStyle name="40% - 强调文字颜色 5" xfId="1033" xr:uid="{00000000-0005-0000-0000-0000FB020000}"/>
    <cellStyle name="40% - 强调文字颜色 6" xfId="1034" xr:uid="{00000000-0005-0000-0000-0000FC020000}"/>
    <cellStyle name="40% - 강조색1 2" xfId="1035" xr:uid="{00000000-0005-0000-0000-0000FD020000}"/>
    <cellStyle name="40% - 강조색1 2 2" xfId="1036" xr:uid="{00000000-0005-0000-0000-0000FE020000}"/>
    <cellStyle name="40% - 강조색1 2 2 2" xfId="1037" xr:uid="{00000000-0005-0000-0000-0000FF020000}"/>
    <cellStyle name="40% - 강조색1 2 2 2 2" xfId="1038" xr:uid="{00000000-0005-0000-0000-000000030000}"/>
    <cellStyle name="40% - 강조색1 2 2 2 2 2" xfId="1039" xr:uid="{00000000-0005-0000-0000-000001030000}"/>
    <cellStyle name="40% - 강조색1 2 2 2 2 2 2" xfId="3888" xr:uid="{00000000-0005-0000-0000-000001030000}"/>
    <cellStyle name="40% - 강조색1 2 2 2 2 3" xfId="3887" xr:uid="{00000000-0005-0000-0000-000000030000}"/>
    <cellStyle name="40% - 강조색1 2 2 2 3" xfId="1040" xr:uid="{00000000-0005-0000-0000-000002030000}"/>
    <cellStyle name="40% - 강조색1 2 2 2 4" xfId="1041" xr:uid="{00000000-0005-0000-0000-000003030000}"/>
    <cellStyle name="40% - 강조색1 2 2 2 4 2" xfId="3889" xr:uid="{00000000-0005-0000-0000-000003030000}"/>
    <cellStyle name="40% - 강조색1 2 2 2 5" xfId="3886" xr:uid="{00000000-0005-0000-0000-0000FF020000}"/>
    <cellStyle name="40% - 강조색1 2 2 3" xfId="1042" xr:uid="{00000000-0005-0000-0000-000004030000}"/>
    <cellStyle name="40% - 강조색1 2 2 3 2" xfId="1043" xr:uid="{00000000-0005-0000-0000-000005030000}"/>
    <cellStyle name="40% - 강조색1 2 2 3 2 2" xfId="3891" xr:uid="{00000000-0005-0000-0000-000005030000}"/>
    <cellStyle name="40% - 강조색1 2 2 3 3" xfId="3890" xr:uid="{00000000-0005-0000-0000-000004030000}"/>
    <cellStyle name="40% - 강조색1 2 2 4" xfId="1044" xr:uid="{00000000-0005-0000-0000-000006030000}"/>
    <cellStyle name="40% - 강조색1 2 2 5" xfId="1045" xr:uid="{00000000-0005-0000-0000-000007030000}"/>
    <cellStyle name="40% - 강조색1 2 2 5 2" xfId="3892" xr:uid="{00000000-0005-0000-0000-000007030000}"/>
    <cellStyle name="40% - 강조색1 2 2 6" xfId="3885" xr:uid="{00000000-0005-0000-0000-0000FE020000}"/>
    <cellStyle name="40% - 강조색1 2 3" xfId="1046" xr:uid="{00000000-0005-0000-0000-000008030000}"/>
    <cellStyle name="40% - 강조색1 2 3 2" xfId="1047" xr:uid="{00000000-0005-0000-0000-000009030000}"/>
    <cellStyle name="40% - 강조색1 2 3 2 2" xfId="1048" xr:uid="{00000000-0005-0000-0000-00000A030000}"/>
    <cellStyle name="40% - 강조색1 2 3 2 2 2" xfId="3895" xr:uid="{00000000-0005-0000-0000-00000A030000}"/>
    <cellStyle name="40% - 강조색1 2 3 2 3" xfId="3894" xr:uid="{00000000-0005-0000-0000-000009030000}"/>
    <cellStyle name="40% - 강조색1 2 3 3" xfId="1049" xr:uid="{00000000-0005-0000-0000-00000B030000}"/>
    <cellStyle name="40% - 강조색1 2 3 4" xfId="1050" xr:uid="{00000000-0005-0000-0000-00000C030000}"/>
    <cellStyle name="40% - 강조색1 2 3 4 2" xfId="3896" xr:uid="{00000000-0005-0000-0000-00000C030000}"/>
    <cellStyle name="40% - 강조색1 2 3 5" xfId="3893" xr:uid="{00000000-0005-0000-0000-000008030000}"/>
    <cellStyle name="40% - 강조색1 2 4" xfId="1051" xr:uid="{00000000-0005-0000-0000-00000D030000}"/>
    <cellStyle name="40% - 강조색1 2 4 2" xfId="1052" xr:uid="{00000000-0005-0000-0000-00000E030000}"/>
    <cellStyle name="40% - 강조색1 2 4 2 2" xfId="3898" xr:uid="{00000000-0005-0000-0000-00000E030000}"/>
    <cellStyle name="40% - 강조색1 2 4 3" xfId="3897" xr:uid="{00000000-0005-0000-0000-00000D030000}"/>
    <cellStyle name="40% - 강조색1 2 5" xfId="1053" xr:uid="{00000000-0005-0000-0000-00000F030000}"/>
    <cellStyle name="40% - 강조색1 2 6" xfId="1054" xr:uid="{00000000-0005-0000-0000-000010030000}"/>
    <cellStyle name="40% - 강조색1 2 6 2" xfId="3899" xr:uid="{00000000-0005-0000-0000-000010030000}"/>
    <cellStyle name="40% - 강조색1 2 7" xfId="3884" xr:uid="{00000000-0005-0000-0000-0000FD020000}"/>
    <cellStyle name="40% - 강조색1 3" xfId="1055" xr:uid="{00000000-0005-0000-0000-000011030000}"/>
    <cellStyle name="40% - 강조색1 3 2" xfId="1056" xr:uid="{00000000-0005-0000-0000-000012030000}"/>
    <cellStyle name="40% - 강조색1 3 2 2" xfId="1057" xr:uid="{00000000-0005-0000-0000-000013030000}"/>
    <cellStyle name="40% - 강조색1 3 2 2 2" xfId="1058" xr:uid="{00000000-0005-0000-0000-000014030000}"/>
    <cellStyle name="40% - 강조색1 3 2 2 2 2" xfId="3903" xr:uid="{00000000-0005-0000-0000-000014030000}"/>
    <cellStyle name="40% - 강조색1 3 2 2 3" xfId="3902" xr:uid="{00000000-0005-0000-0000-000013030000}"/>
    <cellStyle name="40% - 강조색1 3 2 3" xfId="1059" xr:uid="{00000000-0005-0000-0000-000015030000}"/>
    <cellStyle name="40% - 강조색1 3 2 4" xfId="1060" xr:uid="{00000000-0005-0000-0000-000016030000}"/>
    <cellStyle name="40% - 강조색1 3 2 4 2" xfId="3904" xr:uid="{00000000-0005-0000-0000-000016030000}"/>
    <cellStyle name="40% - 강조색1 3 2 5" xfId="3901" xr:uid="{00000000-0005-0000-0000-000012030000}"/>
    <cellStyle name="40% - 강조색1 3 3" xfId="1061" xr:uid="{00000000-0005-0000-0000-000017030000}"/>
    <cellStyle name="40% - 강조색1 3 3 2" xfId="1062" xr:uid="{00000000-0005-0000-0000-000018030000}"/>
    <cellStyle name="40% - 강조색1 3 3 2 2" xfId="3906" xr:uid="{00000000-0005-0000-0000-000018030000}"/>
    <cellStyle name="40% - 강조색1 3 3 3" xfId="3905" xr:uid="{00000000-0005-0000-0000-000017030000}"/>
    <cellStyle name="40% - 강조색1 3 4" xfId="1063" xr:uid="{00000000-0005-0000-0000-000019030000}"/>
    <cellStyle name="40% - 강조색1 3 5" xfId="1064" xr:uid="{00000000-0005-0000-0000-00001A030000}"/>
    <cellStyle name="40% - 강조색1 3 5 2" xfId="3907" xr:uid="{00000000-0005-0000-0000-00001A030000}"/>
    <cellStyle name="40% - 강조색1 3 6" xfId="3900" xr:uid="{00000000-0005-0000-0000-000011030000}"/>
    <cellStyle name="40% - 강조색1 4" xfId="1065" xr:uid="{00000000-0005-0000-0000-00001B030000}"/>
    <cellStyle name="40% - 강조색1 4 2" xfId="1066" xr:uid="{00000000-0005-0000-0000-00001C030000}"/>
    <cellStyle name="40% - 강조색1 4 2 2" xfId="1067" xr:uid="{00000000-0005-0000-0000-00001D030000}"/>
    <cellStyle name="40% - 강조색1 4 2 2 2" xfId="3910" xr:uid="{00000000-0005-0000-0000-00001D030000}"/>
    <cellStyle name="40% - 강조색1 4 2 3" xfId="3909" xr:uid="{00000000-0005-0000-0000-00001C030000}"/>
    <cellStyle name="40% - 강조색1 4 3" xfId="1068" xr:uid="{00000000-0005-0000-0000-00001E030000}"/>
    <cellStyle name="40% - 강조색1 4 4" xfId="1069" xr:uid="{00000000-0005-0000-0000-00001F030000}"/>
    <cellStyle name="40% - 강조색1 4 4 2" xfId="3911" xr:uid="{00000000-0005-0000-0000-00001F030000}"/>
    <cellStyle name="40% - 강조색1 4 5" xfId="3908" xr:uid="{00000000-0005-0000-0000-00001B030000}"/>
    <cellStyle name="40% - 강조색1 5" xfId="1070" xr:uid="{00000000-0005-0000-0000-000020030000}"/>
    <cellStyle name="40% - 강조색1 5 2" xfId="1071" xr:uid="{00000000-0005-0000-0000-000021030000}"/>
    <cellStyle name="40% - 강조색1 5 2 2" xfId="3913" xr:uid="{00000000-0005-0000-0000-000021030000}"/>
    <cellStyle name="40% - 강조색1 5 3" xfId="3912" xr:uid="{00000000-0005-0000-0000-000020030000}"/>
    <cellStyle name="40% - 강조색1 6" xfId="1072" xr:uid="{00000000-0005-0000-0000-000022030000}"/>
    <cellStyle name="40% - 강조색1 6 2" xfId="3914" xr:uid="{00000000-0005-0000-0000-000022030000}"/>
    <cellStyle name="40% - 강조색2 2" xfId="1073" xr:uid="{00000000-0005-0000-0000-000023030000}"/>
    <cellStyle name="40% - 강조색2 2 2" xfId="1074" xr:uid="{00000000-0005-0000-0000-000024030000}"/>
    <cellStyle name="40% - 강조색2 2 2 2" xfId="1075" xr:uid="{00000000-0005-0000-0000-000025030000}"/>
    <cellStyle name="40% - 강조색2 2 2 2 2" xfId="1076" xr:uid="{00000000-0005-0000-0000-000026030000}"/>
    <cellStyle name="40% - 강조색2 2 2 2 2 2" xfId="1077" xr:uid="{00000000-0005-0000-0000-000027030000}"/>
    <cellStyle name="40% - 강조색2 2 2 2 2 2 2" xfId="3919" xr:uid="{00000000-0005-0000-0000-000027030000}"/>
    <cellStyle name="40% - 강조색2 2 2 2 2 3" xfId="3918" xr:uid="{00000000-0005-0000-0000-000026030000}"/>
    <cellStyle name="40% - 강조색2 2 2 2 3" xfId="1078" xr:uid="{00000000-0005-0000-0000-000028030000}"/>
    <cellStyle name="40% - 강조색2 2 2 2 4" xfId="1079" xr:uid="{00000000-0005-0000-0000-000029030000}"/>
    <cellStyle name="40% - 강조색2 2 2 2 4 2" xfId="3920" xr:uid="{00000000-0005-0000-0000-000029030000}"/>
    <cellStyle name="40% - 강조색2 2 2 2 5" xfId="3917" xr:uid="{00000000-0005-0000-0000-000025030000}"/>
    <cellStyle name="40% - 강조색2 2 2 3" xfId="1080" xr:uid="{00000000-0005-0000-0000-00002A030000}"/>
    <cellStyle name="40% - 강조색2 2 2 3 2" xfId="1081" xr:uid="{00000000-0005-0000-0000-00002B030000}"/>
    <cellStyle name="40% - 강조색2 2 2 3 2 2" xfId="3922" xr:uid="{00000000-0005-0000-0000-00002B030000}"/>
    <cellStyle name="40% - 강조색2 2 2 3 3" xfId="3921" xr:uid="{00000000-0005-0000-0000-00002A030000}"/>
    <cellStyle name="40% - 강조색2 2 2 4" xfId="1082" xr:uid="{00000000-0005-0000-0000-00002C030000}"/>
    <cellStyle name="40% - 강조색2 2 2 5" xfId="1083" xr:uid="{00000000-0005-0000-0000-00002D030000}"/>
    <cellStyle name="40% - 강조색2 2 2 5 2" xfId="3923" xr:uid="{00000000-0005-0000-0000-00002D030000}"/>
    <cellStyle name="40% - 강조색2 2 2 6" xfId="3916" xr:uid="{00000000-0005-0000-0000-000024030000}"/>
    <cellStyle name="40% - 강조색2 2 3" xfId="1084" xr:uid="{00000000-0005-0000-0000-00002E030000}"/>
    <cellStyle name="40% - 강조색2 2 3 2" xfId="1085" xr:uid="{00000000-0005-0000-0000-00002F030000}"/>
    <cellStyle name="40% - 강조색2 2 3 2 2" xfId="1086" xr:uid="{00000000-0005-0000-0000-000030030000}"/>
    <cellStyle name="40% - 강조색2 2 3 2 2 2" xfId="3926" xr:uid="{00000000-0005-0000-0000-000030030000}"/>
    <cellStyle name="40% - 강조색2 2 3 2 3" xfId="3925" xr:uid="{00000000-0005-0000-0000-00002F030000}"/>
    <cellStyle name="40% - 강조색2 2 3 3" xfId="1087" xr:uid="{00000000-0005-0000-0000-000031030000}"/>
    <cellStyle name="40% - 강조색2 2 3 4" xfId="1088" xr:uid="{00000000-0005-0000-0000-000032030000}"/>
    <cellStyle name="40% - 강조색2 2 3 4 2" xfId="3927" xr:uid="{00000000-0005-0000-0000-000032030000}"/>
    <cellStyle name="40% - 강조색2 2 3 5" xfId="3924" xr:uid="{00000000-0005-0000-0000-00002E030000}"/>
    <cellStyle name="40% - 강조색2 2 4" xfId="1089" xr:uid="{00000000-0005-0000-0000-000033030000}"/>
    <cellStyle name="40% - 강조색2 2 4 2" xfId="1090" xr:uid="{00000000-0005-0000-0000-000034030000}"/>
    <cellStyle name="40% - 강조색2 2 4 2 2" xfId="3929" xr:uid="{00000000-0005-0000-0000-000034030000}"/>
    <cellStyle name="40% - 강조색2 2 4 3" xfId="3928" xr:uid="{00000000-0005-0000-0000-000033030000}"/>
    <cellStyle name="40% - 강조색2 2 5" xfId="1091" xr:uid="{00000000-0005-0000-0000-000035030000}"/>
    <cellStyle name="40% - 강조색2 2 6" xfId="1092" xr:uid="{00000000-0005-0000-0000-000036030000}"/>
    <cellStyle name="40% - 강조색2 2 6 2" xfId="3930" xr:uid="{00000000-0005-0000-0000-000036030000}"/>
    <cellStyle name="40% - 강조색2 2 7" xfId="3915" xr:uid="{00000000-0005-0000-0000-000023030000}"/>
    <cellStyle name="40% - 강조색2 3" xfId="1093" xr:uid="{00000000-0005-0000-0000-000037030000}"/>
    <cellStyle name="40% - 강조색2 3 2" xfId="1094" xr:uid="{00000000-0005-0000-0000-000038030000}"/>
    <cellStyle name="40% - 강조색2 3 2 2" xfId="1095" xr:uid="{00000000-0005-0000-0000-000039030000}"/>
    <cellStyle name="40% - 강조색2 3 2 2 2" xfId="1096" xr:uid="{00000000-0005-0000-0000-00003A030000}"/>
    <cellStyle name="40% - 강조색2 3 2 2 2 2" xfId="3934" xr:uid="{00000000-0005-0000-0000-00003A030000}"/>
    <cellStyle name="40% - 강조색2 3 2 2 3" xfId="3933" xr:uid="{00000000-0005-0000-0000-000039030000}"/>
    <cellStyle name="40% - 강조색2 3 2 3" xfId="1097" xr:uid="{00000000-0005-0000-0000-00003B030000}"/>
    <cellStyle name="40% - 강조색2 3 2 4" xfId="1098" xr:uid="{00000000-0005-0000-0000-00003C030000}"/>
    <cellStyle name="40% - 강조색2 3 2 4 2" xfId="3935" xr:uid="{00000000-0005-0000-0000-00003C030000}"/>
    <cellStyle name="40% - 강조색2 3 2 5" xfId="3932" xr:uid="{00000000-0005-0000-0000-000038030000}"/>
    <cellStyle name="40% - 강조색2 3 3" xfId="1099" xr:uid="{00000000-0005-0000-0000-00003D030000}"/>
    <cellStyle name="40% - 강조색2 3 3 2" xfId="1100" xr:uid="{00000000-0005-0000-0000-00003E030000}"/>
    <cellStyle name="40% - 강조색2 3 3 2 2" xfId="3937" xr:uid="{00000000-0005-0000-0000-00003E030000}"/>
    <cellStyle name="40% - 강조색2 3 3 3" xfId="3936" xr:uid="{00000000-0005-0000-0000-00003D030000}"/>
    <cellStyle name="40% - 강조색2 3 4" xfId="1101" xr:uid="{00000000-0005-0000-0000-00003F030000}"/>
    <cellStyle name="40% - 강조색2 3 5" xfId="1102" xr:uid="{00000000-0005-0000-0000-000040030000}"/>
    <cellStyle name="40% - 강조색2 3 5 2" xfId="3938" xr:uid="{00000000-0005-0000-0000-000040030000}"/>
    <cellStyle name="40% - 강조색2 3 6" xfId="3931" xr:uid="{00000000-0005-0000-0000-000037030000}"/>
    <cellStyle name="40% - 강조색2 4" xfId="1103" xr:uid="{00000000-0005-0000-0000-000041030000}"/>
    <cellStyle name="40% - 강조색2 4 2" xfId="1104" xr:uid="{00000000-0005-0000-0000-000042030000}"/>
    <cellStyle name="40% - 강조색2 4 2 2" xfId="1105" xr:uid="{00000000-0005-0000-0000-000043030000}"/>
    <cellStyle name="40% - 강조색2 4 2 2 2" xfId="3941" xr:uid="{00000000-0005-0000-0000-000043030000}"/>
    <cellStyle name="40% - 강조색2 4 2 3" xfId="3940" xr:uid="{00000000-0005-0000-0000-000042030000}"/>
    <cellStyle name="40% - 강조색2 4 3" xfId="1106" xr:uid="{00000000-0005-0000-0000-000044030000}"/>
    <cellStyle name="40% - 강조색2 4 4" xfId="1107" xr:uid="{00000000-0005-0000-0000-000045030000}"/>
    <cellStyle name="40% - 강조색2 4 4 2" xfId="3942" xr:uid="{00000000-0005-0000-0000-000045030000}"/>
    <cellStyle name="40% - 강조색2 4 5" xfId="3939" xr:uid="{00000000-0005-0000-0000-000041030000}"/>
    <cellStyle name="40% - 강조색2 5" xfId="1108" xr:uid="{00000000-0005-0000-0000-000046030000}"/>
    <cellStyle name="40% - 강조색2 5 2" xfId="1109" xr:uid="{00000000-0005-0000-0000-000047030000}"/>
    <cellStyle name="40% - 강조색2 5 2 2" xfId="3944" xr:uid="{00000000-0005-0000-0000-000047030000}"/>
    <cellStyle name="40% - 강조색2 5 3" xfId="3943" xr:uid="{00000000-0005-0000-0000-000046030000}"/>
    <cellStyle name="40% - 강조색2 6" xfId="1110" xr:uid="{00000000-0005-0000-0000-000048030000}"/>
    <cellStyle name="40% - 강조색2 6 2" xfId="3945" xr:uid="{00000000-0005-0000-0000-000048030000}"/>
    <cellStyle name="40% - 강조색3 2" xfId="1111" xr:uid="{00000000-0005-0000-0000-000049030000}"/>
    <cellStyle name="40% - 강조색3 2 2" xfId="1112" xr:uid="{00000000-0005-0000-0000-00004A030000}"/>
    <cellStyle name="40% - 강조색3 2 2 2" xfId="1113" xr:uid="{00000000-0005-0000-0000-00004B030000}"/>
    <cellStyle name="40% - 강조색3 2 2 2 2" xfId="1114" xr:uid="{00000000-0005-0000-0000-00004C030000}"/>
    <cellStyle name="40% - 강조색3 2 2 2 2 2" xfId="1115" xr:uid="{00000000-0005-0000-0000-00004D030000}"/>
    <cellStyle name="40% - 강조색3 2 2 2 2 2 2" xfId="3950" xr:uid="{00000000-0005-0000-0000-00004D030000}"/>
    <cellStyle name="40% - 강조색3 2 2 2 2 3" xfId="3949" xr:uid="{00000000-0005-0000-0000-00004C030000}"/>
    <cellStyle name="40% - 강조색3 2 2 2 3" xfId="1116" xr:uid="{00000000-0005-0000-0000-00004E030000}"/>
    <cellStyle name="40% - 강조색3 2 2 2 4" xfId="1117" xr:uid="{00000000-0005-0000-0000-00004F030000}"/>
    <cellStyle name="40% - 강조색3 2 2 2 4 2" xfId="3951" xr:uid="{00000000-0005-0000-0000-00004F030000}"/>
    <cellStyle name="40% - 강조색3 2 2 2 5" xfId="3948" xr:uid="{00000000-0005-0000-0000-00004B030000}"/>
    <cellStyle name="40% - 강조색3 2 2 3" xfId="1118" xr:uid="{00000000-0005-0000-0000-000050030000}"/>
    <cellStyle name="40% - 강조색3 2 2 3 2" xfId="1119" xr:uid="{00000000-0005-0000-0000-000051030000}"/>
    <cellStyle name="40% - 강조색3 2 2 3 2 2" xfId="3953" xr:uid="{00000000-0005-0000-0000-000051030000}"/>
    <cellStyle name="40% - 강조색3 2 2 3 3" xfId="3952" xr:uid="{00000000-0005-0000-0000-000050030000}"/>
    <cellStyle name="40% - 강조색3 2 2 4" xfId="1120" xr:uid="{00000000-0005-0000-0000-000052030000}"/>
    <cellStyle name="40% - 강조색3 2 2 5" xfId="1121" xr:uid="{00000000-0005-0000-0000-000053030000}"/>
    <cellStyle name="40% - 강조색3 2 2 5 2" xfId="3954" xr:uid="{00000000-0005-0000-0000-000053030000}"/>
    <cellStyle name="40% - 강조색3 2 2 6" xfId="3947" xr:uid="{00000000-0005-0000-0000-00004A030000}"/>
    <cellStyle name="40% - 강조색3 2 3" xfId="1122" xr:uid="{00000000-0005-0000-0000-000054030000}"/>
    <cellStyle name="40% - 강조색3 2 3 2" xfId="1123" xr:uid="{00000000-0005-0000-0000-000055030000}"/>
    <cellStyle name="40% - 강조색3 2 3 2 2" xfId="1124" xr:uid="{00000000-0005-0000-0000-000056030000}"/>
    <cellStyle name="40% - 강조색3 2 3 2 2 2" xfId="3957" xr:uid="{00000000-0005-0000-0000-000056030000}"/>
    <cellStyle name="40% - 강조색3 2 3 2 3" xfId="3956" xr:uid="{00000000-0005-0000-0000-000055030000}"/>
    <cellStyle name="40% - 강조색3 2 3 3" xfId="1125" xr:uid="{00000000-0005-0000-0000-000057030000}"/>
    <cellStyle name="40% - 강조색3 2 3 4" xfId="1126" xr:uid="{00000000-0005-0000-0000-000058030000}"/>
    <cellStyle name="40% - 강조색3 2 3 4 2" xfId="3958" xr:uid="{00000000-0005-0000-0000-000058030000}"/>
    <cellStyle name="40% - 강조색3 2 3 5" xfId="3955" xr:uid="{00000000-0005-0000-0000-000054030000}"/>
    <cellStyle name="40% - 강조색3 2 4" xfId="1127" xr:uid="{00000000-0005-0000-0000-000059030000}"/>
    <cellStyle name="40% - 강조색3 2 4 2" xfId="1128" xr:uid="{00000000-0005-0000-0000-00005A030000}"/>
    <cellStyle name="40% - 강조색3 2 4 2 2" xfId="3960" xr:uid="{00000000-0005-0000-0000-00005A030000}"/>
    <cellStyle name="40% - 강조색3 2 4 3" xfId="3959" xr:uid="{00000000-0005-0000-0000-000059030000}"/>
    <cellStyle name="40% - 강조색3 2 5" xfId="1129" xr:uid="{00000000-0005-0000-0000-00005B030000}"/>
    <cellStyle name="40% - 강조색3 2 6" xfId="1130" xr:uid="{00000000-0005-0000-0000-00005C030000}"/>
    <cellStyle name="40% - 강조색3 2 6 2" xfId="3961" xr:uid="{00000000-0005-0000-0000-00005C030000}"/>
    <cellStyle name="40% - 강조색3 2 7" xfId="3946" xr:uid="{00000000-0005-0000-0000-000049030000}"/>
    <cellStyle name="40% - 강조색3 3" xfId="1131" xr:uid="{00000000-0005-0000-0000-00005D030000}"/>
    <cellStyle name="40% - 강조색3 3 2" xfId="1132" xr:uid="{00000000-0005-0000-0000-00005E030000}"/>
    <cellStyle name="40% - 강조색3 3 2 2" xfId="1133" xr:uid="{00000000-0005-0000-0000-00005F030000}"/>
    <cellStyle name="40% - 강조색3 3 2 2 2" xfId="1134" xr:uid="{00000000-0005-0000-0000-000060030000}"/>
    <cellStyle name="40% - 강조색3 3 2 2 2 2" xfId="3965" xr:uid="{00000000-0005-0000-0000-000060030000}"/>
    <cellStyle name="40% - 강조색3 3 2 2 3" xfId="3964" xr:uid="{00000000-0005-0000-0000-00005F030000}"/>
    <cellStyle name="40% - 강조색3 3 2 3" xfId="1135" xr:uid="{00000000-0005-0000-0000-000061030000}"/>
    <cellStyle name="40% - 강조색3 3 2 4" xfId="1136" xr:uid="{00000000-0005-0000-0000-000062030000}"/>
    <cellStyle name="40% - 강조색3 3 2 4 2" xfId="3966" xr:uid="{00000000-0005-0000-0000-000062030000}"/>
    <cellStyle name="40% - 강조색3 3 2 5" xfId="3963" xr:uid="{00000000-0005-0000-0000-00005E030000}"/>
    <cellStyle name="40% - 강조색3 3 3" xfId="1137" xr:uid="{00000000-0005-0000-0000-000063030000}"/>
    <cellStyle name="40% - 강조색3 3 3 2" xfId="1138" xr:uid="{00000000-0005-0000-0000-000064030000}"/>
    <cellStyle name="40% - 강조색3 3 3 2 2" xfId="3968" xr:uid="{00000000-0005-0000-0000-000064030000}"/>
    <cellStyle name="40% - 강조색3 3 3 3" xfId="3967" xr:uid="{00000000-0005-0000-0000-000063030000}"/>
    <cellStyle name="40% - 강조색3 3 4" xfId="1139" xr:uid="{00000000-0005-0000-0000-000065030000}"/>
    <cellStyle name="40% - 강조색3 3 5" xfId="1140" xr:uid="{00000000-0005-0000-0000-000066030000}"/>
    <cellStyle name="40% - 강조색3 3 5 2" xfId="3969" xr:uid="{00000000-0005-0000-0000-000066030000}"/>
    <cellStyle name="40% - 강조색3 3 6" xfId="3962" xr:uid="{00000000-0005-0000-0000-00005D030000}"/>
    <cellStyle name="40% - 강조색3 4" xfId="1141" xr:uid="{00000000-0005-0000-0000-000067030000}"/>
    <cellStyle name="40% - 강조색3 4 2" xfId="1142" xr:uid="{00000000-0005-0000-0000-000068030000}"/>
    <cellStyle name="40% - 강조색3 4 2 2" xfId="1143" xr:uid="{00000000-0005-0000-0000-000069030000}"/>
    <cellStyle name="40% - 강조색3 4 2 2 2" xfId="3972" xr:uid="{00000000-0005-0000-0000-000069030000}"/>
    <cellStyle name="40% - 강조색3 4 2 3" xfId="3971" xr:uid="{00000000-0005-0000-0000-000068030000}"/>
    <cellStyle name="40% - 강조색3 4 3" xfId="1144" xr:uid="{00000000-0005-0000-0000-00006A030000}"/>
    <cellStyle name="40% - 강조색3 4 4" xfId="1145" xr:uid="{00000000-0005-0000-0000-00006B030000}"/>
    <cellStyle name="40% - 강조색3 4 4 2" xfId="3973" xr:uid="{00000000-0005-0000-0000-00006B030000}"/>
    <cellStyle name="40% - 강조색3 4 5" xfId="3970" xr:uid="{00000000-0005-0000-0000-000067030000}"/>
    <cellStyle name="40% - 강조색3 5" xfId="1146" xr:uid="{00000000-0005-0000-0000-00006C030000}"/>
    <cellStyle name="40% - 강조색3 5 2" xfId="1147" xr:uid="{00000000-0005-0000-0000-00006D030000}"/>
    <cellStyle name="40% - 강조색3 5 2 2" xfId="3975" xr:uid="{00000000-0005-0000-0000-00006D030000}"/>
    <cellStyle name="40% - 강조색3 5 3" xfId="3974" xr:uid="{00000000-0005-0000-0000-00006C030000}"/>
    <cellStyle name="40% - 강조색3 6" xfId="1148" xr:uid="{00000000-0005-0000-0000-00006E030000}"/>
    <cellStyle name="40% - 강조색3 6 2" xfId="3976" xr:uid="{00000000-0005-0000-0000-00006E030000}"/>
    <cellStyle name="40% - 강조색4 2" xfId="1149" xr:uid="{00000000-0005-0000-0000-00006F030000}"/>
    <cellStyle name="40% - 강조색4 2 2" xfId="1150" xr:uid="{00000000-0005-0000-0000-000070030000}"/>
    <cellStyle name="40% - 강조색4 2 2 2" xfId="1151" xr:uid="{00000000-0005-0000-0000-000071030000}"/>
    <cellStyle name="40% - 강조색4 2 2 2 2" xfId="1152" xr:uid="{00000000-0005-0000-0000-000072030000}"/>
    <cellStyle name="40% - 강조색4 2 2 2 2 2" xfId="1153" xr:uid="{00000000-0005-0000-0000-000073030000}"/>
    <cellStyle name="40% - 강조색4 2 2 2 2 2 2" xfId="3981" xr:uid="{00000000-0005-0000-0000-000073030000}"/>
    <cellStyle name="40% - 강조색4 2 2 2 2 3" xfId="3980" xr:uid="{00000000-0005-0000-0000-000072030000}"/>
    <cellStyle name="40% - 강조색4 2 2 2 3" xfId="1154" xr:uid="{00000000-0005-0000-0000-000074030000}"/>
    <cellStyle name="40% - 강조색4 2 2 2 4" xfId="1155" xr:uid="{00000000-0005-0000-0000-000075030000}"/>
    <cellStyle name="40% - 강조색4 2 2 2 4 2" xfId="3982" xr:uid="{00000000-0005-0000-0000-000075030000}"/>
    <cellStyle name="40% - 강조색4 2 2 2 5" xfId="3979" xr:uid="{00000000-0005-0000-0000-000071030000}"/>
    <cellStyle name="40% - 강조색4 2 2 3" xfId="1156" xr:uid="{00000000-0005-0000-0000-000076030000}"/>
    <cellStyle name="40% - 강조색4 2 2 3 2" xfId="1157" xr:uid="{00000000-0005-0000-0000-000077030000}"/>
    <cellStyle name="40% - 강조색4 2 2 3 2 2" xfId="3984" xr:uid="{00000000-0005-0000-0000-000077030000}"/>
    <cellStyle name="40% - 강조색4 2 2 3 3" xfId="3983" xr:uid="{00000000-0005-0000-0000-000076030000}"/>
    <cellStyle name="40% - 강조색4 2 2 4" xfId="1158" xr:uid="{00000000-0005-0000-0000-000078030000}"/>
    <cellStyle name="40% - 강조색4 2 2 5" xfId="1159" xr:uid="{00000000-0005-0000-0000-000079030000}"/>
    <cellStyle name="40% - 강조색4 2 2 5 2" xfId="3985" xr:uid="{00000000-0005-0000-0000-000079030000}"/>
    <cellStyle name="40% - 강조색4 2 2 6" xfId="3978" xr:uid="{00000000-0005-0000-0000-000070030000}"/>
    <cellStyle name="40% - 강조색4 2 3" xfId="1160" xr:uid="{00000000-0005-0000-0000-00007A030000}"/>
    <cellStyle name="40% - 강조색4 2 3 2" xfId="1161" xr:uid="{00000000-0005-0000-0000-00007B030000}"/>
    <cellStyle name="40% - 강조색4 2 3 2 2" xfId="1162" xr:uid="{00000000-0005-0000-0000-00007C030000}"/>
    <cellStyle name="40% - 강조색4 2 3 2 2 2" xfId="3988" xr:uid="{00000000-0005-0000-0000-00007C030000}"/>
    <cellStyle name="40% - 강조색4 2 3 2 3" xfId="3987" xr:uid="{00000000-0005-0000-0000-00007B030000}"/>
    <cellStyle name="40% - 강조색4 2 3 3" xfId="1163" xr:uid="{00000000-0005-0000-0000-00007D030000}"/>
    <cellStyle name="40% - 강조색4 2 3 4" xfId="1164" xr:uid="{00000000-0005-0000-0000-00007E030000}"/>
    <cellStyle name="40% - 강조색4 2 3 4 2" xfId="3989" xr:uid="{00000000-0005-0000-0000-00007E030000}"/>
    <cellStyle name="40% - 강조색4 2 3 5" xfId="3986" xr:uid="{00000000-0005-0000-0000-00007A030000}"/>
    <cellStyle name="40% - 강조색4 2 4" xfId="1165" xr:uid="{00000000-0005-0000-0000-00007F030000}"/>
    <cellStyle name="40% - 강조색4 2 4 2" xfId="1166" xr:uid="{00000000-0005-0000-0000-000080030000}"/>
    <cellStyle name="40% - 강조색4 2 4 2 2" xfId="3991" xr:uid="{00000000-0005-0000-0000-000080030000}"/>
    <cellStyle name="40% - 강조색4 2 4 3" xfId="3990" xr:uid="{00000000-0005-0000-0000-00007F030000}"/>
    <cellStyle name="40% - 강조색4 2 5" xfId="1167" xr:uid="{00000000-0005-0000-0000-000081030000}"/>
    <cellStyle name="40% - 강조색4 2 6" xfId="1168" xr:uid="{00000000-0005-0000-0000-000082030000}"/>
    <cellStyle name="40% - 강조색4 2 6 2" xfId="3992" xr:uid="{00000000-0005-0000-0000-000082030000}"/>
    <cellStyle name="40% - 강조색4 2 7" xfId="3977" xr:uid="{00000000-0005-0000-0000-00006F030000}"/>
    <cellStyle name="40% - 강조색4 3" xfId="1169" xr:uid="{00000000-0005-0000-0000-000083030000}"/>
    <cellStyle name="40% - 강조색4 3 2" xfId="1170" xr:uid="{00000000-0005-0000-0000-000084030000}"/>
    <cellStyle name="40% - 강조색4 3 2 2" xfId="1171" xr:uid="{00000000-0005-0000-0000-000085030000}"/>
    <cellStyle name="40% - 강조색4 3 2 2 2" xfId="1172" xr:uid="{00000000-0005-0000-0000-000086030000}"/>
    <cellStyle name="40% - 강조색4 3 2 2 2 2" xfId="3996" xr:uid="{00000000-0005-0000-0000-000086030000}"/>
    <cellStyle name="40% - 강조색4 3 2 2 3" xfId="3995" xr:uid="{00000000-0005-0000-0000-000085030000}"/>
    <cellStyle name="40% - 강조색4 3 2 3" xfId="1173" xr:uid="{00000000-0005-0000-0000-000087030000}"/>
    <cellStyle name="40% - 강조색4 3 2 4" xfId="1174" xr:uid="{00000000-0005-0000-0000-000088030000}"/>
    <cellStyle name="40% - 강조색4 3 2 4 2" xfId="3997" xr:uid="{00000000-0005-0000-0000-000088030000}"/>
    <cellStyle name="40% - 강조색4 3 2 5" xfId="3994" xr:uid="{00000000-0005-0000-0000-000084030000}"/>
    <cellStyle name="40% - 강조색4 3 3" xfId="1175" xr:uid="{00000000-0005-0000-0000-000089030000}"/>
    <cellStyle name="40% - 강조색4 3 3 2" xfId="1176" xr:uid="{00000000-0005-0000-0000-00008A030000}"/>
    <cellStyle name="40% - 강조색4 3 3 2 2" xfId="3999" xr:uid="{00000000-0005-0000-0000-00008A030000}"/>
    <cellStyle name="40% - 강조색4 3 3 3" xfId="3998" xr:uid="{00000000-0005-0000-0000-000089030000}"/>
    <cellStyle name="40% - 강조색4 3 4" xfId="1177" xr:uid="{00000000-0005-0000-0000-00008B030000}"/>
    <cellStyle name="40% - 강조색4 3 5" xfId="1178" xr:uid="{00000000-0005-0000-0000-00008C030000}"/>
    <cellStyle name="40% - 강조색4 3 5 2" xfId="4000" xr:uid="{00000000-0005-0000-0000-00008C030000}"/>
    <cellStyle name="40% - 강조색4 3 6" xfId="3993" xr:uid="{00000000-0005-0000-0000-000083030000}"/>
    <cellStyle name="40% - 강조색4 4" xfId="1179" xr:uid="{00000000-0005-0000-0000-00008D030000}"/>
    <cellStyle name="40% - 강조색4 4 2" xfId="1180" xr:uid="{00000000-0005-0000-0000-00008E030000}"/>
    <cellStyle name="40% - 강조색4 4 2 2" xfId="1181" xr:uid="{00000000-0005-0000-0000-00008F030000}"/>
    <cellStyle name="40% - 강조색4 4 2 2 2" xfId="4003" xr:uid="{00000000-0005-0000-0000-00008F030000}"/>
    <cellStyle name="40% - 강조색4 4 2 3" xfId="4002" xr:uid="{00000000-0005-0000-0000-00008E030000}"/>
    <cellStyle name="40% - 강조색4 4 3" xfId="1182" xr:uid="{00000000-0005-0000-0000-000090030000}"/>
    <cellStyle name="40% - 강조색4 4 4" xfId="1183" xr:uid="{00000000-0005-0000-0000-000091030000}"/>
    <cellStyle name="40% - 강조색4 4 4 2" xfId="4004" xr:uid="{00000000-0005-0000-0000-000091030000}"/>
    <cellStyle name="40% - 강조색4 4 5" xfId="4001" xr:uid="{00000000-0005-0000-0000-00008D030000}"/>
    <cellStyle name="40% - 강조색4 5" xfId="1184" xr:uid="{00000000-0005-0000-0000-000092030000}"/>
    <cellStyle name="40% - 강조색4 5 2" xfId="1185" xr:uid="{00000000-0005-0000-0000-000093030000}"/>
    <cellStyle name="40% - 강조색4 5 2 2" xfId="4006" xr:uid="{00000000-0005-0000-0000-000093030000}"/>
    <cellStyle name="40% - 강조색4 5 3" xfId="4005" xr:uid="{00000000-0005-0000-0000-000092030000}"/>
    <cellStyle name="40% - 강조색4 6" xfId="1186" xr:uid="{00000000-0005-0000-0000-000094030000}"/>
    <cellStyle name="40% - 강조색4 6 2" xfId="4007" xr:uid="{00000000-0005-0000-0000-000094030000}"/>
    <cellStyle name="40% - 강조색5 2" xfId="1187" xr:uid="{00000000-0005-0000-0000-000095030000}"/>
    <cellStyle name="40% - 강조색5 2 2" xfId="1188" xr:uid="{00000000-0005-0000-0000-000096030000}"/>
    <cellStyle name="40% - 강조색5 2 2 2" xfId="1189" xr:uid="{00000000-0005-0000-0000-000097030000}"/>
    <cellStyle name="40% - 강조색5 2 2 2 2" xfId="1190" xr:uid="{00000000-0005-0000-0000-000098030000}"/>
    <cellStyle name="40% - 강조색5 2 2 2 2 2" xfId="1191" xr:uid="{00000000-0005-0000-0000-000099030000}"/>
    <cellStyle name="40% - 강조색5 2 2 2 2 2 2" xfId="4012" xr:uid="{00000000-0005-0000-0000-000099030000}"/>
    <cellStyle name="40% - 강조색5 2 2 2 2 3" xfId="4011" xr:uid="{00000000-0005-0000-0000-000098030000}"/>
    <cellStyle name="40% - 강조색5 2 2 2 3" xfId="1192" xr:uid="{00000000-0005-0000-0000-00009A030000}"/>
    <cellStyle name="40% - 강조색5 2 2 2 4" xfId="1193" xr:uid="{00000000-0005-0000-0000-00009B030000}"/>
    <cellStyle name="40% - 강조색5 2 2 2 4 2" xfId="4013" xr:uid="{00000000-0005-0000-0000-00009B030000}"/>
    <cellStyle name="40% - 강조색5 2 2 2 5" xfId="4010" xr:uid="{00000000-0005-0000-0000-000097030000}"/>
    <cellStyle name="40% - 강조색5 2 2 3" xfId="1194" xr:uid="{00000000-0005-0000-0000-00009C030000}"/>
    <cellStyle name="40% - 강조색5 2 2 3 2" xfId="1195" xr:uid="{00000000-0005-0000-0000-00009D030000}"/>
    <cellStyle name="40% - 강조색5 2 2 3 2 2" xfId="4015" xr:uid="{00000000-0005-0000-0000-00009D030000}"/>
    <cellStyle name="40% - 강조색5 2 2 3 3" xfId="4014" xr:uid="{00000000-0005-0000-0000-00009C030000}"/>
    <cellStyle name="40% - 강조색5 2 2 4" xfId="1196" xr:uid="{00000000-0005-0000-0000-00009E030000}"/>
    <cellStyle name="40% - 강조색5 2 2 5" xfId="1197" xr:uid="{00000000-0005-0000-0000-00009F030000}"/>
    <cellStyle name="40% - 강조색5 2 2 5 2" xfId="4016" xr:uid="{00000000-0005-0000-0000-00009F030000}"/>
    <cellStyle name="40% - 강조색5 2 2 6" xfId="4009" xr:uid="{00000000-0005-0000-0000-000096030000}"/>
    <cellStyle name="40% - 강조색5 2 3" xfId="1198" xr:uid="{00000000-0005-0000-0000-0000A0030000}"/>
    <cellStyle name="40% - 강조색5 2 3 2" xfId="1199" xr:uid="{00000000-0005-0000-0000-0000A1030000}"/>
    <cellStyle name="40% - 강조색5 2 3 2 2" xfId="1200" xr:uid="{00000000-0005-0000-0000-0000A2030000}"/>
    <cellStyle name="40% - 강조색5 2 3 2 2 2" xfId="4019" xr:uid="{00000000-0005-0000-0000-0000A2030000}"/>
    <cellStyle name="40% - 강조색5 2 3 2 3" xfId="4018" xr:uid="{00000000-0005-0000-0000-0000A1030000}"/>
    <cellStyle name="40% - 강조색5 2 3 3" xfId="1201" xr:uid="{00000000-0005-0000-0000-0000A3030000}"/>
    <cellStyle name="40% - 강조색5 2 3 4" xfId="1202" xr:uid="{00000000-0005-0000-0000-0000A4030000}"/>
    <cellStyle name="40% - 강조색5 2 3 4 2" xfId="4020" xr:uid="{00000000-0005-0000-0000-0000A4030000}"/>
    <cellStyle name="40% - 강조색5 2 3 5" xfId="4017" xr:uid="{00000000-0005-0000-0000-0000A0030000}"/>
    <cellStyle name="40% - 강조색5 2 4" xfId="1203" xr:uid="{00000000-0005-0000-0000-0000A5030000}"/>
    <cellStyle name="40% - 강조색5 2 4 2" xfId="1204" xr:uid="{00000000-0005-0000-0000-0000A6030000}"/>
    <cellStyle name="40% - 강조색5 2 4 2 2" xfId="4022" xr:uid="{00000000-0005-0000-0000-0000A6030000}"/>
    <cellStyle name="40% - 강조색5 2 4 3" xfId="4021" xr:uid="{00000000-0005-0000-0000-0000A5030000}"/>
    <cellStyle name="40% - 강조색5 2 5" xfId="1205" xr:uid="{00000000-0005-0000-0000-0000A7030000}"/>
    <cellStyle name="40% - 강조색5 2 6" xfId="1206" xr:uid="{00000000-0005-0000-0000-0000A8030000}"/>
    <cellStyle name="40% - 강조색5 2 6 2" xfId="4023" xr:uid="{00000000-0005-0000-0000-0000A8030000}"/>
    <cellStyle name="40% - 강조색5 2 7" xfId="4008" xr:uid="{00000000-0005-0000-0000-000095030000}"/>
    <cellStyle name="40% - 강조색5 3" xfId="1207" xr:uid="{00000000-0005-0000-0000-0000A9030000}"/>
    <cellStyle name="40% - 강조색5 3 2" xfId="1208" xr:uid="{00000000-0005-0000-0000-0000AA030000}"/>
    <cellStyle name="40% - 강조색5 3 2 2" xfId="1209" xr:uid="{00000000-0005-0000-0000-0000AB030000}"/>
    <cellStyle name="40% - 강조색5 3 2 2 2" xfId="1210" xr:uid="{00000000-0005-0000-0000-0000AC030000}"/>
    <cellStyle name="40% - 강조색5 3 2 2 2 2" xfId="4027" xr:uid="{00000000-0005-0000-0000-0000AC030000}"/>
    <cellStyle name="40% - 강조색5 3 2 2 3" xfId="4026" xr:uid="{00000000-0005-0000-0000-0000AB030000}"/>
    <cellStyle name="40% - 강조색5 3 2 3" xfId="1211" xr:uid="{00000000-0005-0000-0000-0000AD030000}"/>
    <cellStyle name="40% - 강조색5 3 2 4" xfId="1212" xr:uid="{00000000-0005-0000-0000-0000AE030000}"/>
    <cellStyle name="40% - 강조색5 3 2 4 2" xfId="4028" xr:uid="{00000000-0005-0000-0000-0000AE030000}"/>
    <cellStyle name="40% - 강조색5 3 2 5" xfId="4025" xr:uid="{00000000-0005-0000-0000-0000AA030000}"/>
    <cellStyle name="40% - 강조색5 3 3" xfId="1213" xr:uid="{00000000-0005-0000-0000-0000AF030000}"/>
    <cellStyle name="40% - 강조색5 3 3 2" xfId="1214" xr:uid="{00000000-0005-0000-0000-0000B0030000}"/>
    <cellStyle name="40% - 강조색5 3 3 2 2" xfId="4030" xr:uid="{00000000-0005-0000-0000-0000B0030000}"/>
    <cellStyle name="40% - 강조색5 3 3 3" xfId="4029" xr:uid="{00000000-0005-0000-0000-0000AF030000}"/>
    <cellStyle name="40% - 강조색5 3 4" xfId="1215" xr:uid="{00000000-0005-0000-0000-0000B1030000}"/>
    <cellStyle name="40% - 강조색5 3 5" xfId="1216" xr:uid="{00000000-0005-0000-0000-0000B2030000}"/>
    <cellStyle name="40% - 강조색5 3 5 2" xfId="4031" xr:uid="{00000000-0005-0000-0000-0000B2030000}"/>
    <cellStyle name="40% - 강조색5 3 6" xfId="4024" xr:uid="{00000000-0005-0000-0000-0000A9030000}"/>
    <cellStyle name="40% - 강조색5 4" xfId="1217" xr:uid="{00000000-0005-0000-0000-0000B3030000}"/>
    <cellStyle name="40% - 강조색5 4 2" xfId="1218" xr:uid="{00000000-0005-0000-0000-0000B4030000}"/>
    <cellStyle name="40% - 강조색5 4 2 2" xfId="1219" xr:uid="{00000000-0005-0000-0000-0000B5030000}"/>
    <cellStyle name="40% - 강조색5 4 2 2 2" xfId="4034" xr:uid="{00000000-0005-0000-0000-0000B5030000}"/>
    <cellStyle name="40% - 강조색5 4 2 3" xfId="4033" xr:uid="{00000000-0005-0000-0000-0000B4030000}"/>
    <cellStyle name="40% - 강조색5 4 3" xfId="1220" xr:uid="{00000000-0005-0000-0000-0000B6030000}"/>
    <cellStyle name="40% - 강조색5 4 4" xfId="1221" xr:uid="{00000000-0005-0000-0000-0000B7030000}"/>
    <cellStyle name="40% - 강조색5 4 4 2" xfId="4035" xr:uid="{00000000-0005-0000-0000-0000B7030000}"/>
    <cellStyle name="40% - 강조색5 4 5" xfId="4032" xr:uid="{00000000-0005-0000-0000-0000B3030000}"/>
    <cellStyle name="40% - 강조색5 5" xfId="1222" xr:uid="{00000000-0005-0000-0000-0000B8030000}"/>
    <cellStyle name="40% - 강조색5 5 2" xfId="1223" xr:uid="{00000000-0005-0000-0000-0000B9030000}"/>
    <cellStyle name="40% - 강조색5 5 2 2" xfId="4037" xr:uid="{00000000-0005-0000-0000-0000B9030000}"/>
    <cellStyle name="40% - 강조색5 5 3" xfId="4036" xr:uid="{00000000-0005-0000-0000-0000B8030000}"/>
    <cellStyle name="40% - 강조색5 6" xfId="1224" xr:uid="{00000000-0005-0000-0000-0000BA030000}"/>
    <cellStyle name="40% - 강조색5 6 2" xfId="4038" xr:uid="{00000000-0005-0000-0000-0000BA030000}"/>
    <cellStyle name="40% - 강조색6 2" xfId="1225" xr:uid="{00000000-0005-0000-0000-0000BB030000}"/>
    <cellStyle name="40% - 강조색6 2 2" xfId="1226" xr:uid="{00000000-0005-0000-0000-0000BC030000}"/>
    <cellStyle name="40% - 강조색6 2 2 2" xfId="1227" xr:uid="{00000000-0005-0000-0000-0000BD030000}"/>
    <cellStyle name="40% - 강조색6 2 2 2 2" xfId="1228" xr:uid="{00000000-0005-0000-0000-0000BE030000}"/>
    <cellStyle name="40% - 강조색6 2 2 2 2 2" xfId="1229" xr:uid="{00000000-0005-0000-0000-0000BF030000}"/>
    <cellStyle name="40% - 강조색6 2 2 2 2 2 2" xfId="4043" xr:uid="{00000000-0005-0000-0000-0000BF030000}"/>
    <cellStyle name="40% - 강조색6 2 2 2 2 3" xfId="4042" xr:uid="{00000000-0005-0000-0000-0000BE030000}"/>
    <cellStyle name="40% - 강조색6 2 2 2 3" xfId="1230" xr:uid="{00000000-0005-0000-0000-0000C0030000}"/>
    <cellStyle name="40% - 강조색6 2 2 2 4" xfId="1231" xr:uid="{00000000-0005-0000-0000-0000C1030000}"/>
    <cellStyle name="40% - 강조색6 2 2 2 4 2" xfId="4044" xr:uid="{00000000-0005-0000-0000-0000C1030000}"/>
    <cellStyle name="40% - 강조색6 2 2 2 5" xfId="4041" xr:uid="{00000000-0005-0000-0000-0000BD030000}"/>
    <cellStyle name="40% - 강조색6 2 2 3" xfId="1232" xr:uid="{00000000-0005-0000-0000-0000C2030000}"/>
    <cellStyle name="40% - 강조색6 2 2 3 2" xfId="1233" xr:uid="{00000000-0005-0000-0000-0000C3030000}"/>
    <cellStyle name="40% - 강조색6 2 2 3 2 2" xfId="4046" xr:uid="{00000000-0005-0000-0000-0000C3030000}"/>
    <cellStyle name="40% - 강조색6 2 2 3 3" xfId="4045" xr:uid="{00000000-0005-0000-0000-0000C2030000}"/>
    <cellStyle name="40% - 강조색6 2 2 4" xfId="1234" xr:uid="{00000000-0005-0000-0000-0000C4030000}"/>
    <cellStyle name="40% - 강조색6 2 2 5" xfId="1235" xr:uid="{00000000-0005-0000-0000-0000C5030000}"/>
    <cellStyle name="40% - 강조색6 2 2 5 2" xfId="4047" xr:uid="{00000000-0005-0000-0000-0000C5030000}"/>
    <cellStyle name="40% - 강조색6 2 2 6" xfId="4040" xr:uid="{00000000-0005-0000-0000-0000BC030000}"/>
    <cellStyle name="40% - 강조색6 2 3" xfId="1236" xr:uid="{00000000-0005-0000-0000-0000C6030000}"/>
    <cellStyle name="40% - 강조색6 2 3 2" xfId="1237" xr:uid="{00000000-0005-0000-0000-0000C7030000}"/>
    <cellStyle name="40% - 강조색6 2 3 2 2" xfId="1238" xr:uid="{00000000-0005-0000-0000-0000C8030000}"/>
    <cellStyle name="40% - 강조색6 2 3 2 2 2" xfId="4050" xr:uid="{00000000-0005-0000-0000-0000C8030000}"/>
    <cellStyle name="40% - 강조색6 2 3 2 3" xfId="4049" xr:uid="{00000000-0005-0000-0000-0000C7030000}"/>
    <cellStyle name="40% - 강조색6 2 3 3" xfId="1239" xr:uid="{00000000-0005-0000-0000-0000C9030000}"/>
    <cellStyle name="40% - 강조색6 2 3 4" xfId="1240" xr:uid="{00000000-0005-0000-0000-0000CA030000}"/>
    <cellStyle name="40% - 강조색6 2 3 4 2" xfId="4051" xr:uid="{00000000-0005-0000-0000-0000CA030000}"/>
    <cellStyle name="40% - 강조색6 2 3 5" xfId="4048" xr:uid="{00000000-0005-0000-0000-0000C6030000}"/>
    <cellStyle name="40% - 강조색6 2 4" xfId="1241" xr:uid="{00000000-0005-0000-0000-0000CB030000}"/>
    <cellStyle name="40% - 강조색6 2 4 2" xfId="1242" xr:uid="{00000000-0005-0000-0000-0000CC030000}"/>
    <cellStyle name="40% - 강조색6 2 4 2 2" xfId="4053" xr:uid="{00000000-0005-0000-0000-0000CC030000}"/>
    <cellStyle name="40% - 강조색6 2 4 3" xfId="4052" xr:uid="{00000000-0005-0000-0000-0000CB030000}"/>
    <cellStyle name="40% - 강조색6 2 5" xfId="1243" xr:uid="{00000000-0005-0000-0000-0000CD030000}"/>
    <cellStyle name="40% - 강조색6 2 6" xfId="1244" xr:uid="{00000000-0005-0000-0000-0000CE030000}"/>
    <cellStyle name="40% - 강조색6 2 6 2" xfId="4054" xr:uid="{00000000-0005-0000-0000-0000CE030000}"/>
    <cellStyle name="40% - 강조색6 2 7" xfId="4039" xr:uid="{00000000-0005-0000-0000-0000BB030000}"/>
    <cellStyle name="40% - 강조색6 3" xfId="1245" xr:uid="{00000000-0005-0000-0000-0000CF030000}"/>
    <cellStyle name="40% - 강조색6 3 2" xfId="1246" xr:uid="{00000000-0005-0000-0000-0000D0030000}"/>
    <cellStyle name="40% - 강조색6 3 2 2" xfId="1247" xr:uid="{00000000-0005-0000-0000-0000D1030000}"/>
    <cellStyle name="40% - 강조색6 3 2 2 2" xfId="1248" xr:uid="{00000000-0005-0000-0000-0000D2030000}"/>
    <cellStyle name="40% - 강조색6 3 2 2 2 2" xfId="4058" xr:uid="{00000000-0005-0000-0000-0000D2030000}"/>
    <cellStyle name="40% - 강조색6 3 2 2 3" xfId="4057" xr:uid="{00000000-0005-0000-0000-0000D1030000}"/>
    <cellStyle name="40% - 강조색6 3 2 3" xfId="1249" xr:uid="{00000000-0005-0000-0000-0000D3030000}"/>
    <cellStyle name="40% - 강조색6 3 2 4" xfId="1250" xr:uid="{00000000-0005-0000-0000-0000D4030000}"/>
    <cellStyle name="40% - 강조색6 3 2 4 2" xfId="4059" xr:uid="{00000000-0005-0000-0000-0000D4030000}"/>
    <cellStyle name="40% - 강조색6 3 2 5" xfId="4056" xr:uid="{00000000-0005-0000-0000-0000D0030000}"/>
    <cellStyle name="40% - 강조색6 3 3" xfId="1251" xr:uid="{00000000-0005-0000-0000-0000D5030000}"/>
    <cellStyle name="40% - 강조색6 3 3 2" xfId="1252" xr:uid="{00000000-0005-0000-0000-0000D6030000}"/>
    <cellStyle name="40% - 강조색6 3 3 2 2" xfId="4061" xr:uid="{00000000-0005-0000-0000-0000D6030000}"/>
    <cellStyle name="40% - 강조색6 3 3 3" xfId="4060" xr:uid="{00000000-0005-0000-0000-0000D5030000}"/>
    <cellStyle name="40% - 강조색6 3 4" xfId="1253" xr:uid="{00000000-0005-0000-0000-0000D7030000}"/>
    <cellStyle name="40% - 강조색6 3 5" xfId="1254" xr:uid="{00000000-0005-0000-0000-0000D8030000}"/>
    <cellStyle name="40% - 강조색6 3 5 2" xfId="4062" xr:uid="{00000000-0005-0000-0000-0000D8030000}"/>
    <cellStyle name="40% - 강조색6 3 6" xfId="4055" xr:uid="{00000000-0005-0000-0000-0000CF030000}"/>
    <cellStyle name="40% - 강조색6 4" xfId="1255" xr:uid="{00000000-0005-0000-0000-0000D9030000}"/>
    <cellStyle name="40% - 강조색6 4 2" xfId="1256" xr:uid="{00000000-0005-0000-0000-0000DA030000}"/>
    <cellStyle name="40% - 강조색6 4 2 2" xfId="1257" xr:uid="{00000000-0005-0000-0000-0000DB030000}"/>
    <cellStyle name="40% - 강조색6 4 2 2 2" xfId="4065" xr:uid="{00000000-0005-0000-0000-0000DB030000}"/>
    <cellStyle name="40% - 강조색6 4 2 3" xfId="4064" xr:uid="{00000000-0005-0000-0000-0000DA030000}"/>
    <cellStyle name="40% - 강조색6 4 3" xfId="1258" xr:uid="{00000000-0005-0000-0000-0000DC030000}"/>
    <cellStyle name="40% - 강조색6 4 4" xfId="1259" xr:uid="{00000000-0005-0000-0000-0000DD030000}"/>
    <cellStyle name="40% - 강조색6 4 4 2" xfId="4066" xr:uid="{00000000-0005-0000-0000-0000DD030000}"/>
    <cellStyle name="40% - 강조색6 4 5" xfId="4063" xr:uid="{00000000-0005-0000-0000-0000D9030000}"/>
    <cellStyle name="40% - 강조색6 5" xfId="1260" xr:uid="{00000000-0005-0000-0000-0000DE030000}"/>
    <cellStyle name="40% - 강조색6 5 2" xfId="1261" xr:uid="{00000000-0005-0000-0000-0000DF030000}"/>
    <cellStyle name="40% - 강조색6 5 2 2" xfId="4068" xr:uid="{00000000-0005-0000-0000-0000DF030000}"/>
    <cellStyle name="40% - 강조색6 5 3" xfId="4067" xr:uid="{00000000-0005-0000-0000-0000DE030000}"/>
    <cellStyle name="40% - 강조색6 6" xfId="1262" xr:uid="{00000000-0005-0000-0000-0000E0030000}"/>
    <cellStyle name="40% - 강조색6 6 2" xfId="4069" xr:uid="{00000000-0005-0000-0000-0000E0030000}"/>
    <cellStyle name="60% - Accent1" xfId="1263" xr:uid="{00000000-0005-0000-0000-0000E1030000}"/>
    <cellStyle name="60% - Accent2" xfId="1264" xr:uid="{00000000-0005-0000-0000-0000E2030000}"/>
    <cellStyle name="60% - Accent3" xfId="1265" xr:uid="{00000000-0005-0000-0000-0000E3030000}"/>
    <cellStyle name="60% - Accent4" xfId="1266" xr:uid="{00000000-0005-0000-0000-0000E4030000}"/>
    <cellStyle name="60% - Accent5" xfId="1267" xr:uid="{00000000-0005-0000-0000-0000E5030000}"/>
    <cellStyle name="60% - Accent6" xfId="1268" xr:uid="{00000000-0005-0000-0000-0000E6030000}"/>
    <cellStyle name="60% - 强调文字颜色 1" xfId="1269" xr:uid="{00000000-0005-0000-0000-0000E7030000}"/>
    <cellStyle name="60% - 强调文字颜色 2" xfId="1270" xr:uid="{00000000-0005-0000-0000-0000E8030000}"/>
    <cellStyle name="60% - 强调文字颜色 3" xfId="1271" xr:uid="{00000000-0005-0000-0000-0000E9030000}"/>
    <cellStyle name="60% - 强调文字颜色 4" xfId="1272" xr:uid="{00000000-0005-0000-0000-0000EA030000}"/>
    <cellStyle name="60% - 强调文字颜色 5" xfId="1273" xr:uid="{00000000-0005-0000-0000-0000EB030000}"/>
    <cellStyle name="60% - 强调文字颜色 6" xfId="1274" xr:uid="{00000000-0005-0000-0000-0000EC030000}"/>
    <cellStyle name="60% - 강조색1 2" xfId="1275" xr:uid="{00000000-0005-0000-0000-0000ED030000}"/>
    <cellStyle name="60% - 강조색2 2" xfId="1276" xr:uid="{00000000-0005-0000-0000-0000EE030000}"/>
    <cellStyle name="60% - 강조색3 2" xfId="1277" xr:uid="{00000000-0005-0000-0000-0000EF030000}"/>
    <cellStyle name="60% - 강조색4 2" xfId="1278" xr:uid="{00000000-0005-0000-0000-0000F0030000}"/>
    <cellStyle name="60% - 강조색5 2" xfId="1279" xr:uid="{00000000-0005-0000-0000-0000F1030000}"/>
    <cellStyle name="60% - 강조색6 2" xfId="1280" xr:uid="{00000000-0005-0000-0000-0000F2030000}"/>
    <cellStyle name="7_WH-PAYRO_1" xfId="1281" xr:uid="{00000000-0005-0000-0000-0000F3030000}"/>
    <cellStyle name="Ⅰ" xfId="68" xr:uid="{00000000-0005-0000-0000-0000F4030000}"/>
    <cellStyle name="A¡§¡ⓒ¡E¡þ¡EO [0]_AO¡§uRCN￠R¨uU " xfId="1282" xr:uid="{00000000-0005-0000-0000-0000F5030000}"/>
    <cellStyle name="A¡§¡ⓒ¡E¡þ¡EO_AO¡§uRCN￠R¨uU " xfId="1283" xr:uid="{00000000-0005-0000-0000-0000F6030000}"/>
    <cellStyle name="A¨­￠￢￠O [0]_¨￢n¡¾ⓒø¡ic¨uc¨u¡ⓒ (2)" xfId="1284" xr:uid="{00000000-0005-0000-0000-0000F7030000}"/>
    <cellStyle name="A¨­￠￢￠O_¨￢n¡¾ⓒø¡ic¨uc¨u¡ⓒ (2)" xfId="1285" xr:uid="{00000000-0005-0000-0000-0000F8030000}"/>
    <cellStyle name="aa" xfId="1286" xr:uid="{00000000-0005-0000-0000-0000F9030000}"/>
    <cellStyle name="Accent1" xfId="1287" xr:uid="{00000000-0005-0000-0000-0000FA030000}"/>
    <cellStyle name="Accent2" xfId="1288" xr:uid="{00000000-0005-0000-0000-0000FB030000}"/>
    <cellStyle name="Accent3" xfId="1289" xr:uid="{00000000-0005-0000-0000-0000FC030000}"/>
    <cellStyle name="Accent4" xfId="1290" xr:uid="{00000000-0005-0000-0000-0000FD030000}"/>
    <cellStyle name="Accent5" xfId="1291" xr:uid="{00000000-0005-0000-0000-0000FE030000}"/>
    <cellStyle name="Accent6" xfId="1292" xr:uid="{00000000-0005-0000-0000-0000FF030000}"/>
    <cellStyle name="Actual Date" xfId="1293" xr:uid="{00000000-0005-0000-0000-000000040000}"/>
    <cellStyle name="Åëè­" xfId="69" xr:uid="{00000000-0005-0000-0000-000001040000}"/>
    <cellStyle name="Åëè­ [0]" xfId="70" xr:uid="{00000000-0005-0000-0000-000002040000}"/>
    <cellStyle name="AeE­ [0]_  A¾  CO  " xfId="1294" xr:uid="{00000000-0005-0000-0000-000003040000}"/>
    <cellStyle name="AeE- [0]_?c?A " xfId="1295" xr:uid="{00000000-0005-0000-0000-000004040000}"/>
    <cellStyle name="AeE­ [0]_´eºnC￥" xfId="1296" xr:uid="{00000000-0005-0000-0000-000005040000}"/>
    <cellStyle name="ÅëÈ­ [0]_¸ÅÃâ°ü·Ã¾ç½Ä" xfId="1297" xr:uid="{00000000-0005-0000-0000-000006040000}"/>
    <cellStyle name="AeE­ [0]_¿­¸° INT" xfId="1298" xr:uid="{00000000-0005-0000-0000-000007040000}"/>
    <cellStyle name="ÅëÈ­ [0]_½ÂÀÎ¾÷Ã¼" xfId="71" xr:uid="{00000000-0005-0000-0000-000008040000}"/>
    <cellStyle name="AeE­ [0]_¾c½A " xfId="1299" xr:uid="{00000000-0005-0000-0000-000009040000}"/>
    <cellStyle name="AeE- [0]_4PART " xfId="1300" xr:uid="{00000000-0005-0000-0000-00000A040000}"/>
    <cellStyle name="AeE­ [0]_6¿u2A°AO " xfId="1301" xr:uid="{00000000-0005-0000-0000-00000B040000}"/>
    <cellStyle name="AeE- [0]_64-C STEPPER 줩!줩o?A줩줗(PHOTO) " xfId="1302" xr:uid="{00000000-0005-0000-0000-00000C040000}"/>
    <cellStyle name="AeE­ [0]_95³aAN°y¼o·R " xfId="1303" xr:uid="{00000000-0005-0000-0000-00000D040000}"/>
    <cellStyle name="AeE- [0]_953aAN줩y?o좵R " xfId="1304" xr:uid="{00000000-0005-0000-0000-00000E040000}"/>
    <cellStyle name="AeE­ [0]_97MBO" xfId="72" xr:uid="{00000000-0005-0000-0000-00000F040000}"/>
    <cellStyle name="ÅëÈ­ [0]_97MBO" xfId="73" xr:uid="{00000000-0005-0000-0000-000010040000}"/>
    <cellStyle name="AeE­ [0]_97MBO (2)" xfId="74" xr:uid="{00000000-0005-0000-0000-000011040000}"/>
    <cellStyle name="ÅëÈ­ [0]_97MBO (2)" xfId="75" xr:uid="{00000000-0005-0000-0000-000012040000}"/>
    <cellStyle name="AeE­ [0]_97MBO (2) 2" xfId="76" xr:uid="{00000000-0005-0000-0000-000013040000}"/>
    <cellStyle name="ÅëÈ­ [0]_Áõ±Ç Project" xfId="77" xr:uid="{00000000-0005-0000-0000-000014040000}"/>
    <cellStyle name="AeE­ [0]_Ao±C Project 2" xfId="78" xr:uid="{00000000-0005-0000-0000-000015040000}"/>
    <cellStyle name="ÅëÈ­ [0]_ÇÒºÎ project" xfId="79" xr:uid="{00000000-0005-0000-0000-000016040000}"/>
    <cellStyle name="AeE­ [0]_COºI project 2" xfId="80" xr:uid="{00000000-0005-0000-0000-000017040000}"/>
    <cellStyle name="AeE- [0]_C줩좲no줩 " xfId="1305" xr:uid="{00000000-0005-0000-0000-000018040000}"/>
    <cellStyle name="AeE­ [0]_INQUIRY ¿μ¾÷AßAø " xfId="1306" xr:uid="{00000000-0005-0000-0000-000019040000}"/>
    <cellStyle name="ÅëÈ­ [0]_laroux" xfId="81" xr:uid="{00000000-0005-0000-0000-00001A040000}"/>
    <cellStyle name="AeE­ [0]_laroux 2" xfId="82" xr:uid="{00000000-0005-0000-0000-00001B040000}"/>
    <cellStyle name="ÅëÈ­ [0]_laroux_1" xfId="83" xr:uid="{00000000-0005-0000-0000-00001C040000}"/>
    <cellStyle name="AeE­ [0]_laroux_1 2" xfId="84" xr:uid="{00000000-0005-0000-0000-00001D040000}"/>
    <cellStyle name="ÅëÈ­ [0]_laroux_2" xfId="85" xr:uid="{00000000-0005-0000-0000-00001E040000}"/>
    <cellStyle name="AeE­ [0]_laroux_3" xfId="86" xr:uid="{00000000-0005-0000-0000-00001F040000}"/>
    <cellStyle name="ÅëÈ­ [0]_laroux_3" xfId="87" xr:uid="{00000000-0005-0000-0000-000020040000}"/>
    <cellStyle name="AeE­ [0]_laroux_3 2" xfId="88" xr:uid="{00000000-0005-0000-0000-000021040000}"/>
    <cellStyle name="ÅëÈ­ [0]_laroux_4" xfId="89" xr:uid="{00000000-0005-0000-0000-000022040000}"/>
    <cellStyle name="AeE­ [0]_laroux_5" xfId="90" xr:uid="{00000000-0005-0000-0000-000023040000}"/>
    <cellStyle name="ÅëÈ­ [0]_laroux_5" xfId="91" xr:uid="{00000000-0005-0000-0000-000024040000}"/>
    <cellStyle name="AeE­ [0]_MBO_0" xfId="92" xr:uid="{00000000-0005-0000-0000-000025040000}"/>
    <cellStyle name="ÅëÈ­ [0]_MBO_0" xfId="93" xr:uid="{00000000-0005-0000-0000-000026040000}"/>
    <cellStyle name="AeE­ [0]_MBO_0 2" xfId="94" xr:uid="{00000000-0005-0000-0000-000027040000}"/>
    <cellStyle name="ÅëÈ­ [0]_MBO96_1" xfId="95" xr:uid="{00000000-0005-0000-0000-000028040000}"/>
    <cellStyle name="AeE­ [0]_MBO96_1 2" xfId="96" xr:uid="{00000000-0005-0000-0000-000029040000}"/>
    <cellStyle name="AeE­_  A¾  CO  " xfId="1307" xr:uid="{00000000-0005-0000-0000-00002A040000}"/>
    <cellStyle name="AeE-_?c?A " xfId="1308" xr:uid="{00000000-0005-0000-0000-00002B040000}"/>
    <cellStyle name="AeE­_´eºnC￥" xfId="1309" xr:uid="{00000000-0005-0000-0000-00002C040000}"/>
    <cellStyle name="Åëè­_¸åãâ" xfId="97" xr:uid="{00000000-0005-0000-0000-00002D040000}"/>
    <cellStyle name="AeE­_¿­¸° INT" xfId="1310" xr:uid="{00000000-0005-0000-0000-00002E040000}"/>
    <cellStyle name="ÅëÈ­_½ÂÀÎ¾÷Ã¼" xfId="98" xr:uid="{00000000-0005-0000-0000-00002F040000}"/>
    <cellStyle name="AeE­_¾c½A " xfId="1311" xr:uid="{00000000-0005-0000-0000-000030040000}"/>
    <cellStyle name="AeE-_4PART " xfId="1312" xr:uid="{00000000-0005-0000-0000-000031040000}"/>
    <cellStyle name="AeE­_6¿u2A°AO " xfId="1313" xr:uid="{00000000-0005-0000-0000-000032040000}"/>
    <cellStyle name="AeE-_64-C STEPPER 줩!줩o?A줩줗(PHOTO) " xfId="1314" xr:uid="{00000000-0005-0000-0000-000033040000}"/>
    <cellStyle name="AeE­_95³aAN°y¼o·R " xfId="1315" xr:uid="{00000000-0005-0000-0000-000034040000}"/>
    <cellStyle name="AeE-_953aAN줩y?o좵R " xfId="1316" xr:uid="{00000000-0005-0000-0000-000035040000}"/>
    <cellStyle name="AeE­_97MBO" xfId="99" xr:uid="{00000000-0005-0000-0000-000036040000}"/>
    <cellStyle name="ÅëÈ­_97MBO" xfId="100" xr:uid="{00000000-0005-0000-0000-000037040000}"/>
    <cellStyle name="AeE­_97MBO (2)" xfId="101" xr:uid="{00000000-0005-0000-0000-000038040000}"/>
    <cellStyle name="ÅëÈ­_97MBO (2)" xfId="102" xr:uid="{00000000-0005-0000-0000-000039040000}"/>
    <cellStyle name="AeE­_97MBO (2) 2" xfId="103" xr:uid="{00000000-0005-0000-0000-00003A040000}"/>
    <cellStyle name="ÅëÈ­_Á¦Ãâ¿ë" xfId="104" xr:uid="{00000000-0005-0000-0000-00003B040000}"/>
    <cellStyle name="AeE­_Ao±C Project" xfId="105" xr:uid="{00000000-0005-0000-0000-00003C040000}"/>
    <cellStyle name="ÅëÈ­_Áõ±Ç Project" xfId="106" xr:uid="{00000000-0005-0000-0000-00003D040000}"/>
    <cellStyle name="AeE­_Ao±C Project 2" xfId="107" xr:uid="{00000000-0005-0000-0000-00003E040000}"/>
    <cellStyle name="ÅëÈ­_ÇÒºÎ project" xfId="108" xr:uid="{00000000-0005-0000-0000-00003F040000}"/>
    <cellStyle name="AeE­_COºI project 2" xfId="109" xr:uid="{00000000-0005-0000-0000-000040040000}"/>
    <cellStyle name="AeE-_C줩좲no줩 " xfId="1317" xr:uid="{00000000-0005-0000-0000-000041040000}"/>
    <cellStyle name="AeE­_INQUIRY ¿μ¾÷AßAø " xfId="1318" xr:uid="{00000000-0005-0000-0000-000042040000}"/>
    <cellStyle name="ÅëÈ­_laroux" xfId="110" xr:uid="{00000000-0005-0000-0000-000043040000}"/>
    <cellStyle name="AeE­_laroux 2" xfId="111" xr:uid="{00000000-0005-0000-0000-000044040000}"/>
    <cellStyle name="ÅëÈ­_laroux_1" xfId="112" xr:uid="{00000000-0005-0000-0000-000045040000}"/>
    <cellStyle name="AeE­_laroux_1 2" xfId="113" xr:uid="{00000000-0005-0000-0000-000046040000}"/>
    <cellStyle name="ÅëÈ­_laroux_2" xfId="114" xr:uid="{00000000-0005-0000-0000-000047040000}"/>
    <cellStyle name="AeE­_laroux_3" xfId="115" xr:uid="{00000000-0005-0000-0000-000048040000}"/>
    <cellStyle name="ÅëÈ­_laroux_3" xfId="116" xr:uid="{00000000-0005-0000-0000-000049040000}"/>
    <cellStyle name="AeE­_laroux_3 2" xfId="117" xr:uid="{00000000-0005-0000-0000-00004A040000}"/>
    <cellStyle name="ÅëÈ­_laroux_4" xfId="118" xr:uid="{00000000-0005-0000-0000-00004B040000}"/>
    <cellStyle name="AeE­_laroux_5" xfId="119" xr:uid="{00000000-0005-0000-0000-00004C040000}"/>
    <cellStyle name="ÅëÈ­_laroux_5" xfId="120" xr:uid="{00000000-0005-0000-0000-00004D040000}"/>
    <cellStyle name="AeE­_MBO_0" xfId="121" xr:uid="{00000000-0005-0000-0000-00004E040000}"/>
    <cellStyle name="ÅëÈ­_MBO_0" xfId="122" xr:uid="{00000000-0005-0000-0000-00004F040000}"/>
    <cellStyle name="AeE­_MBO_0 2" xfId="123" xr:uid="{00000000-0005-0000-0000-000050040000}"/>
    <cellStyle name="ÅëÈ­_MBO96_1" xfId="124" xr:uid="{00000000-0005-0000-0000-000051040000}"/>
    <cellStyle name="AeE­_MBO96_1 2" xfId="125" xr:uid="{00000000-0005-0000-0000-000052040000}"/>
    <cellStyle name="AeE¡ⓒ [0]_¨￢n¡¾ⓒø¡ic¨uc¨u¡ⓒ (2)" xfId="1319" xr:uid="{00000000-0005-0000-0000-000053040000}"/>
    <cellStyle name="AeE¡ⓒ_¨￢n¡¾ⓒø¡ic¨uc¨u¡ⓒ (2)" xfId="1320" xr:uid="{00000000-0005-0000-0000-000054040000}"/>
    <cellStyle name="AeE￠R¨I [0]_AO¡§uRCN￠R¨uU " xfId="1321" xr:uid="{00000000-0005-0000-0000-000055040000}"/>
    <cellStyle name="AeE￠R¨I_AO¡§uRCN￠R¨uU " xfId="1322" xr:uid="{00000000-0005-0000-0000-000056040000}"/>
    <cellStyle name="ALIGNMENT" xfId="126" xr:uid="{00000000-0005-0000-0000-000057040000}"/>
    <cellStyle name="ÁöÁ¤µÇÁö ¾ÊÀ½" xfId="1323" xr:uid="{00000000-0005-0000-0000-000058040000}"/>
    <cellStyle name="args.style" xfId="1324" xr:uid="{00000000-0005-0000-0000-000059040000}"/>
    <cellStyle name="Arial 10" xfId="127" xr:uid="{00000000-0005-0000-0000-00005A040000}"/>
    <cellStyle name="Arial 12" xfId="128" xr:uid="{00000000-0005-0000-0000-00005B040000}"/>
    <cellStyle name="Äþ¸¶" xfId="129" xr:uid="{00000000-0005-0000-0000-00005C040000}"/>
    <cellStyle name="Äþ¸¶ [0]" xfId="130" xr:uid="{00000000-0005-0000-0000-00005D040000}"/>
    <cellStyle name="AÞ¸¶ [0]_  A¾  CO  " xfId="1325" xr:uid="{00000000-0005-0000-0000-00005E040000}"/>
    <cellStyle name="ÄÞ¸¶ [0]_¸ÅÃâ°ü·Ã¾ç½Ä" xfId="1326" xr:uid="{00000000-0005-0000-0000-00005F040000}"/>
    <cellStyle name="AÞ¸¶ [0]_¿­¸° INT" xfId="1327" xr:uid="{00000000-0005-0000-0000-000060040000}"/>
    <cellStyle name="ÄÞ¸¶ [0]_½ÇÀûÇöÈ² " xfId="1328" xr:uid="{00000000-0005-0000-0000-000061040000}"/>
    <cellStyle name="AÞ¸¶ [0]_½CAuCoE² _01.미수수익(선물환 외화정기)_재무실" xfId="1329" xr:uid="{00000000-0005-0000-0000-000062040000}"/>
    <cellStyle name="Äþ¸¶ [0]_2다_자본적정성 등(신설포함)" xfId="1330" xr:uid="{00000000-0005-0000-0000-000063040000}"/>
    <cellStyle name="AÞ¸¶ [0]_97MBO (2)" xfId="131" xr:uid="{00000000-0005-0000-0000-000064040000}"/>
    <cellStyle name="ÄÞ¸¶ [0]_97MBO (2)" xfId="132" xr:uid="{00000000-0005-0000-0000-000065040000}"/>
    <cellStyle name="AÞ¸¶ [0]_97MBO (2) 2" xfId="133" xr:uid="{00000000-0005-0000-0000-000066040000}"/>
    <cellStyle name="ÄÞ¸¶ [0]_Áõ±Ç Project" xfId="134" xr:uid="{00000000-0005-0000-0000-000067040000}"/>
    <cellStyle name="AÞ¸¶ [0]_Ao±C Project 2" xfId="135" xr:uid="{00000000-0005-0000-0000-000068040000}"/>
    <cellStyle name="ÄÞ¸¶ [0]_ÇÒºÎ project" xfId="136" xr:uid="{00000000-0005-0000-0000-000069040000}"/>
    <cellStyle name="AÞ¸¶ [0]_COºI project 2" xfId="137" xr:uid="{00000000-0005-0000-0000-00006A040000}"/>
    <cellStyle name="ÄÞ¸¶ [0]_laroux" xfId="138" xr:uid="{00000000-0005-0000-0000-00006B040000}"/>
    <cellStyle name="AÞ¸¶ [0]_laroux 2" xfId="139" xr:uid="{00000000-0005-0000-0000-00006C040000}"/>
    <cellStyle name="ÄÞ¸¶ [0]_laroux_1" xfId="140" xr:uid="{00000000-0005-0000-0000-00006D040000}"/>
    <cellStyle name="AÞ¸¶ [0]_laroux_2" xfId="141" xr:uid="{00000000-0005-0000-0000-00006E040000}"/>
    <cellStyle name="ÄÞ¸¶ [0]_laroux_2" xfId="142" xr:uid="{00000000-0005-0000-0000-00006F040000}"/>
    <cellStyle name="AÞ¸¶ [0]_laroux_2 2" xfId="143" xr:uid="{00000000-0005-0000-0000-000070040000}"/>
    <cellStyle name="ÄÞ¸¶ [0]_laroux_3" xfId="144" xr:uid="{00000000-0005-0000-0000-000071040000}"/>
    <cellStyle name="AÞ¸¶ [0]_MBO_0" xfId="145" xr:uid="{00000000-0005-0000-0000-000072040000}"/>
    <cellStyle name="ÄÞ¸¶ [0]_MBO_0" xfId="146" xr:uid="{00000000-0005-0000-0000-000073040000}"/>
    <cellStyle name="AÞ¸¶ [0]_MBO_0 2" xfId="147" xr:uid="{00000000-0005-0000-0000-000074040000}"/>
    <cellStyle name="ÄÞ¸¶ [0]_MBO96_1" xfId="148" xr:uid="{00000000-0005-0000-0000-000075040000}"/>
    <cellStyle name="AÞ¸¶ [0]_MBO96_1 2" xfId="149" xr:uid="{00000000-0005-0000-0000-000076040000}"/>
    <cellStyle name="AÞ¸¶_  A¾  CO  " xfId="1331" xr:uid="{00000000-0005-0000-0000-000077040000}"/>
    <cellStyle name="Äþ¸¶_¸åãâ" xfId="150" xr:uid="{00000000-0005-0000-0000-000078040000}"/>
    <cellStyle name="AÞ¸¶_¿­¸° INT" xfId="1332" xr:uid="{00000000-0005-0000-0000-000079040000}"/>
    <cellStyle name="ÄÞ¸¶_½ÂÀÎ¾÷Ã¼" xfId="151" xr:uid="{00000000-0005-0000-0000-00007A040000}"/>
    <cellStyle name="AÞ¸¶_¾c½A " xfId="1333" xr:uid="{00000000-0005-0000-0000-00007B040000}"/>
    <cellStyle name="ÄÞ¸¶_97MBO" xfId="152" xr:uid="{00000000-0005-0000-0000-00007C040000}"/>
    <cellStyle name="AÞ¸¶_97MBO (2)" xfId="153" xr:uid="{00000000-0005-0000-0000-00007D040000}"/>
    <cellStyle name="ÄÞ¸¶_97MBO (2)" xfId="154" xr:uid="{00000000-0005-0000-0000-00007E040000}"/>
    <cellStyle name="AÞ¸¶_97MBO (2) 2" xfId="155" xr:uid="{00000000-0005-0000-0000-00007F040000}"/>
    <cellStyle name="ÄÞ¸¶_Á¦Ãâ¿ë" xfId="156" xr:uid="{00000000-0005-0000-0000-000080040000}"/>
    <cellStyle name="AÞ¸¶_Ao±C Project" xfId="157" xr:uid="{00000000-0005-0000-0000-000081040000}"/>
    <cellStyle name="ÄÞ¸¶_Áõ±Ç Project" xfId="158" xr:uid="{00000000-0005-0000-0000-000082040000}"/>
    <cellStyle name="AÞ¸¶_Ao±C Project 2" xfId="159" xr:uid="{00000000-0005-0000-0000-000083040000}"/>
    <cellStyle name="ÄÞ¸¶_ÇÒºÎ project" xfId="160" xr:uid="{00000000-0005-0000-0000-000084040000}"/>
    <cellStyle name="AÞ¸¶_COºI project 2" xfId="161" xr:uid="{00000000-0005-0000-0000-000085040000}"/>
    <cellStyle name="ÄÞ¸¶_laroux" xfId="162" xr:uid="{00000000-0005-0000-0000-000086040000}"/>
    <cellStyle name="AÞ¸¶_laroux 2" xfId="163" xr:uid="{00000000-0005-0000-0000-000087040000}"/>
    <cellStyle name="ÄÞ¸¶_laroux_1" xfId="164" xr:uid="{00000000-0005-0000-0000-000088040000}"/>
    <cellStyle name="AÞ¸¶_laroux_2" xfId="165" xr:uid="{00000000-0005-0000-0000-000089040000}"/>
    <cellStyle name="ÄÞ¸¶_laroux_2" xfId="166" xr:uid="{00000000-0005-0000-0000-00008A040000}"/>
    <cellStyle name="AÞ¸¶_laroux_2 2" xfId="167" xr:uid="{00000000-0005-0000-0000-00008B040000}"/>
    <cellStyle name="ÄÞ¸¶_laroux_3" xfId="168" xr:uid="{00000000-0005-0000-0000-00008C040000}"/>
    <cellStyle name="AÞ¸¶_laroux_4" xfId="169" xr:uid="{00000000-0005-0000-0000-00008D040000}"/>
    <cellStyle name="ÄÞ¸¶_laroux_4" xfId="170" xr:uid="{00000000-0005-0000-0000-00008E040000}"/>
    <cellStyle name="AÞ¸¶_MBO_0" xfId="171" xr:uid="{00000000-0005-0000-0000-00008F040000}"/>
    <cellStyle name="ÄÞ¸¶_MBO_0" xfId="172" xr:uid="{00000000-0005-0000-0000-000090040000}"/>
    <cellStyle name="AÞ¸¶_MBO_0 2" xfId="173" xr:uid="{00000000-0005-0000-0000-000091040000}"/>
    <cellStyle name="ÄÞ¸¶_MBO96_1" xfId="174" xr:uid="{00000000-0005-0000-0000-000092040000}"/>
    <cellStyle name="AÞ¸¶_MBO96_1 2" xfId="175" xr:uid="{00000000-0005-0000-0000-000093040000}"/>
    <cellStyle name="AT좲? [0]_?c?A " xfId="1334" xr:uid="{00000000-0005-0000-0000-000094040000}"/>
    <cellStyle name="AT좲?_?c?A " xfId="1335" xr:uid="{00000000-0005-0000-0000-000095040000}"/>
    <cellStyle name="_x0001_b" xfId="1336" xr:uid="{00000000-0005-0000-0000-000096040000}"/>
    <cellStyle name="Bad" xfId="1337" xr:uid="{00000000-0005-0000-0000-000097040000}"/>
    <cellStyle name="blue$00" xfId="176" xr:uid="{00000000-0005-0000-0000-000098040000}"/>
    <cellStyle name="Body" xfId="1338" xr:uid="{00000000-0005-0000-0000-000099040000}"/>
    <cellStyle name="BodyStyle" xfId="1339" xr:uid="{00000000-0005-0000-0000-00009A040000}"/>
    <cellStyle name="Bold/Border" xfId="1340" xr:uid="{00000000-0005-0000-0000-00009B040000}"/>
    <cellStyle name="British Pound" xfId="177" xr:uid="{00000000-0005-0000-0000-00009C040000}"/>
    <cellStyle name="Bullet" xfId="1341" xr:uid="{00000000-0005-0000-0000-00009D040000}"/>
    <cellStyle name="c" xfId="1342" xr:uid="{00000000-0005-0000-0000-00009E040000}"/>
    <cellStyle name="C¡ÍA¨ª_¡¾©ö¢¯Ubal" xfId="1343" xr:uid="{00000000-0005-0000-0000-00009F040000}"/>
    <cellStyle name="C¡IA¨ª_¡ic¨u¡A¨￢I¨￢¡Æ AN¡Æe " xfId="1344" xr:uid="{00000000-0005-0000-0000-0000A0040000}"/>
    <cellStyle name="C￠RERIA¡ER￠R¡¿￠R¡×￠RI_￠RER￠R¡×¡ER￠R¡×I￠RER¡ERE?¡ERIiFILE" xfId="1345" xr:uid="{00000000-0005-0000-0000-0000A1040000}"/>
    <cellStyle name="C￠RIA¡§¨￡_99¨Iⓒªa3¡E?u¡§¡þ￠RiA¡ER" xfId="1346" xr:uid="{00000000-0005-0000-0000-0000A2040000}"/>
    <cellStyle name="Ç¥áø" xfId="178" xr:uid="{00000000-0005-0000-0000-0000A3040000}"/>
    <cellStyle name="C￥AØ_  A¾  CO  " xfId="1347" xr:uid="{00000000-0005-0000-0000-0000A4040000}"/>
    <cellStyle name="Ç¥ÁØ_´ëºñÇ¥ (2)_1_ºÎ´ëÅä°ø " xfId="1348" xr:uid="{00000000-0005-0000-0000-0000A5040000}"/>
    <cellStyle name="C￥AØ_´eºnC￥ (2)_ºI´eAa°ø " xfId="1349" xr:uid="{00000000-0005-0000-0000-0000A6040000}"/>
    <cellStyle name="Ç¥ÁØ_´ëºñÇ¥ (2)_ºÎ´ëÅä°ø " xfId="1350" xr:uid="{00000000-0005-0000-0000-0000A7040000}"/>
    <cellStyle name="C￥AØ_¸AAa.¼OAI " xfId="1351" xr:uid="{00000000-0005-0000-0000-0000A8040000}"/>
    <cellStyle name="Ç¥ÁØ_¿µ¾÷ÇöÈ² " xfId="1352" xr:uid="{00000000-0005-0000-0000-0000A9040000}"/>
    <cellStyle name="C￥AØ_¿¹≫e¿aA≫ " xfId="1353" xr:uid="{00000000-0005-0000-0000-0000AA040000}"/>
    <cellStyle name="Ç¥ÁØ_±×·¡ÇÁ" xfId="1354" xr:uid="{00000000-0005-0000-0000-0000AB040000}"/>
    <cellStyle name="C￥AØ_±¹¿UPL" xfId="1355" xr:uid="{00000000-0005-0000-0000-0000AC040000}"/>
    <cellStyle name="Ç¥ÁØ_±¹¿ÜPL" xfId="1356" xr:uid="{00000000-0005-0000-0000-0000AD040000}"/>
    <cellStyle name="C￥AØ_≫c¾÷ºIº° AN°e " xfId="1357" xr:uid="{00000000-0005-0000-0000-0000AE040000}"/>
    <cellStyle name="Ç¥ÁØ_0N-HANDLING " xfId="1358" xr:uid="{00000000-0005-0000-0000-0000AF040000}"/>
    <cellStyle name="C￥AØ_¼±AoAc°i_1_³≫ºI°eE¹´e AßA¤A÷AI " xfId="1359" xr:uid="{00000000-0005-0000-0000-0000B0040000}"/>
    <cellStyle name="Ç¥ÁØ_5-1±¤°í " xfId="1360" xr:uid="{00000000-0005-0000-0000-0000B1040000}"/>
    <cellStyle name="C￥AØ_5-1±¤°i _2001재무제표" xfId="1361" xr:uid="{00000000-0005-0000-0000-0000B2040000}"/>
    <cellStyle name="Ç¥ÁØ_5-1±¤°í _2001재무제표" xfId="1362" xr:uid="{00000000-0005-0000-0000-0000B3040000}"/>
    <cellStyle name="C￥AØ_5-1±¤°i _6RCB1 " xfId="1363" xr:uid="{00000000-0005-0000-0000-0000B4040000}"/>
    <cellStyle name="Ç¥ÁØ_5-1±¤°í _대손충당금 변동내역(잠정)_0806-v5" xfId="1364" xr:uid="{00000000-0005-0000-0000-0000B5040000}"/>
    <cellStyle name="C￥AØ_53AO " xfId="1365" xr:uid="{00000000-0005-0000-0000-0000B6040000}"/>
    <cellStyle name="Ç¥ÁØ_95³¬½Ã½ÇÀû" xfId="179" xr:uid="{00000000-0005-0000-0000-0000B7040000}"/>
    <cellStyle name="C￥AØ_96_5¹e°iºn¿e" xfId="180" xr:uid="{00000000-0005-0000-0000-0000B8040000}"/>
    <cellStyle name="Ç¥ÁØ_96_5¹é°îºñ¿ë" xfId="181" xr:uid="{00000000-0005-0000-0000-0000B9040000}"/>
    <cellStyle name="C￥AØ_A|Aa¿e" xfId="182" xr:uid="{00000000-0005-0000-0000-0000BA040000}"/>
    <cellStyle name="Ç¥ÁØ_Á¦Ãâ¿ë" xfId="183" xr:uid="{00000000-0005-0000-0000-0000BB040000}"/>
    <cellStyle name="C￥AØ_AO¼RCN±U " xfId="1366" xr:uid="{00000000-0005-0000-0000-0000BC040000}"/>
    <cellStyle name="Ç¥ÁØ_Áý°èÇ¥(2¿ù) " xfId="1367" xr:uid="{00000000-0005-0000-0000-0000BD040000}"/>
    <cellStyle name="C￥AØ_Ay°eC￥(2¿u) _2001재무제표" xfId="1368" xr:uid="{00000000-0005-0000-0000-0000BE040000}"/>
    <cellStyle name="Ç¥ÁØ_Áý°èÇ¥(2¿ù) _2001재무제표" xfId="1369" xr:uid="{00000000-0005-0000-0000-0000BF040000}"/>
    <cellStyle name="C￥AØ_CoAo¹yAI °A¾×¿ⓒ½A " xfId="1370" xr:uid="{00000000-0005-0000-0000-0000C0040000}"/>
    <cellStyle name="Ç¥ÁØ_Jinro-BS" xfId="1371" xr:uid="{00000000-0005-0000-0000-0000C1040000}"/>
    <cellStyle name="C￥AØ_laroux" xfId="184" xr:uid="{00000000-0005-0000-0000-0000C2040000}"/>
    <cellStyle name="Ç¥ÁØ_laroux" xfId="185" xr:uid="{00000000-0005-0000-0000-0000C3040000}"/>
    <cellStyle name="C￥AØ_laroux 2" xfId="186" xr:uid="{00000000-0005-0000-0000-0000C4040000}"/>
    <cellStyle name="Ç¥ÁØ_laroux_1" xfId="187" xr:uid="{00000000-0005-0000-0000-0000C5040000}"/>
    <cellStyle name="C￥AØ_laroux_2" xfId="188" xr:uid="{00000000-0005-0000-0000-0000C6040000}"/>
    <cellStyle name="Ç¥ÁØ_laroux_2" xfId="189" xr:uid="{00000000-0005-0000-0000-0000C7040000}"/>
    <cellStyle name="C￥AØ_laroux_20081104144257984사업(분기반기)보고서수기작성작업파일(200806기준)" xfId="1372" xr:uid="{00000000-0005-0000-0000-0000C8040000}"/>
    <cellStyle name="Ç¥ÁØ_laroux_20081104144257984사업(분기반기)보고서수기작성작업파일(200806기준)" xfId="1373" xr:uid="{00000000-0005-0000-0000-0000C9040000}"/>
    <cellStyle name="C￥AØ_laroux_3" xfId="190" xr:uid="{00000000-0005-0000-0000-0000CA040000}"/>
    <cellStyle name="Ç¥ÁØ_laroux_3" xfId="191" xr:uid="{00000000-0005-0000-0000-0000CB040000}"/>
    <cellStyle name="C￥AØ_laroux_4" xfId="192" xr:uid="{00000000-0005-0000-0000-0000CC040000}"/>
    <cellStyle name="Ç¥ÁØ_laroux_4" xfId="193" xr:uid="{00000000-0005-0000-0000-0000CD040000}"/>
    <cellStyle name="C￥AØ_laroux_5" xfId="194" xr:uid="{00000000-0005-0000-0000-0000CE040000}"/>
    <cellStyle name="Ç¥ÁØ_laroux_5" xfId="195" xr:uid="{00000000-0005-0000-0000-0000CF040000}"/>
    <cellStyle name="C￥AØ_PERSONAL" xfId="1374" xr:uid="{00000000-0005-0000-0000-0000D0040000}"/>
    <cellStyle name="Ç¥ÁØ_Sheet1" xfId="196" xr:uid="{00000000-0005-0000-0000-0000D1040000}"/>
    <cellStyle name="C￥AØ_Sheet1_¿μ¾÷CoE² " xfId="1375" xr:uid="{00000000-0005-0000-0000-0000D2040000}"/>
    <cellStyle name="Ç¥ÁØ_Sheet1_0N-HANDLING " xfId="1376" xr:uid="{00000000-0005-0000-0000-0000D3040000}"/>
    <cellStyle name="C￥AØ_Sheet1_Ay°eC￥(2¿u) " xfId="1377" xr:uid="{00000000-0005-0000-0000-0000D4040000}"/>
    <cellStyle name="Ç¥ÁØ_Sheet1_Áý°èÇ¥(2¿ù) " xfId="1378" xr:uid="{00000000-0005-0000-0000-0000D5040000}"/>
    <cellStyle name="C￥AØ_Sheet1_Ay°eC￥(2¿u) _2001재무제표" xfId="1379" xr:uid="{00000000-0005-0000-0000-0000D6040000}"/>
    <cellStyle name="Ç¥ÁØ_Sheet1_Áý°èÇ¥(2¿ù) _2001재무제표" xfId="1380" xr:uid="{00000000-0005-0000-0000-0000D7040000}"/>
    <cellStyle name="C￥AØ_SOON1 " xfId="1381" xr:uid="{00000000-0005-0000-0000-0000D8040000}"/>
    <cellStyle name="Calc Currency (0)" xfId="197" xr:uid="{00000000-0005-0000-0000-0000D9040000}"/>
    <cellStyle name="Calc Currency (0) 2" xfId="1382" xr:uid="{00000000-0005-0000-0000-0000DA040000}"/>
    <cellStyle name="Calc Currency (2)" xfId="1383" xr:uid="{00000000-0005-0000-0000-0000DB040000}"/>
    <cellStyle name="Calc Percent (0)" xfId="1384" xr:uid="{00000000-0005-0000-0000-0000DC040000}"/>
    <cellStyle name="Calc Percent (1)" xfId="1385" xr:uid="{00000000-0005-0000-0000-0000DD040000}"/>
    <cellStyle name="Calc Percent (2)" xfId="1386" xr:uid="{00000000-0005-0000-0000-0000DE040000}"/>
    <cellStyle name="Calc Units (0)" xfId="1387" xr:uid="{00000000-0005-0000-0000-0000DF040000}"/>
    <cellStyle name="Calc Units (1)" xfId="1388" xr:uid="{00000000-0005-0000-0000-0000E0040000}"/>
    <cellStyle name="Calc Units (2)" xfId="1389" xr:uid="{00000000-0005-0000-0000-0000E1040000}"/>
    <cellStyle name="Calculation" xfId="1390" xr:uid="{00000000-0005-0000-0000-0000E2040000}"/>
    <cellStyle name="Calculation 10" xfId="1391" xr:uid="{00000000-0005-0000-0000-0000E3040000}"/>
    <cellStyle name="Calculation 10 2" xfId="1392" xr:uid="{00000000-0005-0000-0000-0000E4040000}"/>
    <cellStyle name="Calculation 10 2 2" xfId="4072" xr:uid="{00000000-0005-0000-0000-0000E4040000}"/>
    <cellStyle name="Calculation 10 3" xfId="1393" xr:uid="{00000000-0005-0000-0000-0000E5040000}"/>
    <cellStyle name="Calculation 10 3 2" xfId="4073" xr:uid="{00000000-0005-0000-0000-0000E5040000}"/>
    <cellStyle name="Calculation 10 4" xfId="1394" xr:uid="{00000000-0005-0000-0000-0000E6040000}"/>
    <cellStyle name="Calculation 10 4 2" xfId="4074" xr:uid="{00000000-0005-0000-0000-0000E6040000}"/>
    <cellStyle name="Calculation 10 5" xfId="1395" xr:uid="{00000000-0005-0000-0000-0000E7040000}"/>
    <cellStyle name="Calculation 10 5 2" xfId="4075" xr:uid="{00000000-0005-0000-0000-0000E7040000}"/>
    <cellStyle name="Calculation 10 6" xfId="4071" xr:uid="{00000000-0005-0000-0000-0000E3040000}"/>
    <cellStyle name="Calculation 11" xfId="1396" xr:uid="{00000000-0005-0000-0000-0000E8040000}"/>
    <cellStyle name="Calculation 11 2" xfId="1397" xr:uid="{00000000-0005-0000-0000-0000E9040000}"/>
    <cellStyle name="Calculation 11 2 2" xfId="4077" xr:uid="{00000000-0005-0000-0000-0000E9040000}"/>
    <cellStyle name="Calculation 11 3" xfId="1398" xr:uid="{00000000-0005-0000-0000-0000EA040000}"/>
    <cellStyle name="Calculation 11 3 2" xfId="4078" xr:uid="{00000000-0005-0000-0000-0000EA040000}"/>
    <cellStyle name="Calculation 11 4" xfId="1399" xr:uid="{00000000-0005-0000-0000-0000EB040000}"/>
    <cellStyle name="Calculation 11 4 2" xfId="4079" xr:uid="{00000000-0005-0000-0000-0000EB040000}"/>
    <cellStyle name="Calculation 11 5" xfId="1400" xr:uid="{00000000-0005-0000-0000-0000EC040000}"/>
    <cellStyle name="Calculation 11 5 2" xfId="4080" xr:uid="{00000000-0005-0000-0000-0000EC040000}"/>
    <cellStyle name="Calculation 11 6" xfId="4076" xr:uid="{00000000-0005-0000-0000-0000E8040000}"/>
    <cellStyle name="Calculation 12" xfId="1401" xr:uid="{00000000-0005-0000-0000-0000ED040000}"/>
    <cellStyle name="Calculation 12 2" xfId="1402" xr:uid="{00000000-0005-0000-0000-0000EE040000}"/>
    <cellStyle name="Calculation 12 2 2" xfId="4082" xr:uid="{00000000-0005-0000-0000-0000EE040000}"/>
    <cellStyle name="Calculation 12 3" xfId="1403" xr:uid="{00000000-0005-0000-0000-0000EF040000}"/>
    <cellStyle name="Calculation 12 3 2" xfId="4083" xr:uid="{00000000-0005-0000-0000-0000EF040000}"/>
    <cellStyle name="Calculation 12 4" xfId="1404" xr:uid="{00000000-0005-0000-0000-0000F0040000}"/>
    <cellStyle name="Calculation 12 4 2" xfId="4084" xr:uid="{00000000-0005-0000-0000-0000F0040000}"/>
    <cellStyle name="Calculation 12 5" xfId="1405" xr:uid="{00000000-0005-0000-0000-0000F1040000}"/>
    <cellStyle name="Calculation 12 5 2" xfId="4085" xr:uid="{00000000-0005-0000-0000-0000F1040000}"/>
    <cellStyle name="Calculation 12 6" xfId="4081" xr:uid="{00000000-0005-0000-0000-0000ED040000}"/>
    <cellStyle name="Calculation 13" xfId="1406" xr:uid="{00000000-0005-0000-0000-0000F2040000}"/>
    <cellStyle name="Calculation 13 2" xfId="4086" xr:uid="{00000000-0005-0000-0000-0000F2040000}"/>
    <cellStyle name="Calculation 14" xfId="1407" xr:uid="{00000000-0005-0000-0000-0000F3040000}"/>
    <cellStyle name="Calculation 14 2" xfId="4087" xr:uid="{00000000-0005-0000-0000-0000F3040000}"/>
    <cellStyle name="Calculation 15" xfId="1408" xr:uid="{00000000-0005-0000-0000-0000F4040000}"/>
    <cellStyle name="Calculation 15 2" xfId="4088" xr:uid="{00000000-0005-0000-0000-0000F4040000}"/>
    <cellStyle name="Calculation 16" xfId="1409" xr:uid="{00000000-0005-0000-0000-0000F5040000}"/>
    <cellStyle name="Calculation 16 2" xfId="4089" xr:uid="{00000000-0005-0000-0000-0000F5040000}"/>
    <cellStyle name="Calculation 17" xfId="4070" xr:uid="{00000000-0005-0000-0000-0000E2040000}"/>
    <cellStyle name="Calculation 2" xfId="1410" xr:uid="{00000000-0005-0000-0000-0000F6040000}"/>
    <cellStyle name="Calculation 2 2" xfId="1411" xr:uid="{00000000-0005-0000-0000-0000F7040000}"/>
    <cellStyle name="Calculation 2 2 2" xfId="4091" xr:uid="{00000000-0005-0000-0000-0000F7040000}"/>
    <cellStyle name="Calculation 2 3" xfId="1412" xr:uid="{00000000-0005-0000-0000-0000F8040000}"/>
    <cellStyle name="Calculation 2 3 2" xfId="4092" xr:uid="{00000000-0005-0000-0000-0000F8040000}"/>
    <cellStyle name="Calculation 2 4" xfId="1413" xr:uid="{00000000-0005-0000-0000-0000F9040000}"/>
    <cellStyle name="Calculation 2 4 2" xfId="4093" xr:uid="{00000000-0005-0000-0000-0000F9040000}"/>
    <cellStyle name="Calculation 2 5" xfId="1414" xr:uid="{00000000-0005-0000-0000-0000FA040000}"/>
    <cellStyle name="Calculation 2 5 2" xfId="4094" xr:uid="{00000000-0005-0000-0000-0000FA040000}"/>
    <cellStyle name="Calculation 2 6" xfId="4090" xr:uid="{00000000-0005-0000-0000-0000F6040000}"/>
    <cellStyle name="Calculation 3" xfId="1415" xr:uid="{00000000-0005-0000-0000-0000FB040000}"/>
    <cellStyle name="Calculation 3 2" xfId="1416" xr:uid="{00000000-0005-0000-0000-0000FC040000}"/>
    <cellStyle name="Calculation 3 2 2" xfId="4096" xr:uid="{00000000-0005-0000-0000-0000FC040000}"/>
    <cellStyle name="Calculation 3 3" xfId="1417" xr:uid="{00000000-0005-0000-0000-0000FD040000}"/>
    <cellStyle name="Calculation 3 3 2" xfId="4097" xr:uid="{00000000-0005-0000-0000-0000FD040000}"/>
    <cellStyle name="Calculation 3 4" xfId="1418" xr:uid="{00000000-0005-0000-0000-0000FE040000}"/>
    <cellStyle name="Calculation 3 4 2" xfId="4098" xr:uid="{00000000-0005-0000-0000-0000FE040000}"/>
    <cellStyle name="Calculation 3 5" xfId="1419" xr:uid="{00000000-0005-0000-0000-0000FF040000}"/>
    <cellStyle name="Calculation 3 5 2" xfId="4099" xr:uid="{00000000-0005-0000-0000-0000FF040000}"/>
    <cellStyle name="Calculation 3 6" xfId="4095" xr:uid="{00000000-0005-0000-0000-0000FB040000}"/>
    <cellStyle name="Calculation 4" xfId="1420" xr:uid="{00000000-0005-0000-0000-000000050000}"/>
    <cellStyle name="Calculation 4 2" xfId="1421" xr:uid="{00000000-0005-0000-0000-000001050000}"/>
    <cellStyle name="Calculation 4 2 2" xfId="4101" xr:uid="{00000000-0005-0000-0000-000001050000}"/>
    <cellStyle name="Calculation 4 3" xfId="1422" xr:uid="{00000000-0005-0000-0000-000002050000}"/>
    <cellStyle name="Calculation 4 3 2" xfId="4102" xr:uid="{00000000-0005-0000-0000-000002050000}"/>
    <cellStyle name="Calculation 4 4" xfId="1423" xr:uid="{00000000-0005-0000-0000-000003050000}"/>
    <cellStyle name="Calculation 4 4 2" xfId="4103" xr:uid="{00000000-0005-0000-0000-000003050000}"/>
    <cellStyle name="Calculation 4 5" xfId="1424" xr:uid="{00000000-0005-0000-0000-000004050000}"/>
    <cellStyle name="Calculation 4 5 2" xfId="4104" xr:uid="{00000000-0005-0000-0000-000004050000}"/>
    <cellStyle name="Calculation 4 6" xfId="4100" xr:uid="{00000000-0005-0000-0000-000000050000}"/>
    <cellStyle name="Calculation 5" xfId="1425" xr:uid="{00000000-0005-0000-0000-000005050000}"/>
    <cellStyle name="Calculation 5 2" xfId="1426" xr:uid="{00000000-0005-0000-0000-000006050000}"/>
    <cellStyle name="Calculation 5 2 2" xfId="4106" xr:uid="{00000000-0005-0000-0000-000006050000}"/>
    <cellStyle name="Calculation 5 3" xfId="1427" xr:uid="{00000000-0005-0000-0000-000007050000}"/>
    <cellStyle name="Calculation 5 3 2" xfId="4107" xr:uid="{00000000-0005-0000-0000-000007050000}"/>
    <cellStyle name="Calculation 5 4" xfId="1428" xr:uid="{00000000-0005-0000-0000-000008050000}"/>
    <cellStyle name="Calculation 5 4 2" xfId="4108" xr:uid="{00000000-0005-0000-0000-000008050000}"/>
    <cellStyle name="Calculation 5 5" xfId="1429" xr:uid="{00000000-0005-0000-0000-000009050000}"/>
    <cellStyle name="Calculation 5 5 2" xfId="4109" xr:uid="{00000000-0005-0000-0000-000009050000}"/>
    <cellStyle name="Calculation 5 6" xfId="4105" xr:uid="{00000000-0005-0000-0000-000005050000}"/>
    <cellStyle name="Calculation 6" xfId="1430" xr:uid="{00000000-0005-0000-0000-00000A050000}"/>
    <cellStyle name="Calculation 6 2" xfId="1431" xr:uid="{00000000-0005-0000-0000-00000B050000}"/>
    <cellStyle name="Calculation 6 2 2" xfId="4111" xr:uid="{00000000-0005-0000-0000-00000B050000}"/>
    <cellStyle name="Calculation 6 3" xfId="1432" xr:uid="{00000000-0005-0000-0000-00000C050000}"/>
    <cellStyle name="Calculation 6 3 2" xfId="4112" xr:uid="{00000000-0005-0000-0000-00000C050000}"/>
    <cellStyle name="Calculation 6 4" xfId="1433" xr:uid="{00000000-0005-0000-0000-00000D050000}"/>
    <cellStyle name="Calculation 6 4 2" xfId="4113" xr:uid="{00000000-0005-0000-0000-00000D050000}"/>
    <cellStyle name="Calculation 6 5" xfId="1434" xr:uid="{00000000-0005-0000-0000-00000E050000}"/>
    <cellStyle name="Calculation 6 5 2" xfId="4114" xr:uid="{00000000-0005-0000-0000-00000E050000}"/>
    <cellStyle name="Calculation 6 6" xfId="4110" xr:uid="{00000000-0005-0000-0000-00000A050000}"/>
    <cellStyle name="Calculation 7" xfId="1435" xr:uid="{00000000-0005-0000-0000-00000F050000}"/>
    <cellStyle name="Calculation 7 2" xfId="1436" xr:uid="{00000000-0005-0000-0000-000010050000}"/>
    <cellStyle name="Calculation 7 2 2" xfId="4116" xr:uid="{00000000-0005-0000-0000-000010050000}"/>
    <cellStyle name="Calculation 7 3" xfId="1437" xr:uid="{00000000-0005-0000-0000-000011050000}"/>
    <cellStyle name="Calculation 7 3 2" xfId="4117" xr:uid="{00000000-0005-0000-0000-000011050000}"/>
    <cellStyle name="Calculation 7 4" xfId="1438" xr:uid="{00000000-0005-0000-0000-000012050000}"/>
    <cellStyle name="Calculation 7 4 2" xfId="4118" xr:uid="{00000000-0005-0000-0000-000012050000}"/>
    <cellStyle name="Calculation 7 5" xfId="1439" xr:uid="{00000000-0005-0000-0000-000013050000}"/>
    <cellStyle name="Calculation 7 5 2" xfId="4119" xr:uid="{00000000-0005-0000-0000-000013050000}"/>
    <cellStyle name="Calculation 7 6" xfId="4115" xr:uid="{00000000-0005-0000-0000-00000F050000}"/>
    <cellStyle name="Calculation 8" xfId="1440" xr:uid="{00000000-0005-0000-0000-000014050000}"/>
    <cellStyle name="Calculation 8 2" xfId="1441" xr:uid="{00000000-0005-0000-0000-000015050000}"/>
    <cellStyle name="Calculation 8 2 2" xfId="4121" xr:uid="{00000000-0005-0000-0000-000015050000}"/>
    <cellStyle name="Calculation 8 3" xfId="1442" xr:uid="{00000000-0005-0000-0000-000016050000}"/>
    <cellStyle name="Calculation 8 3 2" xfId="4122" xr:uid="{00000000-0005-0000-0000-000016050000}"/>
    <cellStyle name="Calculation 8 4" xfId="1443" xr:uid="{00000000-0005-0000-0000-000017050000}"/>
    <cellStyle name="Calculation 8 4 2" xfId="4123" xr:uid="{00000000-0005-0000-0000-000017050000}"/>
    <cellStyle name="Calculation 8 5" xfId="1444" xr:uid="{00000000-0005-0000-0000-000018050000}"/>
    <cellStyle name="Calculation 8 5 2" xfId="4124" xr:uid="{00000000-0005-0000-0000-000018050000}"/>
    <cellStyle name="Calculation 8 6" xfId="4120" xr:uid="{00000000-0005-0000-0000-000014050000}"/>
    <cellStyle name="Calculation 9" xfId="1445" xr:uid="{00000000-0005-0000-0000-000019050000}"/>
    <cellStyle name="Calculation 9 2" xfId="1446" xr:uid="{00000000-0005-0000-0000-00001A050000}"/>
    <cellStyle name="Calculation 9 2 2" xfId="4126" xr:uid="{00000000-0005-0000-0000-00001A050000}"/>
    <cellStyle name="Calculation 9 3" xfId="1447" xr:uid="{00000000-0005-0000-0000-00001B050000}"/>
    <cellStyle name="Calculation 9 3 2" xfId="4127" xr:uid="{00000000-0005-0000-0000-00001B050000}"/>
    <cellStyle name="Calculation 9 4" xfId="1448" xr:uid="{00000000-0005-0000-0000-00001C050000}"/>
    <cellStyle name="Calculation 9 4 2" xfId="4128" xr:uid="{00000000-0005-0000-0000-00001C050000}"/>
    <cellStyle name="Calculation 9 5" xfId="1449" xr:uid="{00000000-0005-0000-0000-00001D050000}"/>
    <cellStyle name="Calculation 9 5 2" xfId="4129" xr:uid="{00000000-0005-0000-0000-00001D050000}"/>
    <cellStyle name="Calculation 9 6" xfId="4125" xr:uid="{00000000-0005-0000-0000-000019050000}"/>
    <cellStyle name="Case" xfId="198" xr:uid="{00000000-0005-0000-0000-00001E050000}"/>
    <cellStyle name="category" xfId="199" xr:uid="{00000000-0005-0000-0000-00001F050000}"/>
    <cellStyle name="Check Cell" xfId="1450" xr:uid="{00000000-0005-0000-0000-000020050000}"/>
    <cellStyle name="columns_array" xfId="1451" xr:uid="{00000000-0005-0000-0000-000021050000}"/>
    <cellStyle name="Comma" xfId="200" xr:uid="{00000000-0005-0000-0000-000022050000}"/>
    <cellStyle name="Comma  - Style1" xfId="1452" xr:uid="{00000000-0005-0000-0000-000023050000}"/>
    <cellStyle name="Comma  - Style2" xfId="1453" xr:uid="{00000000-0005-0000-0000-000024050000}"/>
    <cellStyle name="Comma  - Style3" xfId="1454" xr:uid="{00000000-0005-0000-0000-000025050000}"/>
    <cellStyle name="Comma  - Style4" xfId="1455" xr:uid="{00000000-0005-0000-0000-000026050000}"/>
    <cellStyle name="Comma  - Style5" xfId="1456" xr:uid="{00000000-0005-0000-0000-000027050000}"/>
    <cellStyle name="Comma  - Style6" xfId="1457" xr:uid="{00000000-0005-0000-0000-000028050000}"/>
    <cellStyle name="Comma  - Style7" xfId="1458" xr:uid="{00000000-0005-0000-0000-000029050000}"/>
    <cellStyle name="Comma  - Style8" xfId="1459" xr:uid="{00000000-0005-0000-0000-00002A050000}"/>
    <cellStyle name="Comma [0]" xfId="201" xr:uid="{00000000-0005-0000-0000-00002B050000}"/>
    <cellStyle name="Comma [00]" xfId="1460" xr:uid="{00000000-0005-0000-0000-00002C050000}"/>
    <cellStyle name="Comma 0" xfId="1461" xr:uid="{00000000-0005-0000-0000-00002D050000}"/>
    <cellStyle name="Comma 2" xfId="1462" xr:uid="{00000000-0005-0000-0000-00002E050000}"/>
    <cellStyle name="comma zerodec" xfId="202" xr:uid="{00000000-0005-0000-0000-00002F050000}"/>
    <cellStyle name="comma zerodec 2" xfId="1463" xr:uid="{00000000-0005-0000-0000-000030050000}"/>
    <cellStyle name="comma zerodec 3" xfId="1464" xr:uid="{00000000-0005-0000-0000-000031050000}"/>
    <cellStyle name="Comma_ sg&amp;a br" xfId="203" xr:uid="{00000000-0005-0000-0000-000032050000}"/>
    <cellStyle name="Comma0" xfId="204" xr:uid="{00000000-0005-0000-0000-000033050000}"/>
    <cellStyle name="Copied" xfId="1465" xr:uid="{00000000-0005-0000-0000-000034050000}"/>
    <cellStyle name="Curren?_x0012_퐀_x0017_?" xfId="1466" xr:uid="{00000000-0005-0000-0000-000035050000}"/>
    <cellStyle name="Currency" xfId="205" xr:uid="{00000000-0005-0000-0000-000036050000}"/>
    <cellStyle name="Currency [0]" xfId="206" xr:uid="{00000000-0005-0000-0000-000037050000}"/>
    <cellStyle name="Currency [0}_r1" xfId="1467" xr:uid="{00000000-0005-0000-0000-000038050000}"/>
    <cellStyle name="Currency [00]" xfId="1468" xr:uid="{00000000-0005-0000-0000-000039050000}"/>
    <cellStyle name="Currency 0" xfId="1469" xr:uid="{00000000-0005-0000-0000-00003A050000}"/>
    <cellStyle name="Currency 2" xfId="1470" xr:uid="{00000000-0005-0000-0000-00003B050000}"/>
    <cellStyle name="currency-$" xfId="207" xr:uid="{00000000-0005-0000-0000-00003C050000}"/>
    <cellStyle name="currency-$ 10" xfId="1471" xr:uid="{00000000-0005-0000-0000-00003D050000}"/>
    <cellStyle name="currency-$ 10 2" xfId="4130" xr:uid="{00000000-0005-0000-0000-00003D050000}"/>
    <cellStyle name="currency-$ 11" xfId="1472" xr:uid="{00000000-0005-0000-0000-00003E050000}"/>
    <cellStyle name="currency-$ 11 2" xfId="4131" xr:uid="{00000000-0005-0000-0000-00003E050000}"/>
    <cellStyle name="currency-$ 12" xfId="1473" xr:uid="{00000000-0005-0000-0000-00003F050000}"/>
    <cellStyle name="currency-$ 12 2" xfId="4132" xr:uid="{00000000-0005-0000-0000-00003F050000}"/>
    <cellStyle name="currency-$ 13" xfId="1474" xr:uid="{00000000-0005-0000-0000-000040050000}"/>
    <cellStyle name="currency-$ 13 2" xfId="4133" xr:uid="{00000000-0005-0000-0000-000040050000}"/>
    <cellStyle name="currency-$ 14" xfId="3533" xr:uid="{00000000-0005-0000-0000-00003C050000}"/>
    <cellStyle name="currency-$ 2" xfId="1475" xr:uid="{00000000-0005-0000-0000-000041050000}"/>
    <cellStyle name="currency-$ 2 2" xfId="1476" xr:uid="{00000000-0005-0000-0000-000042050000}"/>
    <cellStyle name="currency-$ 2 2 2" xfId="4135" xr:uid="{00000000-0005-0000-0000-000042050000}"/>
    <cellStyle name="currency-$ 2 3" xfId="1477" xr:uid="{00000000-0005-0000-0000-000043050000}"/>
    <cellStyle name="currency-$ 2 3 2" xfId="4136" xr:uid="{00000000-0005-0000-0000-000043050000}"/>
    <cellStyle name="currency-$ 2 4" xfId="1478" xr:uid="{00000000-0005-0000-0000-000044050000}"/>
    <cellStyle name="currency-$ 2 4 2" xfId="4137" xr:uid="{00000000-0005-0000-0000-000044050000}"/>
    <cellStyle name="currency-$ 2 5" xfId="1479" xr:uid="{00000000-0005-0000-0000-000045050000}"/>
    <cellStyle name="currency-$ 2 5 2" xfId="4138" xr:uid="{00000000-0005-0000-0000-000045050000}"/>
    <cellStyle name="currency-$ 2 6" xfId="4134" xr:uid="{00000000-0005-0000-0000-000041050000}"/>
    <cellStyle name="currency-$ 3" xfId="1480" xr:uid="{00000000-0005-0000-0000-000046050000}"/>
    <cellStyle name="currency-$ 3 2" xfId="1481" xr:uid="{00000000-0005-0000-0000-000047050000}"/>
    <cellStyle name="currency-$ 3 2 2" xfId="4140" xr:uid="{00000000-0005-0000-0000-000047050000}"/>
    <cellStyle name="currency-$ 3 3" xfId="1482" xr:uid="{00000000-0005-0000-0000-000048050000}"/>
    <cellStyle name="currency-$ 3 3 2" xfId="4141" xr:uid="{00000000-0005-0000-0000-000048050000}"/>
    <cellStyle name="currency-$ 3 4" xfId="1483" xr:uid="{00000000-0005-0000-0000-000049050000}"/>
    <cellStyle name="currency-$ 3 4 2" xfId="4142" xr:uid="{00000000-0005-0000-0000-000049050000}"/>
    <cellStyle name="currency-$ 3 5" xfId="1484" xr:uid="{00000000-0005-0000-0000-00004A050000}"/>
    <cellStyle name="currency-$ 3 5 2" xfId="4143" xr:uid="{00000000-0005-0000-0000-00004A050000}"/>
    <cellStyle name="currency-$ 3 6" xfId="4139" xr:uid="{00000000-0005-0000-0000-000046050000}"/>
    <cellStyle name="currency-$ 4" xfId="1485" xr:uid="{00000000-0005-0000-0000-00004B050000}"/>
    <cellStyle name="currency-$ 4 2" xfId="1486" xr:uid="{00000000-0005-0000-0000-00004C050000}"/>
    <cellStyle name="currency-$ 4 2 2" xfId="4145" xr:uid="{00000000-0005-0000-0000-00004C050000}"/>
    <cellStyle name="currency-$ 4 3" xfId="1487" xr:uid="{00000000-0005-0000-0000-00004D050000}"/>
    <cellStyle name="currency-$ 4 3 2" xfId="4146" xr:uid="{00000000-0005-0000-0000-00004D050000}"/>
    <cellStyle name="currency-$ 4 4" xfId="1488" xr:uid="{00000000-0005-0000-0000-00004E050000}"/>
    <cellStyle name="currency-$ 4 4 2" xfId="4147" xr:uid="{00000000-0005-0000-0000-00004E050000}"/>
    <cellStyle name="currency-$ 4 5" xfId="1489" xr:uid="{00000000-0005-0000-0000-00004F050000}"/>
    <cellStyle name="currency-$ 4 5 2" xfId="4148" xr:uid="{00000000-0005-0000-0000-00004F050000}"/>
    <cellStyle name="currency-$ 4 6" xfId="4144" xr:uid="{00000000-0005-0000-0000-00004B050000}"/>
    <cellStyle name="currency-$ 5" xfId="1490" xr:uid="{00000000-0005-0000-0000-000050050000}"/>
    <cellStyle name="currency-$ 5 2" xfId="1491" xr:uid="{00000000-0005-0000-0000-000051050000}"/>
    <cellStyle name="currency-$ 5 2 2" xfId="4150" xr:uid="{00000000-0005-0000-0000-000051050000}"/>
    <cellStyle name="currency-$ 5 3" xfId="1492" xr:uid="{00000000-0005-0000-0000-000052050000}"/>
    <cellStyle name="currency-$ 5 3 2" xfId="4151" xr:uid="{00000000-0005-0000-0000-000052050000}"/>
    <cellStyle name="currency-$ 5 4" xfId="1493" xr:uid="{00000000-0005-0000-0000-000053050000}"/>
    <cellStyle name="currency-$ 5 4 2" xfId="4152" xr:uid="{00000000-0005-0000-0000-000053050000}"/>
    <cellStyle name="currency-$ 5 5" xfId="1494" xr:uid="{00000000-0005-0000-0000-000054050000}"/>
    <cellStyle name="currency-$ 5 5 2" xfId="4153" xr:uid="{00000000-0005-0000-0000-000054050000}"/>
    <cellStyle name="currency-$ 5 6" xfId="4149" xr:uid="{00000000-0005-0000-0000-000050050000}"/>
    <cellStyle name="currency-$ 6" xfId="1495" xr:uid="{00000000-0005-0000-0000-000055050000}"/>
    <cellStyle name="currency-$ 6 2" xfId="1496" xr:uid="{00000000-0005-0000-0000-000056050000}"/>
    <cellStyle name="currency-$ 6 2 2" xfId="4155" xr:uid="{00000000-0005-0000-0000-000056050000}"/>
    <cellStyle name="currency-$ 6 3" xfId="1497" xr:uid="{00000000-0005-0000-0000-000057050000}"/>
    <cellStyle name="currency-$ 6 3 2" xfId="4156" xr:uid="{00000000-0005-0000-0000-000057050000}"/>
    <cellStyle name="currency-$ 6 4" xfId="1498" xr:uid="{00000000-0005-0000-0000-000058050000}"/>
    <cellStyle name="currency-$ 6 4 2" xfId="4157" xr:uid="{00000000-0005-0000-0000-000058050000}"/>
    <cellStyle name="currency-$ 6 5" xfId="1499" xr:uid="{00000000-0005-0000-0000-000059050000}"/>
    <cellStyle name="currency-$ 6 5 2" xfId="4158" xr:uid="{00000000-0005-0000-0000-000059050000}"/>
    <cellStyle name="currency-$ 6 6" xfId="4154" xr:uid="{00000000-0005-0000-0000-000055050000}"/>
    <cellStyle name="currency-$ 7" xfId="1500" xr:uid="{00000000-0005-0000-0000-00005A050000}"/>
    <cellStyle name="currency-$ 7 2" xfId="1501" xr:uid="{00000000-0005-0000-0000-00005B050000}"/>
    <cellStyle name="currency-$ 7 2 2" xfId="4160" xr:uid="{00000000-0005-0000-0000-00005B050000}"/>
    <cellStyle name="currency-$ 7 3" xfId="1502" xr:uid="{00000000-0005-0000-0000-00005C050000}"/>
    <cellStyle name="currency-$ 7 3 2" xfId="4161" xr:uid="{00000000-0005-0000-0000-00005C050000}"/>
    <cellStyle name="currency-$ 7 4" xfId="1503" xr:uid="{00000000-0005-0000-0000-00005D050000}"/>
    <cellStyle name="currency-$ 7 4 2" xfId="4162" xr:uid="{00000000-0005-0000-0000-00005D050000}"/>
    <cellStyle name="currency-$ 7 5" xfId="1504" xr:uid="{00000000-0005-0000-0000-00005E050000}"/>
    <cellStyle name="currency-$ 7 5 2" xfId="4163" xr:uid="{00000000-0005-0000-0000-00005E050000}"/>
    <cellStyle name="currency-$ 7 6" xfId="4159" xr:uid="{00000000-0005-0000-0000-00005A050000}"/>
    <cellStyle name="currency-$ 8" xfId="1505" xr:uid="{00000000-0005-0000-0000-00005F050000}"/>
    <cellStyle name="currency-$ 8 2" xfId="1506" xr:uid="{00000000-0005-0000-0000-000060050000}"/>
    <cellStyle name="currency-$ 8 2 2" xfId="4165" xr:uid="{00000000-0005-0000-0000-000060050000}"/>
    <cellStyle name="currency-$ 8 3" xfId="1507" xr:uid="{00000000-0005-0000-0000-000061050000}"/>
    <cellStyle name="currency-$ 8 3 2" xfId="4166" xr:uid="{00000000-0005-0000-0000-000061050000}"/>
    <cellStyle name="currency-$ 8 4" xfId="1508" xr:uid="{00000000-0005-0000-0000-000062050000}"/>
    <cellStyle name="currency-$ 8 4 2" xfId="4167" xr:uid="{00000000-0005-0000-0000-000062050000}"/>
    <cellStyle name="currency-$ 8 5" xfId="1509" xr:uid="{00000000-0005-0000-0000-000063050000}"/>
    <cellStyle name="currency-$ 8 5 2" xfId="4168" xr:uid="{00000000-0005-0000-0000-000063050000}"/>
    <cellStyle name="currency-$ 8 6" xfId="4164" xr:uid="{00000000-0005-0000-0000-00005F050000}"/>
    <cellStyle name="currency-$ 9" xfId="1510" xr:uid="{00000000-0005-0000-0000-000064050000}"/>
    <cellStyle name="currency-$ 9 2" xfId="1511" xr:uid="{00000000-0005-0000-0000-000065050000}"/>
    <cellStyle name="currency-$ 9 2 2" xfId="4170" xr:uid="{00000000-0005-0000-0000-000065050000}"/>
    <cellStyle name="currency-$ 9 3" xfId="1512" xr:uid="{00000000-0005-0000-0000-000066050000}"/>
    <cellStyle name="currency-$ 9 3 2" xfId="4171" xr:uid="{00000000-0005-0000-0000-000066050000}"/>
    <cellStyle name="currency-$ 9 4" xfId="1513" xr:uid="{00000000-0005-0000-0000-000067050000}"/>
    <cellStyle name="currency-$ 9 4 2" xfId="4172" xr:uid="{00000000-0005-0000-0000-000067050000}"/>
    <cellStyle name="currency-$ 9 5" xfId="1514" xr:uid="{00000000-0005-0000-0000-000068050000}"/>
    <cellStyle name="currency-$ 9 5 2" xfId="4173" xr:uid="{00000000-0005-0000-0000-000068050000}"/>
    <cellStyle name="currency-$ 9 6" xfId="4169" xr:uid="{00000000-0005-0000-0000-000064050000}"/>
    <cellStyle name="Currency_ sg&amp;a" xfId="208" xr:uid="{00000000-0005-0000-0000-000069050000}"/>
    <cellStyle name="Currency0" xfId="1515" xr:uid="{00000000-0005-0000-0000-00006A050000}"/>
    <cellStyle name="Currency1" xfId="209" xr:uid="{00000000-0005-0000-0000-00006B050000}"/>
    <cellStyle name="Currency1 2" xfId="1516" xr:uid="{00000000-0005-0000-0000-00006C050000}"/>
    <cellStyle name="Currency1 3" xfId="1517" xr:uid="{00000000-0005-0000-0000-00006D050000}"/>
    <cellStyle name="C줔AO_  FAB AIA?  " xfId="1518" xr:uid="{00000000-0005-0000-0000-00006E050000}"/>
    <cellStyle name="Dash" xfId="1519" xr:uid="{00000000-0005-0000-0000-00006F050000}"/>
    <cellStyle name="Date" xfId="210" xr:uid="{00000000-0005-0000-0000-000070050000}"/>
    <cellStyle name="Date Aligned" xfId="1520" xr:uid="{00000000-0005-0000-0000-000071050000}"/>
    <cellStyle name="Date Short" xfId="1521" xr:uid="{00000000-0005-0000-0000-000072050000}"/>
    <cellStyle name="Date_◇FP-1(99&amp;2000년EBIT&amp;EBITDA)" xfId="1522" xr:uid="{00000000-0005-0000-0000-000073050000}"/>
    <cellStyle name="DELTA" xfId="1523" xr:uid="{00000000-0005-0000-0000-000074050000}"/>
    <cellStyle name="Dezimal [0]_Aktenbewertung 1994" xfId="1524" xr:uid="{00000000-0005-0000-0000-000075050000}"/>
    <cellStyle name="Dezimal_Aktenbewertung 1994" xfId="1525" xr:uid="{00000000-0005-0000-0000-000076050000}"/>
    <cellStyle name="dgw" xfId="1526" xr:uid="{00000000-0005-0000-0000-000077050000}"/>
    <cellStyle name="Dollar (zero dec)" xfId="211" xr:uid="{00000000-0005-0000-0000-000078050000}"/>
    <cellStyle name="Dollar (zero dec) 2" xfId="1527" xr:uid="{00000000-0005-0000-0000-000079050000}"/>
    <cellStyle name="Dollar (zero dec) 3" xfId="1528" xr:uid="{00000000-0005-0000-0000-00007A050000}"/>
    <cellStyle name="Dotted Line" xfId="1529" xr:uid="{00000000-0005-0000-0000-00007B050000}"/>
    <cellStyle name="Double Accounting" xfId="212" xr:uid="{00000000-0005-0000-0000-00007C050000}"/>
    <cellStyle name="ECT" xfId="1530" xr:uid="{00000000-0005-0000-0000-00007D050000}"/>
    <cellStyle name="Enter Currency (0)" xfId="1531" xr:uid="{00000000-0005-0000-0000-00007E050000}"/>
    <cellStyle name="Enter Currency (2)" xfId="1532" xr:uid="{00000000-0005-0000-0000-00007F050000}"/>
    <cellStyle name="Enter Units (0)" xfId="1533" xr:uid="{00000000-0005-0000-0000-000080050000}"/>
    <cellStyle name="Enter Units (1)" xfId="1534" xr:uid="{00000000-0005-0000-0000-000081050000}"/>
    <cellStyle name="Enter Units (2)" xfId="1535" xr:uid="{00000000-0005-0000-0000-000082050000}"/>
    <cellStyle name="Entered" xfId="1536" xr:uid="{00000000-0005-0000-0000-000083050000}"/>
    <cellStyle name="entry" xfId="1537" xr:uid="{00000000-0005-0000-0000-000084050000}"/>
    <cellStyle name="Euro" xfId="213" xr:uid="{00000000-0005-0000-0000-000085050000}"/>
    <cellStyle name="Excel Built-in Comma [0]" xfId="1538" xr:uid="{00000000-0005-0000-0000-000086050000}"/>
    <cellStyle name="Explanatory Text" xfId="1539" xr:uid="{00000000-0005-0000-0000-000087050000}"/>
    <cellStyle name="EY House" xfId="1540" xr:uid="{00000000-0005-0000-0000-000088050000}"/>
    <cellStyle name="F2" xfId="1541" xr:uid="{00000000-0005-0000-0000-000089050000}"/>
    <cellStyle name="F3" xfId="1542" xr:uid="{00000000-0005-0000-0000-00008A050000}"/>
    <cellStyle name="F4" xfId="1543" xr:uid="{00000000-0005-0000-0000-00008B050000}"/>
    <cellStyle name="F5" xfId="1544" xr:uid="{00000000-0005-0000-0000-00008C050000}"/>
    <cellStyle name="F6" xfId="1545" xr:uid="{00000000-0005-0000-0000-00008D050000}"/>
    <cellStyle name="F7" xfId="1546" xr:uid="{00000000-0005-0000-0000-00008E050000}"/>
    <cellStyle name="F8" xfId="1547" xr:uid="{00000000-0005-0000-0000-00008F050000}"/>
    <cellStyle name="Fixed" xfId="214" xr:uid="{00000000-0005-0000-0000-000090050000}"/>
    <cellStyle name="Followed Hyperlink" xfId="1548" xr:uid="{00000000-0005-0000-0000-000091050000}"/>
    <cellStyle name="Footnote" xfId="1549" xr:uid="{00000000-0005-0000-0000-000092050000}"/>
    <cellStyle name="Good" xfId="1550" xr:uid="{00000000-0005-0000-0000-000093050000}"/>
    <cellStyle name="Grey" xfId="215" xr:uid="{00000000-0005-0000-0000-000094050000}"/>
    <cellStyle name="Grey 2" xfId="1551" xr:uid="{00000000-0005-0000-0000-000095050000}"/>
    <cellStyle name="Grey 2 2" xfId="1552" xr:uid="{00000000-0005-0000-0000-000096050000}"/>
    <cellStyle name="Hard Percent" xfId="1553" xr:uid="{00000000-0005-0000-0000-000097050000}"/>
    <cellStyle name="head1" xfId="1554" xr:uid="{00000000-0005-0000-0000-000098050000}"/>
    <cellStyle name="head2" xfId="1555" xr:uid="{00000000-0005-0000-0000-000099050000}"/>
    <cellStyle name="head3" xfId="1556" xr:uid="{00000000-0005-0000-0000-00009A050000}"/>
    <cellStyle name="HEADER" xfId="216" xr:uid="{00000000-0005-0000-0000-00009B050000}"/>
    <cellStyle name="Header1" xfId="217" xr:uid="{00000000-0005-0000-0000-00009C050000}"/>
    <cellStyle name="Header2" xfId="218" xr:uid="{00000000-0005-0000-0000-00009D050000}"/>
    <cellStyle name="Header2 10" xfId="1557" xr:uid="{00000000-0005-0000-0000-00009E050000}"/>
    <cellStyle name="Header2 10 2" xfId="4174" xr:uid="{00000000-0005-0000-0000-00009E050000}"/>
    <cellStyle name="Header2 11" xfId="1558" xr:uid="{00000000-0005-0000-0000-00009F050000}"/>
    <cellStyle name="Header2 11 2" xfId="4175" xr:uid="{00000000-0005-0000-0000-00009F050000}"/>
    <cellStyle name="Header2 12" xfId="1559" xr:uid="{00000000-0005-0000-0000-0000A0050000}"/>
    <cellStyle name="Header2 12 2" xfId="4176" xr:uid="{00000000-0005-0000-0000-0000A0050000}"/>
    <cellStyle name="Header2 13" xfId="1560" xr:uid="{00000000-0005-0000-0000-0000A1050000}"/>
    <cellStyle name="Header2 13 2" xfId="4177" xr:uid="{00000000-0005-0000-0000-0000A1050000}"/>
    <cellStyle name="Header2 14" xfId="3534" xr:uid="{00000000-0005-0000-0000-00009D050000}"/>
    <cellStyle name="Header2 2" xfId="1561" xr:uid="{00000000-0005-0000-0000-0000A2050000}"/>
    <cellStyle name="Header2 2 2" xfId="1562" xr:uid="{00000000-0005-0000-0000-0000A3050000}"/>
    <cellStyle name="Header2 2 2 2" xfId="4179" xr:uid="{00000000-0005-0000-0000-0000A3050000}"/>
    <cellStyle name="Header2 2 3" xfId="1563" xr:uid="{00000000-0005-0000-0000-0000A4050000}"/>
    <cellStyle name="Header2 2 3 2" xfId="4180" xr:uid="{00000000-0005-0000-0000-0000A4050000}"/>
    <cellStyle name="Header2 2 4" xfId="1564" xr:uid="{00000000-0005-0000-0000-0000A5050000}"/>
    <cellStyle name="Header2 2 4 2" xfId="4181" xr:uid="{00000000-0005-0000-0000-0000A5050000}"/>
    <cellStyle name="Header2 2 5" xfId="1565" xr:uid="{00000000-0005-0000-0000-0000A6050000}"/>
    <cellStyle name="Header2 2 5 2" xfId="4182" xr:uid="{00000000-0005-0000-0000-0000A6050000}"/>
    <cellStyle name="Header2 2 6" xfId="4178" xr:uid="{00000000-0005-0000-0000-0000A2050000}"/>
    <cellStyle name="Header2 3" xfId="1566" xr:uid="{00000000-0005-0000-0000-0000A7050000}"/>
    <cellStyle name="Header2 3 2" xfId="1567" xr:uid="{00000000-0005-0000-0000-0000A8050000}"/>
    <cellStyle name="Header2 3 2 2" xfId="4184" xr:uid="{00000000-0005-0000-0000-0000A8050000}"/>
    <cellStyle name="Header2 3 3" xfId="1568" xr:uid="{00000000-0005-0000-0000-0000A9050000}"/>
    <cellStyle name="Header2 3 3 2" xfId="4185" xr:uid="{00000000-0005-0000-0000-0000A9050000}"/>
    <cellStyle name="Header2 3 4" xfId="1569" xr:uid="{00000000-0005-0000-0000-0000AA050000}"/>
    <cellStyle name="Header2 3 4 2" xfId="4186" xr:uid="{00000000-0005-0000-0000-0000AA050000}"/>
    <cellStyle name="Header2 3 5" xfId="1570" xr:uid="{00000000-0005-0000-0000-0000AB050000}"/>
    <cellStyle name="Header2 3 5 2" xfId="4187" xr:uid="{00000000-0005-0000-0000-0000AB050000}"/>
    <cellStyle name="Header2 3 6" xfId="4183" xr:uid="{00000000-0005-0000-0000-0000A7050000}"/>
    <cellStyle name="Header2 4" xfId="1571" xr:uid="{00000000-0005-0000-0000-0000AC050000}"/>
    <cellStyle name="Header2 4 2" xfId="1572" xr:uid="{00000000-0005-0000-0000-0000AD050000}"/>
    <cellStyle name="Header2 4 2 2" xfId="4189" xr:uid="{00000000-0005-0000-0000-0000AD050000}"/>
    <cellStyle name="Header2 4 3" xfId="1573" xr:uid="{00000000-0005-0000-0000-0000AE050000}"/>
    <cellStyle name="Header2 4 3 2" xfId="4190" xr:uid="{00000000-0005-0000-0000-0000AE050000}"/>
    <cellStyle name="Header2 4 4" xfId="1574" xr:uid="{00000000-0005-0000-0000-0000AF050000}"/>
    <cellStyle name="Header2 4 4 2" xfId="4191" xr:uid="{00000000-0005-0000-0000-0000AF050000}"/>
    <cellStyle name="Header2 4 5" xfId="1575" xr:uid="{00000000-0005-0000-0000-0000B0050000}"/>
    <cellStyle name="Header2 4 5 2" xfId="4192" xr:uid="{00000000-0005-0000-0000-0000B0050000}"/>
    <cellStyle name="Header2 4 6" xfId="4188" xr:uid="{00000000-0005-0000-0000-0000AC050000}"/>
    <cellStyle name="Header2 5" xfId="1576" xr:uid="{00000000-0005-0000-0000-0000B1050000}"/>
    <cellStyle name="Header2 5 2" xfId="1577" xr:uid="{00000000-0005-0000-0000-0000B2050000}"/>
    <cellStyle name="Header2 5 2 2" xfId="4194" xr:uid="{00000000-0005-0000-0000-0000B2050000}"/>
    <cellStyle name="Header2 5 3" xfId="1578" xr:uid="{00000000-0005-0000-0000-0000B3050000}"/>
    <cellStyle name="Header2 5 3 2" xfId="4195" xr:uid="{00000000-0005-0000-0000-0000B3050000}"/>
    <cellStyle name="Header2 5 4" xfId="1579" xr:uid="{00000000-0005-0000-0000-0000B4050000}"/>
    <cellStyle name="Header2 5 4 2" xfId="4196" xr:uid="{00000000-0005-0000-0000-0000B4050000}"/>
    <cellStyle name="Header2 5 5" xfId="1580" xr:uid="{00000000-0005-0000-0000-0000B5050000}"/>
    <cellStyle name="Header2 5 5 2" xfId="4197" xr:uid="{00000000-0005-0000-0000-0000B5050000}"/>
    <cellStyle name="Header2 5 6" xfId="4193" xr:uid="{00000000-0005-0000-0000-0000B1050000}"/>
    <cellStyle name="Header2 6" xfId="1581" xr:uid="{00000000-0005-0000-0000-0000B6050000}"/>
    <cellStyle name="Header2 6 2" xfId="1582" xr:uid="{00000000-0005-0000-0000-0000B7050000}"/>
    <cellStyle name="Header2 6 2 2" xfId="4199" xr:uid="{00000000-0005-0000-0000-0000B7050000}"/>
    <cellStyle name="Header2 6 3" xfId="1583" xr:uid="{00000000-0005-0000-0000-0000B8050000}"/>
    <cellStyle name="Header2 6 3 2" xfId="4200" xr:uid="{00000000-0005-0000-0000-0000B8050000}"/>
    <cellStyle name="Header2 6 4" xfId="1584" xr:uid="{00000000-0005-0000-0000-0000B9050000}"/>
    <cellStyle name="Header2 6 4 2" xfId="4201" xr:uid="{00000000-0005-0000-0000-0000B9050000}"/>
    <cellStyle name="Header2 6 5" xfId="1585" xr:uid="{00000000-0005-0000-0000-0000BA050000}"/>
    <cellStyle name="Header2 6 5 2" xfId="4202" xr:uid="{00000000-0005-0000-0000-0000BA050000}"/>
    <cellStyle name="Header2 6 6" xfId="4198" xr:uid="{00000000-0005-0000-0000-0000B6050000}"/>
    <cellStyle name="Header2 7" xfId="1586" xr:uid="{00000000-0005-0000-0000-0000BB050000}"/>
    <cellStyle name="Header2 7 2" xfId="1587" xr:uid="{00000000-0005-0000-0000-0000BC050000}"/>
    <cellStyle name="Header2 7 2 2" xfId="4204" xr:uid="{00000000-0005-0000-0000-0000BC050000}"/>
    <cellStyle name="Header2 7 3" xfId="1588" xr:uid="{00000000-0005-0000-0000-0000BD050000}"/>
    <cellStyle name="Header2 7 3 2" xfId="4205" xr:uid="{00000000-0005-0000-0000-0000BD050000}"/>
    <cellStyle name="Header2 7 4" xfId="1589" xr:uid="{00000000-0005-0000-0000-0000BE050000}"/>
    <cellStyle name="Header2 7 4 2" xfId="4206" xr:uid="{00000000-0005-0000-0000-0000BE050000}"/>
    <cellStyle name="Header2 7 5" xfId="1590" xr:uid="{00000000-0005-0000-0000-0000BF050000}"/>
    <cellStyle name="Header2 7 5 2" xfId="4207" xr:uid="{00000000-0005-0000-0000-0000BF050000}"/>
    <cellStyle name="Header2 7 6" xfId="4203" xr:uid="{00000000-0005-0000-0000-0000BB050000}"/>
    <cellStyle name="Header2 8" xfId="1591" xr:uid="{00000000-0005-0000-0000-0000C0050000}"/>
    <cellStyle name="Header2 8 2" xfId="1592" xr:uid="{00000000-0005-0000-0000-0000C1050000}"/>
    <cellStyle name="Header2 8 2 2" xfId="4209" xr:uid="{00000000-0005-0000-0000-0000C1050000}"/>
    <cellStyle name="Header2 8 3" xfId="1593" xr:uid="{00000000-0005-0000-0000-0000C2050000}"/>
    <cellStyle name="Header2 8 3 2" xfId="4210" xr:uid="{00000000-0005-0000-0000-0000C2050000}"/>
    <cellStyle name="Header2 8 4" xfId="1594" xr:uid="{00000000-0005-0000-0000-0000C3050000}"/>
    <cellStyle name="Header2 8 4 2" xfId="4211" xr:uid="{00000000-0005-0000-0000-0000C3050000}"/>
    <cellStyle name="Header2 8 5" xfId="1595" xr:uid="{00000000-0005-0000-0000-0000C4050000}"/>
    <cellStyle name="Header2 8 5 2" xfId="4212" xr:uid="{00000000-0005-0000-0000-0000C4050000}"/>
    <cellStyle name="Header2 8 6" xfId="4208" xr:uid="{00000000-0005-0000-0000-0000C0050000}"/>
    <cellStyle name="Header2 9" xfId="1596" xr:uid="{00000000-0005-0000-0000-0000C5050000}"/>
    <cellStyle name="Header2 9 2" xfId="1597" xr:uid="{00000000-0005-0000-0000-0000C6050000}"/>
    <cellStyle name="Header2 9 2 2" xfId="4214" xr:uid="{00000000-0005-0000-0000-0000C6050000}"/>
    <cellStyle name="Header2 9 3" xfId="1598" xr:uid="{00000000-0005-0000-0000-0000C7050000}"/>
    <cellStyle name="Header2 9 3 2" xfId="4215" xr:uid="{00000000-0005-0000-0000-0000C7050000}"/>
    <cellStyle name="Header2 9 4" xfId="1599" xr:uid="{00000000-0005-0000-0000-0000C8050000}"/>
    <cellStyle name="Header2 9 4 2" xfId="4216" xr:uid="{00000000-0005-0000-0000-0000C8050000}"/>
    <cellStyle name="Header2 9 5" xfId="1600" xr:uid="{00000000-0005-0000-0000-0000C9050000}"/>
    <cellStyle name="Header2 9 5 2" xfId="4217" xr:uid="{00000000-0005-0000-0000-0000C9050000}"/>
    <cellStyle name="Header2 9 6" xfId="4213" xr:uid="{00000000-0005-0000-0000-0000C5050000}"/>
    <cellStyle name="Heading" xfId="219" xr:uid="{00000000-0005-0000-0000-0000CA050000}"/>
    <cellStyle name="Heading 1" xfId="1601" xr:uid="{00000000-0005-0000-0000-0000CB050000}"/>
    <cellStyle name="Heading 2" xfId="1602" xr:uid="{00000000-0005-0000-0000-0000CC050000}"/>
    <cellStyle name="Heading 3" xfId="1603" xr:uid="{00000000-0005-0000-0000-0000CD050000}"/>
    <cellStyle name="Heading 4" xfId="1604" xr:uid="{00000000-0005-0000-0000-0000CE050000}"/>
    <cellStyle name="heading, 1,A MAJOR/BOLD" xfId="1605" xr:uid="{00000000-0005-0000-0000-0000CF050000}"/>
    <cellStyle name="Heading_1_임금인상" xfId="1606" xr:uid="{00000000-0005-0000-0000-0000D0050000}"/>
    <cellStyle name="Heading1" xfId="220" xr:uid="{00000000-0005-0000-0000-0000D1050000}"/>
    <cellStyle name="Heading2" xfId="221" xr:uid="{00000000-0005-0000-0000-0000D2050000}"/>
    <cellStyle name="HeadingS" xfId="222" xr:uid="{00000000-0005-0000-0000-0000D3050000}"/>
    <cellStyle name="HeadStyle" xfId="1607" xr:uid="{00000000-0005-0000-0000-0000D4050000}"/>
    <cellStyle name="Hedaings" xfId="1608" xr:uid="{00000000-0005-0000-0000-0000D5050000}"/>
    <cellStyle name="HIGHLIGHT" xfId="1609" xr:uid="{00000000-0005-0000-0000-0000D6050000}"/>
    <cellStyle name="Hyperlink" xfId="1610" xr:uid="{00000000-0005-0000-0000-0000D7050000}"/>
    <cellStyle name="Input" xfId="223" xr:uid="{00000000-0005-0000-0000-0000D8050000}"/>
    <cellStyle name="Input [yellow]" xfId="224" xr:uid="{00000000-0005-0000-0000-0000D9050000}"/>
    <cellStyle name="Input [yellow] 10" xfId="1611" xr:uid="{00000000-0005-0000-0000-0000DA050000}"/>
    <cellStyle name="Input [yellow] 10 2" xfId="1612" xr:uid="{00000000-0005-0000-0000-0000DB050000}"/>
    <cellStyle name="Input [yellow] 10 2 2" xfId="4219" xr:uid="{00000000-0005-0000-0000-0000DB050000}"/>
    <cellStyle name="Input [yellow] 10 3" xfId="1613" xr:uid="{00000000-0005-0000-0000-0000DC050000}"/>
    <cellStyle name="Input [yellow] 10 3 2" xfId="4220" xr:uid="{00000000-0005-0000-0000-0000DC050000}"/>
    <cellStyle name="Input [yellow] 10 4" xfId="1614" xr:uid="{00000000-0005-0000-0000-0000DD050000}"/>
    <cellStyle name="Input [yellow] 10 4 2" xfId="4221" xr:uid="{00000000-0005-0000-0000-0000DD050000}"/>
    <cellStyle name="Input [yellow] 10 5" xfId="1615" xr:uid="{00000000-0005-0000-0000-0000DE050000}"/>
    <cellStyle name="Input [yellow] 10 5 2" xfId="4222" xr:uid="{00000000-0005-0000-0000-0000DE050000}"/>
    <cellStyle name="Input [yellow] 10 6" xfId="4218" xr:uid="{00000000-0005-0000-0000-0000DA050000}"/>
    <cellStyle name="Input [yellow] 11" xfId="1616" xr:uid="{00000000-0005-0000-0000-0000DF050000}"/>
    <cellStyle name="Input [yellow] 11 2" xfId="4223" xr:uid="{00000000-0005-0000-0000-0000DF050000}"/>
    <cellStyle name="Input [yellow] 12" xfId="1617" xr:uid="{00000000-0005-0000-0000-0000E0050000}"/>
    <cellStyle name="Input [yellow] 12 2" xfId="4224" xr:uid="{00000000-0005-0000-0000-0000E0050000}"/>
    <cellStyle name="Input [yellow] 13" xfId="1618" xr:uid="{00000000-0005-0000-0000-0000E1050000}"/>
    <cellStyle name="Input [yellow] 13 2" xfId="4225" xr:uid="{00000000-0005-0000-0000-0000E1050000}"/>
    <cellStyle name="Input [yellow] 14" xfId="1619" xr:uid="{00000000-0005-0000-0000-0000E2050000}"/>
    <cellStyle name="Input [yellow] 14 2" xfId="4226" xr:uid="{00000000-0005-0000-0000-0000E2050000}"/>
    <cellStyle name="Input [yellow] 15" xfId="3535" xr:uid="{00000000-0005-0000-0000-0000D9050000}"/>
    <cellStyle name="Input [yellow] 2" xfId="1620" xr:uid="{00000000-0005-0000-0000-0000E3050000}"/>
    <cellStyle name="Input [yellow] 2 10" xfId="1621" xr:uid="{00000000-0005-0000-0000-0000E4050000}"/>
    <cellStyle name="Input [yellow] 2 10 2" xfId="1622" xr:uid="{00000000-0005-0000-0000-0000E5050000}"/>
    <cellStyle name="Input [yellow] 2 10 2 2" xfId="4229" xr:uid="{00000000-0005-0000-0000-0000E5050000}"/>
    <cellStyle name="Input [yellow] 2 10 3" xfId="1623" xr:uid="{00000000-0005-0000-0000-0000E6050000}"/>
    <cellStyle name="Input [yellow] 2 10 3 2" xfId="4230" xr:uid="{00000000-0005-0000-0000-0000E6050000}"/>
    <cellStyle name="Input [yellow] 2 10 4" xfId="1624" xr:uid="{00000000-0005-0000-0000-0000E7050000}"/>
    <cellStyle name="Input [yellow] 2 10 4 2" xfId="4231" xr:uid="{00000000-0005-0000-0000-0000E7050000}"/>
    <cellStyle name="Input [yellow] 2 10 5" xfId="1625" xr:uid="{00000000-0005-0000-0000-0000E8050000}"/>
    <cellStyle name="Input [yellow] 2 10 5 2" xfId="4232" xr:uid="{00000000-0005-0000-0000-0000E8050000}"/>
    <cellStyle name="Input [yellow] 2 10 6" xfId="4228" xr:uid="{00000000-0005-0000-0000-0000E4050000}"/>
    <cellStyle name="Input [yellow] 2 11" xfId="1626" xr:uid="{00000000-0005-0000-0000-0000E9050000}"/>
    <cellStyle name="Input [yellow] 2 11 2" xfId="4233" xr:uid="{00000000-0005-0000-0000-0000E9050000}"/>
    <cellStyle name="Input [yellow] 2 12" xfId="1627" xr:uid="{00000000-0005-0000-0000-0000EA050000}"/>
    <cellStyle name="Input [yellow] 2 12 2" xfId="4234" xr:uid="{00000000-0005-0000-0000-0000EA050000}"/>
    <cellStyle name="Input [yellow] 2 13" xfId="1628" xr:uid="{00000000-0005-0000-0000-0000EB050000}"/>
    <cellStyle name="Input [yellow] 2 13 2" xfId="4235" xr:uid="{00000000-0005-0000-0000-0000EB050000}"/>
    <cellStyle name="Input [yellow] 2 14" xfId="1629" xr:uid="{00000000-0005-0000-0000-0000EC050000}"/>
    <cellStyle name="Input [yellow] 2 14 2" xfId="4236" xr:uid="{00000000-0005-0000-0000-0000EC050000}"/>
    <cellStyle name="Input [yellow] 2 15" xfId="4227" xr:uid="{00000000-0005-0000-0000-0000E3050000}"/>
    <cellStyle name="Input [yellow] 2 2" xfId="1630" xr:uid="{00000000-0005-0000-0000-0000ED050000}"/>
    <cellStyle name="Input [yellow] 2 2 10" xfId="1631" xr:uid="{00000000-0005-0000-0000-0000EE050000}"/>
    <cellStyle name="Input [yellow] 2 2 10 2" xfId="4238" xr:uid="{00000000-0005-0000-0000-0000EE050000}"/>
    <cellStyle name="Input [yellow] 2 2 11" xfId="1632" xr:uid="{00000000-0005-0000-0000-0000EF050000}"/>
    <cellStyle name="Input [yellow] 2 2 11 2" xfId="4239" xr:uid="{00000000-0005-0000-0000-0000EF050000}"/>
    <cellStyle name="Input [yellow] 2 2 12" xfId="1633" xr:uid="{00000000-0005-0000-0000-0000F0050000}"/>
    <cellStyle name="Input [yellow] 2 2 12 2" xfId="4240" xr:uid="{00000000-0005-0000-0000-0000F0050000}"/>
    <cellStyle name="Input [yellow] 2 2 13" xfId="1634" xr:uid="{00000000-0005-0000-0000-0000F1050000}"/>
    <cellStyle name="Input [yellow] 2 2 13 2" xfId="4241" xr:uid="{00000000-0005-0000-0000-0000F1050000}"/>
    <cellStyle name="Input [yellow] 2 2 14" xfId="4237" xr:uid="{00000000-0005-0000-0000-0000ED050000}"/>
    <cellStyle name="Input [yellow] 2 2 2" xfId="1635" xr:uid="{00000000-0005-0000-0000-0000F2050000}"/>
    <cellStyle name="Input [yellow] 2 2 2 2" xfId="1636" xr:uid="{00000000-0005-0000-0000-0000F3050000}"/>
    <cellStyle name="Input [yellow] 2 2 2 2 2" xfId="4243" xr:uid="{00000000-0005-0000-0000-0000F3050000}"/>
    <cellStyle name="Input [yellow] 2 2 2 3" xfId="1637" xr:uid="{00000000-0005-0000-0000-0000F4050000}"/>
    <cellStyle name="Input [yellow] 2 2 2 3 2" xfId="4244" xr:uid="{00000000-0005-0000-0000-0000F4050000}"/>
    <cellStyle name="Input [yellow] 2 2 2 4" xfId="1638" xr:uid="{00000000-0005-0000-0000-0000F5050000}"/>
    <cellStyle name="Input [yellow] 2 2 2 4 2" xfId="4245" xr:uid="{00000000-0005-0000-0000-0000F5050000}"/>
    <cellStyle name="Input [yellow] 2 2 2 5" xfId="1639" xr:uid="{00000000-0005-0000-0000-0000F6050000}"/>
    <cellStyle name="Input [yellow] 2 2 2 5 2" xfId="4246" xr:uid="{00000000-0005-0000-0000-0000F6050000}"/>
    <cellStyle name="Input [yellow] 2 2 2 6" xfId="4242" xr:uid="{00000000-0005-0000-0000-0000F2050000}"/>
    <cellStyle name="Input [yellow] 2 2 3" xfId="1640" xr:uid="{00000000-0005-0000-0000-0000F7050000}"/>
    <cellStyle name="Input [yellow] 2 2 3 2" xfId="1641" xr:uid="{00000000-0005-0000-0000-0000F8050000}"/>
    <cellStyle name="Input [yellow] 2 2 3 2 2" xfId="4248" xr:uid="{00000000-0005-0000-0000-0000F8050000}"/>
    <cellStyle name="Input [yellow] 2 2 3 3" xfId="1642" xr:uid="{00000000-0005-0000-0000-0000F9050000}"/>
    <cellStyle name="Input [yellow] 2 2 3 3 2" xfId="4249" xr:uid="{00000000-0005-0000-0000-0000F9050000}"/>
    <cellStyle name="Input [yellow] 2 2 3 4" xfId="1643" xr:uid="{00000000-0005-0000-0000-0000FA050000}"/>
    <cellStyle name="Input [yellow] 2 2 3 4 2" xfId="4250" xr:uid="{00000000-0005-0000-0000-0000FA050000}"/>
    <cellStyle name="Input [yellow] 2 2 3 5" xfId="1644" xr:uid="{00000000-0005-0000-0000-0000FB050000}"/>
    <cellStyle name="Input [yellow] 2 2 3 5 2" xfId="4251" xr:uid="{00000000-0005-0000-0000-0000FB050000}"/>
    <cellStyle name="Input [yellow] 2 2 3 6" xfId="4247" xr:uid="{00000000-0005-0000-0000-0000F7050000}"/>
    <cellStyle name="Input [yellow] 2 2 4" xfId="1645" xr:uid="{00000000-0005-0000-0000-0000FC050000}"/>
    <cellStyle name="Input [yellow] 2 2 4 2" xfId="1646" xr:uid="{00000000-0005-0000-0000-0000FD050000}"/>
    <cellStyle name="Input [yellow] 2 2 4 2 2" xfId="4253" xr:uid="{00000000-0005-0000-0000-0000FD050000}"/>
    <cellStyle name="Input [yellow] 2 2 4 3" xfId="1647" xr:uid="{00000000-0005-0000-0000-0000FE050000}"/>
    <cellStyle name="Input [yellow] 2 2 4 3 2" xfId="4254" xr:uid="{00000000-0005-0000-0000-0000FE050000}"/>
    <cellStyle name="Input [yellow] 2 2 4 4" xfId="1648" xr:uid="{00000000-0005-0000-0000-0000FF050000}"/>
    <cellStyle name="Input [yellow] 2 2 4 4 2" xfId="4255" xr:uid="{00000000-0005-0000-0000-0000FF050000}"/>
    <cellStyle name="Input [yellow] 2 2 4 5" xfId="1649" xr:uid="{00000000-0005-0000-0000-000000060000}"/>
    <cellStyle name="Input [yellow] 2 2 4 5 2" xfId="4256" xr:uid="{00000000-0005-0000-0000-000000060000}"/>
    <cellStyle name="Input [yellow] 2 2 4 6" xfId="4252" xr:uid="{00000000-0005-0000-0000-0000FC050000}"/>
    <cellStyle name="Input [yellow] 2 2 5" xfId="1650" xr:uid="{00000000-0005-0000-0000-000001060000}"/>
    <cellStyle name="Input [yellow] 2 2 5 2" xfId="1651" xr:uid="{00000000-0005-0000-0000-000002060000}"/>
    <cellStyle name="Input [yellow] 2 2 5 2 2" xfId="4258" xr:uid="{00000000-0005-0000-0000-000002060000}"/>
    <cellStyle name="Input [yellow] 2 2 5 3" xfId="1652" xr:uid="{00000000-0005-0000-0000-000003060000}"/>
    <cellStyle name="Input [yellow] 2 2 5 3 2" xfId="4259" xr:uid="{00000000-0005-0000-0000-000003060000}"/>
    <cellStyle name="Input [yellow] 2 2 5 4" xfId="1653" xr:uid="{00000000-0005-0000-0000-000004060000}"/>
    <cellStyle name="Input [yellow] 2 2 5 4 2" xfId="4260" xr:uid="{00000000-0005-0000-0000-000004060000}"/>
    <cellStyle name="Input [yellow] 2 2 5 5" xfId="1654" xr:uid="{00000000-0005-0000-0000-000005060000}"/>
    <cellStyle name="Input [yellow] 2 2 5 5 2" xfId="4261" xr:uid="{00000000-0005-0000-0000-000005060000}"/>
    <cellStyle name="Input [yellow] 2 2 5 6" xfId="4257" xr:uid="{00000000-0005-0000-0000-000001060000}"/>
    <cellStyle name="Input [yellow] 2 2 6" xfId="1655" xr:uid="{00000000-0005-0000-0000-000006060000}"/>
    <cellStyle name="Input [yellow] 2 2 6 2" xfId="1656" xr:uid="{00000000-0005-0000-0000-000007060000}"/>
    <cellStyle name="Input [yellow] 2 2 6 2 2" xfId="4263" xr:uid="{00000000-0005-0000-0000-000007060000}"/>
    <cellStyle name="Input [yellow] 2 2 6 3" xfId="1657" xr:uid="{00000000-0005-0000-0000-000008060000}"/>
    <cellStyle name="Input [yellow] 2 2 6 3 2" xfId="4264" xr:uid="{00000000-0005-0000-0000-000008060000}"/>
    <cellStyle name="Input [yellow] 2 2 6 4" xfId="1658" xr:uid="{00000000-0005-0000-0000-000009060000}"/>
    <cellStyle name="Input [yellow] 2 2 6 4 2" xfId="4265" xr:uid="{00000000-0005-0000-0000-000009060000}"/>
    <cellStyle name="Input [yellow] 2 2 6 5" xfId="1659" xr:uid="{00000000-0005-0000-0000-00000A060000}"/>
    <cellStyle name="Input [yellow] 2 2 6 5 2" xfId="4266" xr:uid="{00000000-0005-0000-0000-00000A060000}"/>
    <cellStyle name="Input [yellow] 2 2 6 6" xfId="4262" xr:uid="{00000000-0005-0000-0000-000006060000}"/>
    <cellStyle name="Input [yellow] 2 2 7" xfId="1660" xr:uid="{00000000-0005-0000-0000-00000B060000}"/>
    <cellStyle name="Input [yellow] 2 2 7 2" xfId="1661" xr:uid="{00000000-0005-0000-0000-00000C060000}"/>
    <cellStyle name="Input [yellow] 2 2 7 2 2" xfId="4268" xr:uid="{00000000-0005-0000-0000-00000C060000}"/>
    <cellStyle name="Input [yellow] 2 2 7 3" xfId="1662" xr:uid="{00000000-0005-0000-0000-00000D060000}"/>
    <cellStyle name="Input [yellow] 2 2 7 3 2" xfId="4269" xr:uid="{00000000-0005-0000-0000-00000D060000}"/>
    <cellStyle name="Input [yellow] 2 2 7 4" xfId="1663" xr:uid="{00000000-0005-0000-0000-00000E060000}"/>
    <cellStyle name="Input [yellow] 2 2 7 4 2" xfId="4270" xr:uid="{00000000-0005-0000-0000-00000E060000}"/>
    <cellStyle name="Input [yellow] 2 2 7 5" xfId="1664" xr:uid="{00000000-0005-0000-0000-00000F060000}"/>
    <cellStyle name="Input [yellow] 2 2 7 5 2" xfId="4271" xr:uid="{00000000-0005-0000-0000-00000F060000}"/>
    <cellStyle name="Input [yellow] 2 2 7 6" xfId="4267" xr:uid="{00000000-0005-0000-0000-00000B060000}"/>
    <cellStyle name="Input [yellow] 2 2 8" xfId="1665" xr:uid="{00000000-0005-0000-0000-000010060000}"/>
    <cellStyle name="Input [yellow] 2 2 8 2" xfId="1666" xr:uid="{00000000-0005-0000-0000-000011060000}"/>
    <cellStyle name="Input [yellow] 2 2 8 2 2" xfId="4273" xr:uid="{00000000-0005-0000-0000-000011060000}"/>
    <cellStyle name="Input [yellow] 2 2 8 3" xfId="1667" xr:uid="{00000000-0005-0000-0000-000012060000}"/>
    <cellStyle name="Input [yellow] 2 2 8 3 2" xfId="4274" xr:uid="{00000000-0005-0000-0000-000012060000}"/>
    <cellStyle name="Input [yellow] 2 2 8 4" xfId="1668" xr:uid="{00000000-0005-0000-0000-000013060000}"/>
    <cellStyle name="Input [yellow] 2 2 8 4 2" xfId="4275" xr:uid="{00000000-0005-0000-0000-000013060000}"/>
    <cellStyle name="Input [yellow] 2 2 8 5" xfId="1669" xr:uid="{00000000-0005-0000-0000-000014060000}"/>
    <cellStyle name="Input [yellow] 2 2 8 5 2" xfId="4276" xr:uid="{00000000-0005-0000-0000-000014060000}"/>
    <cellStyle name="Input [yellow] 2 2 8 6" xfId="4272" xr:uid="{00000000-0005-0000-0000-000010060000}"/>
    <cellStyle name="Input [yellow] 2 2 9" xfId="1670" xr:uid="{00000000-0005-0000-0000-000015060000}"/>
    <cellStyle name="Input [yellow] 2 2 9 2" xfId="1671" xr:uid="{00000000-0005-0000-0000-000016060000}"/>
    <cellStyle name="Input [yellow] 2 2 9 2 2" xfId="4278" xr:uid="{00000000-0005-0000-0000-000016060000}"/>
    <cellStyle name="Input [yellow] 2 2 9 3" xfId="1672" xr:uid="{00000000-0005-0000-0000-000017060000}"/>
    <cellStyle name="Input [yellow] 2 2 9 3 2" xfId="4279" xr:uid="{00000000-0005-0000-0000-000017060000}"/>
    <cellStyle name="Input [yellow] 2 2 9 4" xfId="1673" xr:uid="{00000000-0005-0000-0000-000018060000}"/>
    <cellStyle name="Input [yellow] 2 2 9 4 2" xfId="4280" xr:uid="{00000000-0005-0000-0000-000018060000}"/>
    <cellStyle name="Input [yellow] 2 2 9 5" xfId="1674" xr:uid="{00000000-0005-0000-0000-000019060000}"/>
    <cellStyle name="Input [yellow] 2 2 9 5 2" xfId="4281" xr:uid="{00000000-0005-0000-0000-000019060000}"/>
    <cellStyle name="Input [yellow] 2 2 9 6" xfId="4277" xr:uid="{00000000-0005-0000-0000-000015060000}"/>
    <cellStyle name="Input [yellow] 2 3" xfId="1675" xr:uid="{00000000-0005-0000-0000-00001A060000}"/>
    <cellStyle name="Input [yellow] 2 3 2" xfId="1676" xr:uid="{00000000-0005-0000-0000-00001B060000}"/>
    <cellStyle name="Input [yellow] 2 3 2 2" xfId="4283" xr:uid="{00000000-0005-0000-0000-00001B060000}"/>
    <cellStyle name="Input [yellow] 2 3 3" xfId="1677" xr:uid="{00000000-0005-0000-0000-00001C060000}"/>
    <cellStyle name="Input [yellow] 2 3 3 2" xfId="4284" xr:uid="{00000000-0005-0000-0000-00001C060000}"/>
    <cellStyle name="Input [yellow] 2 3 4" xfId="1678" xr:uid="{00000000-0005-0000-0000-00001D060000}"/>
    <cellStyle name="Input [yellow] 2 3 4 2" xfId="4285" xr:uid="{00000000-0005-0000-0000-00001D060000}"/>
    <cellStyle name="Input [yellow] 2 3 5" xfId="1679" xr:uid="{00000000-0005-0000-0000-00001E060000}"/>
    <cellStyle name="Input [yellow] 2 3 5 2" xfId="4286" xr:uid="{00000000-0005-0000-0000-00001E060000}"/>
    <cellStyle name="Input [yellow] 2 3 6" xfId="4282" xr:uid="{00000000-0005-0000-0000-00001A060000}"/>
    <cellStyle name="Input [yellow] 2 4" xfId="1680" xr:uid="{00000000-0005-0000-0000-00001F060000}"/>
    <cellStyle name="Input [yellow] 2 4 2" xfId="1681" xr:uid="{00000000-0005-0000-0000-000020060000}"/>
    <cellStyle name="Input [yellow] 2 4 2 2" xfId="4288" xr:uid="{00000000-0005-0000-0000-000020060000}"/>
    <cellStyle name="Input [yellow] 2 4 3" xfId="1682" xr:uid="{00000000-0005-0000-0000-000021060000}"/>
    <cellStyle name="Input [yellow] 2 4 3 2" xfId="4289" xr:uid="{00000000-0005-0000-0000-000021060000}"/>
    <cellStyle name="Input [yellow] 2 4 4" xfId="1683" xr:uid="{00000000-0005-0000-0000-000022060000}"/>
    <cellStyle name="Input [yellow] 2 4 4 2" xfId="4290" xr:uid="{00000000-0005-0000-0000-000022060000}"/>
    <cellStyle name="Input [yellow] 2 4 5" xfId="1684" xr:uid="{00000000-0005-0000-0000-000023060000}"/>
    <cellStyle name="Input [yellow] 2 4 5 2" xfId="4291" xr:uid="{00000000-0005-0000-0000-000023060000}"/>
    <cellStyle name="Input [yellow] 2 4 6" xfId="4287" xr:uid="{00000000-0005-0000-0000-00001F060000}"/>
    <cellStyle name="Input [yellow] 2 5" xfId="1685" xr:uid="{00000000-0005-0000-0000-000024060000}"/>
    <cellStyle name="Input [yellow] 2 5 2" xfId="1686" xr:uid="{00000000-0005-0000-0000-000025060000}"/>
    <cellStyle name="Input [yellow] 2 5 2 2" xfId="4293" xr:uid="{00000000-0005-0000-0000-000025060000}"/>
    <cellStyle name="Input [yellow] 2 5 3" xfId="1687" xr:uid="{00000000-0005-0000-0000-000026060000}"/>
    <cellStyle name="Input [yellow] 2 5 3 2" xfId="4294" xr:uid="{00000000-0005-0000-0000-000026060000}"/>
    <cellStyle name="Input [yellow] 2 5 4" xfId="1688" xr:uid="{00000000-0005-0000-0000-000027060000}"/>
    <cellStyle name="Input [yellow] 2 5 4 2" xfId="4295" xr:uid="{00000000-0005-0000-0000-000027060000}"/>
    <cellStyle name="Input [yellow] 2 5 5" xfId="1689" xr:uid="{00000000-0005-0000-0000-000028060000}"/>
    <cellStyle name="Input [yellow] 2 5 5 2" xfId="4296" xr:uid="{00000000-0005-0000-0000-000028060000}"/>
    <cellStyle name="Input [yellow] 2 5 6" xfId="4292" xr:uid="{00000000-0005-0000-0000-000024060000}"/>
    <cellStyle name="Input [yellow] 2 6" xfId="1690" xr:uid="{00000000-0005-0000-0000-000029060000}"/>
    <cellStyle name="Input [yellow] 2 6 2" xfId="1691" xr:uid="{00000000-0005-0000-0000-00002A060000}"/>
    <cellStyle name="Input [yellow] 2 6 2 2" xfId="4298" xr:uid="{00000000-0005-0000-0000-00002A060000}"/>
    <cellStyle name="Input [yellow] 2 6 3" xfId="1692" xr:uid="{00000000-0005-0000-0000-00002B060000}"/>
    <cellStyle name="Input [yellow] 2 6 3 2" xfId="4299" xr:uid="{00000000-0005-0000-0000-00002B060000}"/>
    <cellStyle name="Input [yellow] 2 6 4" xfId="1693" xr:uid="{00000000-0005-0000-0000-00002C060000}"/>
    <cellStyle name="Input [yellow] 2 6 4 2" xfId="4300" xr:uid="{00000000-0005-0000-0000-00002C060000}"/>
    <cellStyle name="Input [yellow] 2 6 5" xfId="1694" xr:uid="{00000000-0005-0000-0000-00002D060000}"/>
    <cellStyle name="Input [yellow] 2 6 5 2" xfId="4301" xr:uid="{00000000-0005-0000-0000-00002D060000}"/>
    <cellStyle name="Input [yellow] 2 6 6" xfId="4297" xr:uid="{00000000-0005-0000-0000-000029060000}"/>
    <cellStyle name="Input [yellow] 2 7" xfId="1695" xr:uid="{00000000-0005-0000-0000-00002E060000}"/>
    <cellStyle name="Input [yellow] 2 7 2" xfId="1696" xr:uid="{00000000-0005-0000-0000-00002F060000}"/>
    <cellStyle name="Input [yellow] 2 7 2 2" xfId="4303" xr:uid="{00000000-0005-0000-0000-00002F060000}"/>
    <cellStyle name="Input [yellow] 2 7 3" xfId="1697" xr:uid="{00000000-0005-0000-0000-000030060000}"/>
    <cellStyle name="Input [yellow] 2 7 3 2" xfId="4304" xr:uid="{00000000-0005-0000-0000-000030060000}"/>
    <cellStyle name="Input [yellow] 2 7 4" xfId="1698" xr:uid="{00000000-0005-0000-0000-000031060000}"/>
    <cellStyle name="Input [yellow] 2 7 4 2" xfId="4305" xr:uid="{00000000-0005-0000-0000-000031060000}"/>
    <cellStyle name="Input [yellow] 2 7 5" xfId="1699" xr:uid="{00000000-0005-0000-0000-000032060000}"/>
    <cellStyle name="Input [yellow] 2 7 5 2" xfId="4306" xr:uid="{00000000-0005-0000-0000-000032060000}"/>
    <cellStyle name="Input [yellow] 2 7 6" xfId="4302" xr:uid="{00000000-0005-0000-0000-00002E060000}"/>
    <cellStyle name="Input [yellow] 2 8" xfId="1700" xr:uid="{00000000-0005-0000-0000-000033060000}"/>
    <cellStyle name="Input [yellow] 2 8 2" xfId="1701" xr:uid="{00000000-0005-0000-0000-000034060000}"/>
    <cellStyle name="Input [yellow] 2 8 2 2" xfId="4308" xr:uid="{00000000-0005-0000-0000-000034060000}"/>
    <cellStyle name="Input [yellow] 2 8 3" xfId="1702" xr:uid="{00000000-0005-0000-0000-000035060000}"/>
    <cellStyle name="Input [yellow] 2 8 3 2" xfId="4309" xr:uid="{00000000-0005-0000-0000-000035060000}"/>
    <cellStyle name="Input [yellow] 2 8 4" xfId="1703" xr:uid="{00000000-0005-0000-0000-000036060000}"/>
    <cellStyle name="Input [yellow] 2 8 4 2" xfId="4310" xr:uid="{00000000-0005-0000-0000-000036060000}"/>
    <cellStyle name="Input [yellow] 2 8 5" xfId="1704" xr:uid="{00000000-0005-0000-0000-000037060000}"/>
    <cellStyle name="Input [yellow] 2 8 5 2" xfId="4311" xr:uid="{00000000-0005-0000-0000-000037060000}"/>
    <cellStyle name="Input [yellow] 2 8 6" xfId="4307" xr:uid="{00000000-0005-0000-0000-000033060000}"/>
    <cellStyle name="Input [yellow] 2 9" xfId="1705" xr:uid="{00000000-0005-0000-0000-000038060000}"/>
    <cellStyle name="Input [yellow] 2 9 2" xfId="1706" xr:uid="{00000000-0005-0000-0000-000039060000}"/>
    <cellStyle name="Input [yellow] 2 9 2 2" xfId="4313" xr:uid="{00000000-0005-0000-0000-000039060000}"/>
    <cellStyle name="Input [yellow] 2 9 3" xfId="1707" xr:uid="{00000000-0005-0000-0000-00003A060000}"/>
    <cellStyle name="Input [yellow] 2 9 3 2" xfId="4314" xr:uid="{00000000-0005-0000-0000-00003A060000}"/>
    <cellStyle name="Input [yellow] 2 9 4" xfId="1708" xr:uid="{00000000-0005-0000-0000-00003B060000}"/>
    <cellStyle name="Input [yellow] 2 9 4 2" xfId="4315" xr:uid="{00000000-0005-0000-0000-00003B060000}"/>
    <cellStyle name="Input [yellow] 2 9 5" xfId="1709" xr:uid="{00000000-0005-0000-0000-00003C060000}"/>
    <cellStyle name="Input [yellow] 2 9 5 2" xfId="4316" xr:uid="{00000000-0005-0000-0000-00003C060000}"/>
    <cellStyle name="Input [yellow] 2 9 6" xfId="4312" xr:uid="{00000000-0005-0000-0000-000038060000}"/>
    <cellStyle name="Input [yellow] 3" xfId="1710" xr:uid="{00000000-0005-0000-0000-00003D060000}"/>
    <cellStyle name="Input [yellow] 3 2" xfId="1711" xr:uid="{00000000-0005-0000-0000-00003E060000}"/>
    <cellStyle name="Input [yellow] 3 2 2" xfId="4318" xr:uid="{00000000-0005-0000-0000-00003E060000}"/>
    <cellStyle name="Input [yellow] 3 3" xfId="1712" xr:uid="{00000000-0005-0000-0000-00003F060000}"/>
    <cellStyle name="Input [yellow] 3 3 2" xfId="4319" xr:uid="{00000000-0005-0000-0000-00003F060000}"/>
    <cellStyle name="Input [yellow] 3 4" xfId="1713" xr:uid="{00000000-0005-0000-0000-000040060000}"/>
    <cellStyle name="Input [yellow] 3 4 2" xfId="4320" xr:uid="{00000000-0005-0000-0000-000040060000}"/>
    <cellStyle name="Input [yellow] 3 5" xfId="1714" xr:uid="{00000000-0005-0000-0000-000041060000}"/>
    <cellStyle name="Input [yellow] 3 5 2" xfId="4321" xr:uid="{00000000-0005-0000-0000-000041060000}"/>
    <cellStyle name="Input [yellow] 3 6" xfId="4317" xr:uid="{00000000-0005-0000-0000-00003D060000}"/>
    <cellStyle name="Input [yellow] 4" xfId="1715" xr:uid="{00000000-0005-0000-0000-000042060000}"/>
    <cellStyle name="Input [yellow] 4 2" xfId="1716" xr:uid="{00000000-0005-0000-0000-000043060000}"/>
    <cellStyle name="Input [yellow] 4 2 2" xfId="4323" xr:uid="{00000000-0005-0000-0000-000043060000}"/>
    <cellStyle name="Input [yellow] 4 3" xfId="1717" xr:uid="{00000000-0005-0000-0000-000044060000}"/>
    <cellStyle name="Input [yellow] 4 3 2" xfId="4324" xr:uid="{00000000-0005-0000-0000-000044060000}"/>
    <cellStyle name="Input [yellow] 4 4" xfId="1718" xr:uid="{00000000-0005-0000-0000-000045060000}"/>
    <cellStyle name="Input [yellow] 4 4 2" xfId="4325" xr:uid="{00000000-0005-0000-0000-000045060000}"/>
    <cellStyle name="Input [yellow] 4 5" xfId="1719" xr:uid="{00000000-0005-0000-0000-000046060000}"/>
    <cellStyle name="Input [yellow] 4 5 2" xfId="4326" xr:uid="{00000000-0005-0000-0000-000046060000}"/>
    <cellStyle name="Input [yellow] 4 6" xfId="4322" xr:uid="{00000000-0005-0000-0000-000042060000}"/>
    <cellStyle name="Input [yellow] 5" xfId="1720" xr:uid="{00000000-0005-0000-0000-000047060000}"/>
    <cellStyle name="Input [yellow] 5 2" xfId="1721" xr:uid="{00000000-0005-0000-0000-000048060000}"/>
    <cellStyle name="Input [yellow] 5 2 2" xfId="4328" xr:uid="{00000000-0005-0000-0000-000048060000}"/>
    <cellStyle name="Input [yellow] 5 3" xfId="1722" xr:uid="{00000000-0005-0000-0000-000049060000}"/>
    <cellStyle name="Input [yellow] 5 3 2" xfId="4329" xr:uid="{00000000-0005-0000-0000-000049060000}"/>
    <cellStyle name="Input [yellow] 5 4" xfId="1723" xr:uid="{00000000-0005-0000-0000-00004A060000}"/>
    <cellStyle name="Input [yellow] 5 4 2" xfId="4330" xr:uid="{00000000-0005-0000-0000-00004A060000}"/>
    <cellStyle name="Input [yellow] 5 5" xfId="1724" xr:uid="{00000000-0005-0000-0000-00004B060000}"/>
    <cellStyle name="Input [yellow] 5 5 2" xfId="4331" xr:uid="{00000000-0005-0000-0000-00004B060000}"/>
    <cellStyle name="Input [yellow] 5 6" xfId="4327" xr:uid="{00000000-0005-0000-0000-000047060000}"/>
    <cellStyle name="Input [yellow] 6" xfId="1725" xr:uid="{00000000-0005-0000-0000-00004C060000}"/>
    <cellStyle name="Input [yellow] 6 2" xfId="1726" xr:uid="{00000000-0005-0000-0000-00004D060000}"/>
    <cellStyle name="Input [yellow] 6 2 2" xfId="4333" xr:uid="{00000000-0005-0000-0000-00004D060000}"/>
    <cellStyle name="Input [yellow] 6 3" xfId="1727" xr:uid="{00000000-0005-0000-0000-00004E060000}"/>
    <cellStyle name="Input [yellow] 6 3 2" xfId="4334" xr:uid="{00000000-0005-0000-0000-00004E060000}"/>
    <cellStyle name="Input [yellow] 6 4" xfId="1728" xr:uid="{00000000-0005-0000-0000-00004F060000}"/>
    <cellStyle name="Input [yellow] 6 4 2" xfId="4335" xr:uid="{00000000-0005-0000-0000-00004F060000}"/>
    <cellStyle name="Input [yellow] 6 5" xfId="1729" xr:uid="{00000000-0005-0000-0000-000050060000}"/>
    <cellStyle name="Input [yellow] 6 5 2" xfId="4336" xr:uid="{00000000-0005-0000-0000-000050060000}"/>
    <cellStyle name="Input [yellow] 6 6" xfId="4332" xr:uid="{00000000-0005-0000-0000-00004C060000}"/>
    <cellStyle name="Input [yellow] 7" xfId="1730" xr:uid="{00000000-0005-0000-0000-000051060000}"/>
    <cellStyle name="Input [yellow] 7 2" xfId="1731" xr:uid="{00000000-0005-0000-0000-000052060000}"/>
    <cellStyle name="Input [yellow] 7 2 2" xfId="4338" xr:uid="{00000000-0005-0000-0000-000052060000}"/>
    <cellStyle name="Input [yellow] 7 3" xfId="1732" xr:uid="{00000000-0005-0000-0000-000053060000}"/>
    <cellStyle name="Input [yellow] 7 3 2" xfId="4339" xr:uid="{00000000-0005-0000-0000-000053060000}"/>
    <cellStyle name="Input [yellow] 7 4" xfId="1733" xr:uid="{00000000-0005-0000-0000-000054060000}"/>
    <cellStyle name="Input [yellow] 7 4 2" xfId="4340" xr:uid="{00000000-0005-0000-0000-000054060000}"/>
    <cellStyle name="Input [yellow] 7 5" xfId="1734" xr:uid="{00000000-0005-0000-0000-000055060000}"/>
    <cellStyle name="Input [yellow] 7 5 2" xfId="4341" xr:uid="{00000000-0005-0000-0000-000055060000}"/>
    <cellStyle name="Input [yellow] 7 6" xfId="4337" xr:uid="{00000000-0005-0000-0000-000051060000}"/>
    <cellStyle name="Input [yellow] 8" xfId="1735" xr:uid="{00000000-0005-0000-0000-000056060000}"/>
    <cellStyle name="Input [yellow] 8 2" xfId="1736" xr:uid="{00000000-0005-0000-0000-000057060000}"/>
    <cellStyle name="Input [yellow] 8 2 2" xfId="4343" xr:uid="{00000000-0005-0000-0000-000057060000}"/>
    <cellStyle name="Input [yellow] 8 3" xfId="1737" xr:uid="{00000000-0005-0000-0000-000058060000}"/>
    <cellStyle name="Input [yellow] 8 3 2" xfId="4344" xr:uid="{00000000-0005-0000-0000-000058060000}"/>
    <cellStyle name="Input [yellow] 8 4" xfId="1738" xr:uid="{00000000-0005-0000-0000-000059060000}"/>
    <cellStyle name="Input [yellow] 8 4 2" xfId="4345" xr:uid="{00000000-0005-0000-0000-000059060000}"/>
    <cellStyle name="Input [yellow] 8 5" xfId="1739" xr:uid="{00000000-0005-0000-0000-00005A060000}"/>
    <cellStyle name="Input [yellow] 8 5 2" xfId="4346" xr:uid="{00000000-0005-0000-0000-00005A060000}"/>
    <cellStyle name="Input [yellow] 8 6" xfId="4342" xr:uid="{00000000-0005-0000-0000-000056060000}"/>
    <cellStyle name="Input [yellow] 9" xfId="1740" xr:uid="{00000000-0005-0000-0000-00005B060000}"/>
    <cellStyle name="Input [yellow] 9 2" xfId="1741" xr:uid="{00000000-0005-0000-0000-00005C060000}"/>
    <cellStyle name="Input [yellow] 9 2 2" xfId="4348" xr:uid="{00000000-0005-0000-0000-00005C060000}"/>
    <cellStyle name="Input [yellow] 9 3" xfId="1742" xr:uid="{00000000-0005-0000-0000-00005D060000}"/>
    <cellStyle name="Input [yellow] 9 3 2" xfId="4349" xr:uid="{00000000-0005-0000-0000-00005D060000}"/>
    <cellStyle name="Input [yellow] 9 4" xfId="1743" xr:uid="{00000000-0005-0000-0000-00005E060000}"/>
    <cellStyle name="Input [yellow] 9 4 2" xfId="4350" xr:uid="{00000000-0005-0000-0000-00005E060000}"/>
    <cellStyle name="Input [yellow] 9 5" xfId="1744" xr:uid="{00000000-0005-0000-0000-00005F060000}"/>
    <cellStyle name="Input [yellow] 9 5 2" xfId="4351" xr:uid="{00000000-0005-0000-0000-00005F060000}"/>
    <cellStyle name="Input [yellow] 9 6" xfId="4347" xr:uid="{00000000-0005-0000-0000-00005B060000}"/>
    <cellStyle name="Input 2" xfId="1745" xr:uid="{00000000-0005-0000-0000-000060060000}"/>
    <cellStyle name="Input Cells" xfId="1746" xr:uid="{00000000-0005-0000-0000-000061060000}"/>
    <cellStyle name="Input_김종훈의원요구자료" xfId="1747" xr:uid="{00000000-0005-0000-0000-000062060000}"/>
    <cellStyle name="InputBlueFont" xfId="225" xr:uid="{00000000-0005-0000-0000-000063060000}"/>
    <cellStyle name="InputBlueFont 2" xfId="1748" xr:uid="{00000000-0005-0000-0000-000064060000}"/>
    <cellStyle name="KTY" xfId="1749" xr:uid="{00000000-0005-0000-0000-000065060000}"/>
    <cellStyle name="left" xfId="1750" xr:uid="{00000000-0005-0000-0000-000066060000}"/>
    <cellStyle name="Link Currency (0)" xfId="1751" xr:uid="{00000000-0005-0000-0000-000067060000}"/>
    <cellStyle name="Link Currency (2)" xfId="1752" xr:uid="{00000000-0005-0000-0000-000068060000}"/>
    <cellStyle name="Link Units (0)" xfId="1753" xr:uid="{00000000-0005-0000-0000-000069060000}"/>
    <cellStyle name="Link Units (1)" xfId="1754" xr:uid="{00000000-0005-0000-0000-00006A060000}"/>
    <cellStyle name="Link Units (2)" xfId="1755" xr:uid="{00000000-0005-0000-0000-00006B060000}"/>
    <cellStyle name="Linked Cell" xfId="1756" xr:uid="{00000000-0005-0000-0000-00006C060000}"/>
    <cellStyle name="MAIN HEADING" xfId="1757" xr:uid="{00000000-0005-0000-0000-00006D060000}"/>
    <cellStyle name="MenuHeading" xfId="1758" xr:uid="{00000000-0005-0000-0000-00006E060000}"/>
    <cellStyle name="mes" xfId="1759" xr:uid="{00000000-0005-0000-0000-00006F060000}"/>
    <cellStyle name="Millares [0]_2AV_M_M " xfId="1760" xr:uid="{00000000-0005-0000-0000-000070060000}"/>
    <cellStyle name="Millares_2AV_M_M " xfId="1761" xr:uid="{00000000-0005-0000-0000-000071060000}"/>
    <cellStyle name="Milliers [0]_AR1194" xfId="1762" xr:uid="{00000000-0005-0000-0000-000072060000}"/>
    <cellStyle name="Milliers_AR1194" xfId="1763" xr:uid="{00000000-0005-0000-0000-000073060000}"/>
    <cellStyle name="MLHeaderSection" xfId="226" xr:uid="{00000000-0005-0000-0000-000074060000}"/>
    <cellStyle name="MLHeaderSection 2" xfId="1764" xr:uid="{00000000-0005-0000-0000-000075060000}"/>
    <cellStyle name="Model" xfId="227" xr:uid="{00000000-0005-0000-0000-000076060000}"/>
    <cellStyle name="Mon?aire [0]_Arabian Spec" xfId="228" xr:uid="{00000000-0005-0000-0000-000077060000}"/>
    <cellStyle name="Mon?aire_Arabian Spec" xfId="229" xr:uid="{00000000-0005-0000-0000-000078060000}"/>
    <cellStyle name="Moneda [0]_2AV_M_M " xfId="1765" xr:uid="{00000000-0005-0000-0000-000079060000}"/>
    <cellStyle name="Moneda_2AV_M_M " xfId="1766" xr:uid="{00000000-0005-0000-0000-00007A060000}"/>
    <cellStyle name="Monétaire [0]_AR1194" xfId="1767" xr:uid="{00000000-0005-0000-0000-00007B060000}"/>
    <cellStyle name="Monétaire_AR1194" xfId="1768" xr:uid="{00000000-0005-0000-0000-00007C060000}"/>
    <cellStyle name="MS Proofing Tools" xfId="1769" xr:uid="{00000000-0005-0000-0000-00007D060000}"/>
    <cellStyle name="Multiple" xfId="230" xr:uid="{00000000-0005-0000-0000-00007E060000}"/>
    <cellStyle name="Multiple 2" xfId="1770" xr:uid="{00000000-0005-0000-0000-00007F060000}"/>
    <cellStyle name="Multiple0" xfId="231" xr:uid="{00000000-0005-0000-0000-000080060000}"/>
    <cellStyle name="MultipleBelow" xfId="1771" xr:uid="{00000000-0005-0000-0000-000081060000}"/>
    <cellStyle name="navbar" xfId="1772" xr:uid="{00000000-0005-0000-0000-000082060000}"/>
    <cellStyle name="Neutral" xfId="1773" xr:uid="{00000000-0005-0000-0000-000083060000}"/>
    <cellStyle name="no dec" xfId="232" xr:uid="{00000000-0005-0000-0000-000084060000}"/>
    <cellStyle name="Normal" xfId="1774" xr:uid="{00000000-0005-0000-0000-000085060000}"/>
    <cellStyle name="Normal - Style1" xfId="233" xr:uid="{00000000-0005-0000-0000-000086060000}"/>
    <cellStyle name="Normal - Style1 2" xfId="1775" xr:uid="{00000000-0005-0000-0000-000087060000}"/>
    <cellStyle name="Normal - Style1 2 2" xfId="1776" xr:uid="{00000000-0005-0000-0000-000088060000}"/>
    <cellStyle name="Normal - Style2" xfId="234" xr:uid="{00000000-0005-0000-0000-000089060000}"/>
    <cellStyle name="Normal - Style3" xfId="235" xr:uid="{00000000-0005-0000-0000-00008A060000}"/>
    <cellStyle name="Normal - Style4" xfId="236" xr:uid="{00000000-0005-0000-0000-00008B060000}"/>
    <cellStyle name="Normal - Style5" xfId="237" xr:uid="{00000000-0005-0000-0000-00008C060000}"/>
    <cellStyle name="Normal - Style6" xfId="238" xr:uid="{00000000-0005-0000-0000-00008D060000}"/>
    <cellStyle name="Normal - Style7" xfId="239" xr:uid="{00000000-0005-0000-0000-00008E060000}"/>
    <cellStyle name="Normal - Style8" xfId="240" xr:uid="{00000000-0005-0000-0000-00008F060000}"/>
    <cellStyle name="Normal 2" xfId="1777" xr:uid="{00000000-0005-0000-0000-000090060000}"/>
    <cellStyle name="Normal_ sg&amp;a b" xfId="241" xr:uid="{00000000-0005-0000-0000-000091060000}"/>
    <cellStyle name="Normal1" xfId="1778" xr:uid="{00000000-0005-0000-0000-000092060000}"/>
    <cellStyle name="Normal2" xfId="1779" xr:uid="{00000000-0005-0000-0000-000093060000}"/>
    <cellStyle name="Normal3" xfId="1780" xr:uid="{00000000-0005-0000-0000-000094060000}"/>
    <cellStyle name="Normal4" xfId="1781" xr:uid="{00000000-0005-0000-0000-000095060000}"/>
    <cellStyle name="Normale_FS1.XLS" xfId="1782" xr:uid="{00000000-0005-0000-0000-000096060000}"/>
    <cellStyle name="Note" xfId="1783" xr:uid="{00000000-0005-0000-0000-000097060000}"/>
    <cellStyle name="Note2" xfId="1784" xr:uid="{00000000-0005-0000-0000-000098060000}"/>
    <cellStyle name="ntSummaryInformation" xfId="1785" xr:uid="{00000000-0005-0000-0000-000099060000}"/>
    <cellStyle name="õ" xfId="1786" xr:uid="{00000000-0005-0000-0000-00009A060000}"/>
    <cellStyle name="Œ…?æ맖?e [0.00]_laroux" xfId="242" xr:uid="{00000000-0005-0000-0000-00009B060000}"/>
    <cellStyle name="Œ…?æ맖?e_laroux" xfId="243" xr:uid="{00000000-0005-0000-0000-00009C060000}"/>
    <cellStyle name="Œ…‹æØ‚è [0.00]_PRODUCT DETAIL Q1" xfId="1787" xr:uid="{00000000-0005-0000-0000-00009D060000}"/>
    <cellStyle name="Œ…‹æØ‚è_PRODUCT DETAIL Q1" xfId="1788" xr:uid="{00000000-0005-0000-0000-00009E060000}"/>
    <cellStyle name="oft Excel]_x000d__x000a_Comment=The open=/f lines load custom functions into the Paste Function list._x000d__x000a_Maximized=3_x000d__x000a_AutoFormat=" xfId="1789" xr:uid="{00000000-0005-0000-0000-00009F060000}"/>
    <cellStyle name="on" xfId="1790" xr:uid="{00000000-0005-0000-0000-0000A0060000}"/>
    <cellStyle name="Output" xfId="1791" xr:uid="{00000000-0005-0000-0000-0000A1060000}"/>
    <cellStyle name="Output 10" xfId="1792" xr:uid="{00000000-0005-0000-0000-0000A2060000}"/>
    <cellStyle name="Output 10 2" xfId="1793" xr:uid="{00000000-0005-0000-0000-0000A3060000}"/>
    <cellStyle name="Output 10 2 2" xfId="4354" xr:uid="{00000000-0005-0000-0000-0000A3060000}"/>
    <cellStyle name="Output 10 3" xfId="1794" xr:uid="{00000000-0005-0000-0000-0000A4060000}"/>
    <cellStyle name="Output 10 3 2" xfId="4355" xr:uid="{00000000-0005-0000-0000-0000A4060000}"/>
    <cellStyle name="Output 10 4" xfId="1795" xr:uid="{00000000-0005-0000-0000-0000A5060000}"/>
    <cellStyle name="Output 10 4 2" xfId="4356" xr:uid="{00000000-0005-0000-0000-0000A5060000}"/>
    <cellStyle name="Output 10 5" xfId="1796" xr:uid="{00000000-0005-0000-0000-0000A6060000}"/>
    <cellStyle name="Output 10 5 2" xfId="4357" xr:uid="{00000000-0005-0000-0000-0000A6060000}"/>
    <cellStyle name="Output 10 6" xfId="4353" xr:uid="{00000000-0005-0000-0000-0000A2060000}"/>
    <cellStyle name="Output 11" xfId="1797" xr:uid="{00000000-0005-0000-0000-0000A7060000}"/>
    <cellStyle name="Output 11 2" xfId="1798" xr:uid="{00000000-0005-0000-0000-0000A8060000}"/>
    <cellStyle name="Output 11 2 2" xfId="4359" xr:uid="{00000000-0005-0000-0000-0000A8060000}"/>
    <cellStyle name="Output 11 3" xfId="1799" xr:uid="{00000000-0005-0000-0000-0000A9060000}"/>
    <cellStyle name="Output 11 3 2" xfId="4360" xr:uid="{00000000-0005-0000-0000-0000A9060000}"/>
    <cellStyle name="Output 11 4" xfId="1800" xr:uid="{00000000-0005-0000-0000-0000AA060000}"/>
    <cellStyle name="Output 11 4 2" xfId="4361" xr:uid="{00000000-0005-0000-0000-0000AA060000}"/>
    <cellStyle name="Output 11 5" xfId="1801" xr:uid="{00000000-0005-0000-0000-0000AB060000}"/>
    <cellStyle name="Output 11 5 2" xfId="4362" xr:uid="{00000000-0005-0000-0000-0000AB060000}"/>
    <cellStyle name="Output 11 6" xfId="4358" xr:uid="{00000000-0005-0000-0000-0000A7060000}"/>
    <cellStyle name="Output 12" xfId="1802" xr:uid="{00000000-0005-0000-0000-0000AC060000}"/>
    <cellStyle name="Output 12 2" xfId="1803" xr:uid="{00000000-0005-0000-0000-0000AD060000}"/>
    <cellStyle name="Output 12 2 2" xfId="4364" xr:uid="{00000000-0005-0000-0000-0000AD060000}"/>
    <cellStyle name="Output 12 3" xfId="1804" xr:uid="{00000000-0005-0000-0000-0000AE060000}"/>
    <cellStyle name="Output 12 3 2" xfId="4365" xr:uid="{00000000-0005-0000-0000-0000AE060000}"/>
    <cellStyle name="Output 12 4" xfId="1805" xr:uid="{00000000-0005-0000-0000-0000AF060000}"/>
    <cellStyle name="Output 12 4 2" xfId="4366" xr:uid="{00000000-0005-0000-0000-0000AF060000}"/>
    <cellStyle name="Output 12 5" xfId="1806" xr:uid="{00000000-0005-0000-0000-0000B0060000}"/>
    <cellStyle name="Output 12 5 2" xfId="4367" xr:uid="{00000000-0005-0000-0000-0000B0060000}"/>
    <cellStyle name="Output 12 6" xfId="4363" xr:uid="{00000000-0005-0000-0000-0000AC060000}"/>
    <cellStyle name="Output 13" xfId="1807" xr:uid="{00000000-0005-0000-0000-0000B1060000}"/>
    <cellStyle name="Output 13 2" xfId="4368" xr:uid="{00000000-0005-0000-0000-0000B1060000}"/>
    <cellStyle name="Output 14" xfId="1808" xr:uid="{00000000-0005-0000-0000-0000B2060000}"/>
    <cellStyle name="Output 14 2" xfId="4369" xr:uid="{00000000-0005-0000-0000-0000B2060000}"/>
    <cellStyle name="Output 15" xfId="1809" xr:uid="{00000000-0005-0000-0000-0000B3060000}"/>
    <cellStyle name="Output 15 2" xfId="4370" xr:uid="{00000000-0005-0000-0000-0000B3060000}"/>
    <cellStyle name="Output 16" xfId="1810" xr:uid="{00000000-0005-0000-0000-0000B4060000}"/>
    <cellStyle name="Output 16 2" xfId="4371" xr:uid="{00000000-0005-0000-0000-0000B4060000}"/>
    <cellStyle name="Output 17" xfId="4352" xr:uid="{00000000-0005-0000-0000-0000A1060000}"/>
    <cellStyle name="Output 2" xfId="1811" xr:uid="{00000000-0005-0000-0000-0000B5060000}"/>
    <cellStyle name="Output 2 2" xfId="1812" xr:uid="{00000000-0005-0000-0000-0000B6060000}"/>
    <cellStyle name="Output 2 2 2" xfId="4373" xr:uid="{00000000-0005-0000-0000-0000B6060000}"/>
    <cellStyle name="Output 2 3" xfId="1813" xr:uid="{00000000-0005-0000-0000-0000B7060000}"/>
    <cellStyle name="Output 2 3 2" xfId="4374" xr:uid="{00000000-0005-0000-0000-0000B7060000}"/>
    <cellStyle name="Output 2 4" xfId="1814" xr:uid="{00000000-0005-0000-0000-0000B8060000}"/>
    <cellStyle name="Output 2 4 2" xfId="4375" xr:uid="{00000000-0005-0000-0000-0000B8060000}"/>
    <cellStyle name="Output 2 5" xfId="1815" xr:uid="{00000000-0005-0000-0000-0000B9060000}"/>
    <cellStyle name="Output 2 5 2" xfId="4376" xr:uid="{00000000-0005-0000-0000-0000B9060000}"/>
    <cellStyle name="Output 2 6" xfId="4372" xr:uid="{00000000-0005-0000-0000-0000B5060000}"/>
    <cellStyle name="Output 3" xfId="1816" xr:uid="{00000000-0005-0000-0000-0000BA060000}"/>
    <cellStyle name="Output 3 2" xfId="1817" xr:uid="{00000000-0005-0000-0000-0000BB060000}"/>
    <cellStyle name="Output 3 2 2" xfId="4378" xr:uid="{00000000-0005-0000-0000-0000BB060000}"/>
    <cellStyle name="Output 3 3" xfId="1818" xr:uid="{00000000-0005-0000-0000-0000BC060000}"/>
    <cellStyle name="Output 3 3 2" xfId="4379" xr:uid="{00000000-0005-0000-0000-0000BC060000}"/>
    <cellStyle name="Output 3 4" xfId="1819" xr:uid="{00000000-0005-0000-0000-0000BD060000}"/>
    <cellStyle name="Output 3 4 2" xfId="4380" xr:uid="{00000000-0005-0000-0000-0000BD060000}"/>
    <cellStyle name="Output 3 5" xfId="1820" xr:uid="{00000000-0005-0000-0000-0000BE060000}"/>
    <cellStyle name="Output 3 5 2" xfId="4381" xr:uid="{00000000-0005-0000-0000-0000BE060000}"/>
    <cellStyle name="Output 3 6" xfId="4377" xr:uid="{00000000-0005-0000-0000-0000BA060000}"/>
    <cellStyle name="Output 4" xfId="1821" xr:uid="{00000000-0005-0000-0000-0000BF060000}"/>
    <cellStyle name="Output 4 2" xfId="1822" xr:uid="{00000000-0005-0000-0000-0000C0060000}"/>
    <cellStyle name="Output 4 2 2" xfId="4383" xr:uid="{00000000-0005-0000-0000-0000C0060000}"/>
    <cellStyle name="Output 4 3" xfId="1823" xr:uid="{00000000-0005-0000-0000-0000C1060000}"/>
    <cellStyle name="Output 4 3 2" xfId="4384" xr:uid="{00000000-0005-0000-0000-0000C1060000}"/>
    <cellStyle name="Output 4 4" xfId="1824" xr:uid="{00000000-0005-0000-0000-0000C2060000}"/>
    <cellStyle name="Output 4 4 2" xfId="4385" xr:uid="{00000000-0005-0000-0000-0000C2060000}"/>
    <cellStyle name="Output 4 5" xfId="1825" xr:uid="{00000000-0005-0000-0000-0000C3060000}"/>
    <cellStyle name="Output 4 5 2" xfId="4386" xr:uid="{00000000-0005-0000-0000-0000C3060000}"/>
    <cellStyle name="Output 4 6" xfId="4382" xr:uid="{00000000-0005-0000-0000-0000BF060000}"/>
    <cellStyle name="Output 5" xfId="1826" xr:uid="{00000000-0005-0000-0000-0000C4060000}"/>
    <cellStyle name="Output 5 2" xfId="1827" xr:uid="{00000000-0005-0000-0000-0000C5060000}"/>
    <cellStyle name="Output 5 2 2" xfId="4388" xr:uid="{00000000-0005-0000-0000-0000C5060000}"/>
    <cellStyle name="Output 5 3" xfId="1828" xr:uid="{00000000-0005-0000-0000-0000C6060000}"/>
    <cellStyle name="Output 5 3 2" xfId="4389" xr:uid="{00000000-0005-0000-0000-0000C6060000}"/>
    <cellStyle name="Output 5 4" xfId="1829" xr:uid="{00000000-0005-0000-0000-0000C7060000}"/>
    <cellStyle name="Output 5 4 2" xfId="4390" xr:uid="{00000000-0005-0000-0000-0000C7060000}"/>
    <cellStyle name="Output 5 5" xfId="1830" xr:uid="{00000000-0005-0000-0000-0000C8060000}"/>
    <cellStyle name="Output 5 5 2" xfId="4391" xr:uid="{00000000-0005-0000-0000-0000C8060000}"/>
    <cellStyle name="Output 5 6" xfId="4387" xr:uid="{00000000-0005-0000-0000-0000C4060000}"/>
    <cellStyle name="Output 6" xfId="1831" xr:uid="{00000000-0005-0000-0000-0000C9060000}"/>
    <cellStyle name="Output 6 2" xfId="1832" xr:uid="{00000000-0005-0000-0000-0000CA060000}"/>
    <cellStyle name="Output 6 2 2" xfId="4393" xr:uid="{00000000-0005-0000-0000-0000CA060000}"/>
    <cellStyle name="Output 6 3" xfId="1833" xr:uid="{00000000-0005-0000-0000-0000CB060000}"/>
    <cellStyle name="Output 6 3 2" xfId="4394" xr:uid="{00000000-0005-0000-0000-0000CB060000}"/>
    <cellStyle name="Output 6 4" xfId="1834" xr:uid="{00000000-0005-0000-0000-0000CC060000}"/>
    <cellStyle name="Output 6 4 2" xfId="4395" xr:uid="{00000000-0005-0000-0000-0000CC060000}"/>
    <cellStyle name="Output 6 5" xfId="1835" xr:uid="{00000000-0005-0000-0000-0000CD060000}"/>
    <cellStyle name="Output 6 5 2" xfId="4396" xr:uid="{00000000-0005-0000-0000-0000CD060000}"/>
    <cellStyle name="Output 6 6" xfId="4392" xr:uid="{00000000-0005-0000-0000-0000C9060000}"/>
    <cellStyle name="Output 7" xfId="1836" xr:uid="{00000000-0005-0000-0000-0000CE060000}"/>
    <cellStyle name="Output 7 2" xfId="1837" xr:uid="{00000000-0005-0000-0000-0000CF060000}"/>
    <cellStyle name="Output 7 2 2" xfId="4398" xr:uid="{00000000-0005-0000-0000-0000CF060000}"/>
    <cellStyle name="Output 7 3" xfId="1838" xr:uid="{00000000-0005-0000-0000-0000D0060000}"/>
    <cellStyle name="Output 7 3 2" xfId="4399" xr:uid="{00000000-0005-0000-0000-0000D0060000}"/>
    <cellStyle name="Output 7 4" xfId="1839" xr:uid="{00000000-0005-0000-0000-0000D1060000}"/>
    <cellStyle name="Output 7 4 2" xfId="4400" xr:uid="{00000000-0005-0000-0000-0000D1060000}"/>
    <cellStyle name="Output 7 5" xfId="1840" xr:uid="{00000000-0005-0000-0000-0000D2060000}"/>
    <cellStyle name="Output 7 5 2" xfId="4401" xr:uid="{00000000-0005-0000-0000-0000D2060000}"/>
    <cellStyle name="Output 7 6" xfId="4397" xr:uid="{00000000-0005-0000-0000-0000CE060000}"/>
    <cellStyle name="Output 8" xfId="1841" xr:uid="{00000000-0005-0000-0000-0000D3060000}"/>
    <cellStyle name="Output 8 2" xfId="1842" xr:uid="{00000000-0005-0000-0000-0000D4060000}"/>
    <cellStyle name="Output 8 2 2" xfId="4403" xr:uid="{00000000-0005-0000-0000-0000D4060000}"/>
    <cellStyle name="Output 8 3" xfId="1843" xr:uid="{00000000-0005-0000-0000-0000D5060000}"/>
    <cellStyle name="Output 8 3 2" xfId="4404" xr:uid="{00000000-0005-0000-0000-0000D5060000}"/>
    <cellStyle name="Output 8 4" xfId="1844" xr:uid="{00000000-0005-0000-0000-0000D6060000}"/>
    <cellStyle name="Output 8 4 2" xfId="4405" xr:uid="{00000000-0005-0000-0000-0000D6060000}"/>
    <cellStyle name="Output 8 5" xfId="1845" xr:uid="{00000000-0005-0000-0000-0000D7060000}"/>
    <cellStyle name="Output 8 5 2" xfId="4406" xr:uid="{00000000-0005-0000-0000-0000D7060000}"/>
    <cellStyle name="Output 8 6" xfId="4402" xr:uid="{00000000-0005-0000-0000-0000D3060000}"/>
    <cellStyle name="Output 9" xfId="1846" xr:uid="{00000000-0005-0000-0000-0000D8060000}"/>
    <cellStyle name="Output 9 2" xfId="1847" xr:uid="{00000000-0005-0000-0000-0000D9060000}"/>
    <cellStyle name="Output 9 2 2" xfId="4408" xr:uid="{00000000-0005-0000-0000-0000D9060000}"/>
    <cellStyle name="Output 9 3" xfId="1848" xr:uid="{00000000-0005-0000-0000-0000DA060000}"/>
    <cellStyle name="Output 9 3 2" xfId="4409" xr:uid="{00000000-0005-0000-0000-0000DA060000}"/>
    <cellStyle name="Output 9 4" xfId="1849" xr:uid="{00000000-0005-0000-0000-0000DB060000}"/>
    <cellStyle name="Output 9 4 2" xfId="4410" xr:uid="{00000000-0005-0000-0000-0000DB060000}"/>
    <cellStyle name="Output 9 5" xfId="1850" xr:uid="{00000000-0005-0000-0000-0000DC060000}"/>
    <cellStyle name="Output 9 5 2" xfId="4411" xr:uid="{00000000-0005-0000-0000-0000DC060000}"/>
    <cellStyle name="Output 9 6" xfId="4407" xr:uid="{00000000-0005-0000-0000-0000D8060000}"/>
    <cellStyle name="Output Amounts" xfId="244" xr:uid="{00000000-0005-0000-0000-0000DD060000}"/>
    <cellStyle name="Output Column Headings" xfId="245" xr:uid="{00000000-0005-0000-0000-0000DE060000}"/>
    <cellStyle name="Output Line Items" xfId="246" xr:uid="{00000000-0005-0000-0000-0000DF060000}"/>
    <cellStyle name="Output Report Heading" xfId="247" xr:uid="{00000000-0005-0000-0000-0000E0060000}"/>
    <cellStyle name="Output Report Title" xfId="248" xr:uid="{00000000-0005-0000-0000-0000E1060000}"/>
    <cellStyle name="Output_김종훈의원요구자료" xfId="1851" xr:uid="{00000000-0005-0000-0000-0000E2060000}"/>
    <cellStyle name="Page Number" xfId="1852" xr:uid="{00000000-0005-0000-0000-0000E3060000}"/>
    <cellStyle name="PageSubtitle" xfId="249" xr:uid="{00000000-0005-0000-0000-0000E4060000}"/>
    <cellStyle name="PageTitle" xfId="250" xr:uid="{00000000-0005-0000-0000-0000E5060000}"/>
    <cellStyle name="PARK" xfId="251" xr:uid="{00000000-0005-0000-0000-0000E6060000}"/>
    <cellStyle name="per.style" xfId="1853" xr:uid="{00000000-0005-0000-0000-0000E7060000}"/>
    <cellStyle name="Percent" xfId="252" xr:uid="{00000000-0005-0000-0000-0000E8060000}"/>
    <cellStyle name="Percent (0)" xfId="253" xr:uid="{00000000-0005-0000-0000-0000E9060000}"/>
    <cellStyle name="Percent [2]" xfId="254" xr:uid="{00000000-0005-0000-0000-0000EA060000}"/>
    <cellStyle name="Percent_01반기-신용-F123-kjh" xfId="1854" xr:uid="{00000000-0005-0000-0000-0000EB060000}"/>
    <cellStyle name="Percent0" xfId="255" xr:uid="{00000000-0005-0000-0000-0000EC060000}"/>
    <cellStyle name="PERCENTAGE" xfId="1855" xr:uid="{00000000-0005-0000-0000-0000ED060000}"/>
    <cellStyle name="PERCENTAGE 2" xfId="1856" xr:uid="{00000000-0005-0000-0000-0000EE060000}"/>
    <cellStyle name="PillarData" xfId="1857" xr:uid="{00000000-0005-0000-0000-0000EF060000}"/>
    <cellStyle name="PillarHeading" xfId="1858" xr:uid="{00000000-0005-0000-0000-0000F0060000}"/>
    <cellStyle name="PillarText" xfId="1859" xr:uid="{00000000-0005-0000-0000-0000F1060000}"/>
    <cellStyle name="PillarTotal" xfId="1860" xr:uid="{00000000-0005-0000-0000-0000F2060000}"/>
    <cellStyle name="PrePop Currency (0)" xfId="1861" xr:uid="{00000000-0005-0000-0000-0000F3060000}"/>
    <cellStyle name="price" xfId="1862" xr:uid="{00000000-0005-0000-0000-0000F4060000}"/>
    <cellStyle name="pricing" xfId="1863" xr:uid="{00000000-0005-0000-0000-0000F5060000}"/>
    <cellStyle name="process_applicable" xfId="1864" xr:uid="{00000000-0005-0000-0000-0000F6060000}"/>
    <cellStyle name="PROJECT_CUR" xfId="1865" xr:uid="{00000000-0005-0000-0000-0000F7060000}"/>
    <cellStyle name="PSChar" xfId="1866" xr:uid="{00000000-0005-0000-0000-0000F8060000}"/>
    <cellStyle name="PSDate" xfId="1867" xr:uid="{00000000-0005-0000-0000-0000F9060000}"/>
    <cellStyle name="PSDec" xfId="1868" xr:uid="{00000000-0005-0000-0000-0000FA060000}"/>
    <cellStyle name="PSHeading" xfId="1869" xr:uid="{00000000-0005-0000-0000-0000FB060000}"/>
    <cellStyle name="PSInt" xfId="1870" xr:uid="{00000000-0005-0000-0000-0000FC060000}"/>
    <cellStyle name="revised" xfId="1871" xr:uid="{00000000-0005-0000-0000-0000FD060000}"/>
    <cellStyle name="RevList" xfId="1872" xr:uid="{00000000-0005-0000-0000-0000FE060000}"/>
    <cellStyle name="s" xfId="1873" xr:uid="{00000000-0005-0000-0000-0000FF060000}"/>
    <cellStyle name="s]_x000d__x000a_run=c:\Hedgehog\app31.exe_x000d__x000a_spooler=yes_x000d__x000a_load=_x000d__x000a_run=_x000d__x000a_Beep=yes_x000d__x000a_NullPort=None_x000d__x000a_BorderWidth=3_x000d__x000a_CursorBlinkRate=530_x000d__x000a_D" xfId="256" xr:uid="{00000000-0005-0000-0000-000000070000}"/>
    <cellStyle name="s]_x000d__x000a_spooler=yes_x000d__x000a_load=_x000d__x000a_run=_x000d__x000a_Beep=yes_x000d__x000a_NullPort=None_x000d__x000a_BorderWidth=3_x000d__x000a_CursorBlinkRate=530_x000d__x000a_DoubleClickSpeed=452_x000d__x000a_Progra" xfId="1874" xr:uid="{00000000-0005-0000-0000-000001070000}"/>
    <cellStyle name="s]_x000d__x000a_spooler=yes_x000d__x000a_load=_x000d__x000a_run=d:\secrets2\plugin\plugin.exe_x000d__x000a_Beep=yes_x000d__x000a_NullPort=None_x000d__x000a_BorderWidth=3_x000d__x000a_CursorBlinkRate=530_x000d_" xfId="1875" xr:uid="{00000000-0005-0000-0000-000002070000}"/>
    <cellStyle name="s_DCFLBO Code" xfId="1876" xr:uid="{00000000-0005-0000-0000-000003070000}"/>
    <cellStyle name="s_DCFLBO Code_1" xfId="1877" xr:uid="{00000000-0005-0000-0000-000004070000}"/>
    <cellStyle name="section" xfId="1878" xr:uid="{00000000-0005-0000-0000-000005070000}"/>
    <cellStyle name="Single Accounting" xfId="257" xr:uid="{00000000-0005-0000-0000-000006070000}"/>
    <cellStyle name="Standard_900" xfId="1879" xr:uid="{00000000-0005-0000-0000-000007070000}"/>
    <cellStyle name="step" xfId="1880" xr:uid="{00000000-0005-0000-0000-000008070000}"/>
    <cellStyle name="step 10" xfId="1881" xr:uid="{00000000-0005-0000-0000-000009070000}"/>
    <cellStyle name="step 10 2" xfId="1882" xr:uid="{00000000-0005-0000-0000-00000A070000}"/>
    <cellStyle name="step 10 2 2" xfId="4414" xr:uid="{00000000-0005-0000-0000-00000A070000}"/>
    <cellStyle name="step 10 3" xfId="1883" xr:uid="{00000000-0005-0000-0000-00000B070000}"/>
    <cellStyle name="step 10 3 2" xfId="4415" xr:uid="{00000000-0005-0000-0000-00000B070000}"/>
    <cellStyle name="step 10 4" xfId="1884" xr:uid="{00000000-0005-0000-0000-00000C070000}"/>
    <cellStyle name="step 10 4 2" xfId="4416" xr:uid="{00000000-0005-0000-0000-00000C070000}"/>
    <cellStyle name="step 10 5" xfId="1885" xr:uid="{00000000-0005-0000-0000-00000D070000}"/>
    <cellStyle name="step 10 5 2" xfId="4417" xr:uid="{00000000-0005-0000-0000-00000D070000}"/>
    <cellStyle name="step 10 6" xfId="4413" xr:uid="{00000000-0005-0000-0000-000009070000}"/>
    <cellStyle name="step 11" xfId="1886" xr:uid="{00000000-0005-0000-0000-00000E070000}"/>
    <cellStyle name="step 11 2" xfId="1887" xr:uid="{00000000-0005-0000-0000-00000F070000}"/>
    <cellStyle name="step 11 2 2" xfId="4419" xr:uid="{00000000-0005-0000-0000-00000F070000}"/>
    <cellStyle name="step 11 3" xfId="1888" xr:uid="{00000000-0005-0000-0000-000010070000}"/>
    <cellStyle name="step 11 3 2" xfId="4420" xr:uid="{00000000-0005-0000-0000-000010070000}"/>
    <cellStyle name="step 11 4" xfId="1889" xr:uid="{00000000-0005-0000-0000-000011070000}"/>
    <cellStyle name="step 11 4 2" xfId="4421" xr:uid="{00000000-0005-0000-0000-000011070000}"/>
    <cellStyle name="step 11 5" xfId="1890" xr:uid="{00000000-0005-0000-0000-000012070000}"/>
    <cellStyle name="step 11 5 2" xfId="4422" xr:uid="{00000000-0005-0000-0000-000012070000}"/>
    <cellStyle name="step 11 6" xfId="4418" xr:uid="{00000000-0005-0000-0000-00000E070000}"/>
    <cellStyle name="step 12" xfId="1891" xr:uid="{00000000-0005-0000-0000-000013070000}"/>
    <cellStyle name="step 12 2" xfId="1892" xr:uid="{00000000-0005-0000-0000-000014070000}"/>
    <cellStyle name="step 12 2 2" xfId="4424" xr:uid="{00000000-0005-0000-0000-000014070000}"/>
    <cellStyle name="step 12 3" xfId="1893" xr:uid="{00000000-0005-0000-0000-000015070000}"/>
    <cellStyle name="step 12 3 2" xfId="4425" xr:uid="{00000000-0005-0000-0000-000015070000}"/>
    <cellStyle name="step 12 4" xfId="1894" xr:uid="{00000000-0005-0000-0000-000016070000}"/>
    <cellStyle name="step 12 4 2" xfId="4426" xr:uid="{00000000-0005-0000-0000-000016070000}"/>
    <cellStyle name="step 12 5" xfId="1895" xr:uid="{00000000-0005-0000-0000-000017070000}"/>
    <cellStyle name="step 12 5 2" xfId="4427" xr:uid="{00000000-0005-0000-0000-000017070000}"/>
    <cellStyle name="step 12 6" xfId="4423" xr:uid="{00000000-0005-0000-0000-000013070000}"/>
    <cellStyle name="step 13" xfId="1896" xr:uid="{00000000-0005-0000-0000-000018070000}"/>
    <cellStyle name="step 13 2" xfId="4428" xr:uid="{00000000-0005-0000-0000-000018070000}"/>
    <cellStyle name="step 14" xfId="1897" xr:uid="{00000000-0005-0000-0000-000019070000}"/>
    <cellStyle name="step 14 2" xfId="4429" xr:uid="{00000000-0005-0000-0000-000019070000}"/>
    <cellStyle name="step 15" xfId="1898" xr:uid="{00000000-0005-0000-0000-00001A070000}"/>
    <cellStyle name="step 15 2" xfId="4430" xr:uid="{00000000-0005-0000-0000-00001A070000}"/>
    <cellStyle name="step 16" xfId="1899" xr:uid="{00000000-0005-0000-0000-00001B070000}"/>
    <cellStyle name="step 16 2" xfId="4431" xr:uid="{00000000-0005-0000-0000-00001B070000}"/>
    <cellStyle name="step 17" xfId="4412" xr:uid="{00000000-0005-0000-0000-000008070000}"/>
    <cellStyle name="step 2" xfId="1900" xr:uid="{00000000-0005-0000-0000-00001C070000}"/>
    <cellStyle name="step 2 2" xfId="1901" xr:uid="{00000000-0005-0000-0000-00001D070000}"/>
    <cellStyle name="step 2 2 2" xfId="4433" xr:uid="{00000000-0005-0000-0000-00001D070000}"/>
    <cellStyle name="step 2 3" xfId="1902" xr:uid="{00000000-0005-0000-0000-00001E070000}"/>
    <cellStyle name="step 2 3 2" xfId="4434" xr:uid="{00000000-0005-0000-0000-00001E070000}"/>
    <cellStyle name="step 2 4" xfId="1903" xr:uid="{00000000-0005-0000-0000-00001F070000}"/>
    <cellStyle name="step 2 4 2" xfId="4435" xr:uid="{00000000-0005-0000-0000-00001F070000}"/>
    <cellStyle name="step 2 5" xfId="1904" xr:uid="{00000000-0005-0000-0000-000020070000}"/>
    <cellStyle name="step 2 5 2" xfId="4436" xr:uid="{00000000-0005-0000-0000-000020070000}"/>
    <cellStyle name="step 2 6" xfId="4432" xr:uid="{00000000-0005-0000-0000-00001C070000}"/>
    <cellStyle name="step 3" xfId="1905" xr:uid="{00000000-0005-0000-0000-000021070000}"/>
    <cellStyle name="step 3 2" xfId="1906" xr:uid="{00000000-0005-0000-0000-000022070000}"/>
    <cellStyle name="step 3 2 2" xfId="4438" xr:uid="{00000000-0005-0000-0000-000022070000}"/>
    <cellStyle name="step 3 3" xfId="1907" xr:uid="{00000000-0005-0000-0000-000023070000}"/>
    <cellStyle name="step 3 3 2" xfId="4439" xr:uid="{00000000-0005-0000-0000-000023070000}"/>
    <cellStyle name="step 3 4" xfId="1908" xr:uid="{00000000-0005-0000-0000-000024070000}"/>
    <cellStyle name="step 3 4 2" xfId="4440" xr:uid="{00000000-0005-0000-0000-000024070000}"/>
    <cellStyle name="step 3 5" xfId="1909" xr:uid="{00000000-0005-0000-0000-000025070000}"/>
    <cellStyle name="step 3 5 2" xfId="4441" xr:uid="{00000000-0005-0000-0000-000025070000}"/>
    <cellStyle name="step 3 6" xfId="4437" xr:uid="{00000000-0005-0000-0000-000021070000}"/>
    <cellStyle name="step 4" xfId="1910" xr:uid="{00000000-0005-0000-0000-000026070000}"/>
    <cellStyle name="step 4 2" xfId="1911" xr:uid="{00000000-0005-0000-0000-000027070000}"/>
    <cellStyle name="step 4 2 2" xfId="4443" xr:uid="{00000000-0005-0000-0000-000027070000}"/>
    <cellStyle name="step 4 3" xfId="1912" xr:uid="{00000000-0005-0000-0000-000028070000}"/>
    <cellStyle name="step 4 3 2" xfId="4444" xr:uid="{00000000-0005-0000-0000-000028070000}"/>
    <cellStyle name="step 4 4" xfId="1913" xr:uid="{00000000-0005-0000-0000-000029070000}"/>
    <cellStyle name="step 4 4 2" xfId="4445" xr:uid="{00000000-0005-0000-0000-000029070000}"/>
    <cellStyle name="step 4 5" xfId="1914" xr:uid="{00000000-0005-0000-0000-00002A070000}"/>
    <cellStyle name="step 4 5 2" xfId="4446" xr:uid="{00000000-0005-0000-0000-00002A070000}"/>
    <cellStyle name="step 4 6" xfId="4442" xr:uid="{00000000-0005-0000-0000-000026070000}"/>
    <cellStyle name="step 5" xfId="1915" xr:uid="{00000000-0005-0000-0000-00002B070000}"/>
    <cellStyle name="step 5 2" xfId="1916" xr:uid="{00000000-0005-0000-0000-00002C070000}"/>
    <cellStyle name="step 5 2 2" xfId="4448" xr:uid="{00000000-0005-0000-0000-00002C070000}"/>
    <cellStyle name="step 5 3" xfId="1917" xr:uid="{00000000-0005-0000-0000-00002D070000}"/>
    <cellStyle name="step 5 3 2" xfId="4449" xr:uid="{00000000-0005-0000-0000-00002D070000}"/>
    <cellStyle name="step 5 4" xfId="1918" xr:uid="{00000000-0005-0000-0000-00002E070000}"/>
    <cellStyle name="step 5 4 2" xfId="4450" xr:uid="{00000000-0005-0000-0000-00002E070000}"/>
    <cellStyle name="step 5 5" xfId="1919" xr:uid="{00000000-0005-0000-0000-00002F070000}"/>
    <cellStyle name="step 5 5 2" xfId="4451" xr:uid="{00000000-0005-0000-0000-00002F070000}"/>
    <cellStyle name="step 5 6" xfId="4447" xr:uid="{00000000-0005-0000-0000-00002B070000}"/>
    <cellStyle name="step 6" xfId="1920" xr:uid="{00000000-0005-0000-0000-000030070000}"/>
    <cellStyle name="step 6 2" xfId="1921" xr:uid="{00000000-0005-0000-0000-000031070000}"/>
    <cellStyle name="step 6 2 2" xfId="4453" xr:uid="{00000000-0005-0000-0000-000031070000}"/>
    <cellStyle name="step 6 3" xfId="1922" xr:uid="{00000000-0005-0000-0000-000032070000}"/>
    <cellStyle name="step 6 3 2" xfId="4454" xr:uid="{00000000-0005-0000-0000-000032070000}"/>
    <cellStyle name="step 6 4" xfId="1923" xr:uid="{00000000-0005-0000-0000-000033070000}"/>
    <cellStyle name="step 6 4 2" xfId="4455" xr:uid="{00000000-0005-0000-0000-000033070000}"/>
    <cellStyle name="step 6 5" xfId="1924" xr:uid="{00000000-0005-0000-0000-000034070000}"/>
    <cellStyle name="step 6 5 2" xfId="4456" xr:uid="{00000000-0005-0000-0000-000034070000}"/>
    <cellStyle name="step 6 6" xfId="4452" xr:uid="{00000000-0005-0000-0000-000030070000}"/>
    <cellStyle name="step 7" xfId="1925" xr:uid="{00000000-0005-0000-0000-000035070000}"/>
    <cellStyle name="step 7 2" xfId="1926" xr:uid="{00000000-0005-0000-0000-000036070000}"/>
    <cellStyle name="step 7 2 2" xfId="4458" xr:uid="{00000000-0005-0000-0000-000036070000}"/>
    <cellStyle name="step 7 3" xfId="1927" xr:uid="{00000000-0005-0000-0000-000037070000}"/>
    <cellStyle name="step 7 3 2" xfId="4459" xr:uid="{00000000-0005-0000-0000-000037070000}"/>
    <cellStyle name="step 7 4" xfId="1928" xr:uid="{00000000-0005-0000-0000-000038070000}"/>
    <cellStyle name="step 7 4 2" xfId="4460" xr:uid="{00000000-0005-0000-0000-000038070000}"/>
    <cellStyle name="step 7 5" xfId="1929" xr:uid="{00000000-0005-0000-0000-000039070000}"/>
    <cellStyle name="step 7 5 2" xfId="4461" xr:uid="{00000000-0005-0000-0000-000039070000}"/>
    <cellStyle name="step 7 6" xfId="4457" xr:uid="{00000000-0005-0000-0000-000035070000}"/>
    <cellStyle name="step 8" xfId="1930" xr:uid="{00000000-0005-0000-0000-00003A070000}"/>
    <cellStyle name="step 8 2" xfId="1931" xr:uid="{00000000-0005-0000-0000-00003B070000}"/>
    <cellStyle name="step 8 2 2" xfId="4463" xr:uid="{00000000-0005-0000-0000-00003B070000}"/>
    <cellStyle name="step 8 3" xfId="1932" xr:uid="{00000000-0005-0000-0000-00003C070000}"/>
    <cellStyle name="step 8 3 2" xfId="4464" xr:uid="{00000000-0005-0000-0000-00003C070000}"/>
    <cellStyle name="step 8 4" xfId="1933" xr:uid="{00000000-0005-0000-0000-00003D070000}"/>
    <cellStyle name="step 8 4 2" xfId="4465" xr:uid="{00000000-0005-0000-0000-00003D070000}"/>
    <cellStyle name="step 8 5" xfId="1934" xr:uid="{00000000-0005-0000-0000-00003E070000}"/>
    <cellStyle name="step 8 5 2" xfId="4466" xr:uid="{00000000-0005-0000-0000-00003E070000}"/>
    <cellStyle name="step 8 6" xfId="4462" xr:uid="{00000000-0005-0000-0000-00003A070000}"/>
    <cellStyle name="step 9" xfId="1935" xr:uid="{00000000-0005-0000-0000-00003F070000}"/>
    <cellStyle name="step 9 2" xfId="1936" xr:uid="{00000000-0005-0000-0000-000040070000}"/>
    <cellStyle name="step 9 2 2" xfId="4468" xr:uid="{00000000-0005-0000-0000-000040070000}"/>
    <cellStyle name="step 9 3" xfId="1937" xr:uid="{00000000-0005-0000-0000-000041070000}"/>
    <cellStyle name="step 9 3 2" xfId="4469" xr:uid="{00000000-0005-0000-0000-000041070000}"/>
    <cellStyle name="step 9 4" xfId="1938" xr:uid="{00000000-0005-0000-0000-000042070000}"/>
    <cellStyle name="step 9 4 2" xfId="4470" xr:uid="{00000000-0005-0000-0000-000042070000}"/>
    <cellStyle name="step 9 5" xfId="1939" xr:uid="{00000000-0005-0000-0000-000043070000}"/>
    <cellStyle name="step 9 5 2" xfId="4471" xr:uid="{00000000-0005-0000-0000-000043070000}"/>
    <cellStyle name="step 9 6" xfId="4467" xr:uid="{00000000-0005-0000-0000-00003F070000}"/>
    <cellStyle name="steps_link" xfId="1940" xr:uid="{00000000-0005-0000-0000-000044070000}"/>
    <cellStyle name="Style 1" xfId="1941" xr:uid="{00000000-0005-0000-0000-000045070000}"/>
    <cellStyle name="Style 24" xfId="1942" xr:uid="{00000000-0005-0000-0000-000046070000}"/>
    <cellStyle name="Style 24 10" xfId="1943" xr:uid="{00000000-0005-0000-0000-000047070000}"/>
    <cellStyle name="Style 24 10 2" xfId="1944" xr:uid="{00000000-0005-0000-0000-000048070000}"/>
    <cellStyle name="Style 24 10 2 2" xfId="4474" xr:uid="{00000000-0005-0000-0000-000048070000}"/>
    <cellStyle name="Style 24 10 3" xfId="1945" xr:uid="{00000000-0005-0000-0000-000049070000}"/>
    <cellStyle name="Style 24 10 3 2" xfId="4475" xr:uid="{00000000-0005-0000-0000-000049070000}"/>
    <cellStyle name="Style 24 10 4" xfId="1946" xr:uid="{00000000-0005-0000-0000-00004A070000}"/>
    <cellStyle name="Style 24 10 4 2" xfId="4476" xr:uid="{00000000-0005-0000-0000-00004A070000}"/>
    <cellStyle name="Style 24 10 5" xfId="1947" xr:uid="{00000000-0005-0000-0000-00004B070000}"/>
    <cellStyle name="Style 24 10 5 2" xfId="4477" xr:uid="{00000000-0005-0000-0000-00004B070000}"/>
    <cellStyle name="Style 24 10 6" xfId="4473" xr:uid="{00000000-0005-0000-0000-000047070000}"/>
    <cellStyle name="Style 24 11" xfId="1948" xr:uid="{00000000-0005-0000-0000-00004C070000}"/>
    <cellStyle name="Style 24 11 2" xfId="1949" xr:uid="{00000000-0005-0000-0000-00004D070000}"/>
    <cellStyle name="Style 24 11 2 2" xfId="4479" xr:uid="{00000000-0005-0000-0000-00004D070000}"/>
    <cellStyle name="Style 24 11 3" xfId="1950" xr:uid="{00000000-0005-0000-0000-00004E070000}"/>
    <cellStyle name="Style 24 11 3 2" xfId="4480" xr:uid="{00000000-0005-0000-0000-00004E070000}"/>
    <cellStyle name="Style 24 11 4" xfId="1951" xr:uid="{00000000-0005-0000-0000-00004F070000}"/>
    <cellStyle name="Style 24 11 4 2" xfId="4481" xr:uid="{00000000-0005-0000-0000-00004F070000}"/>
    <cellStyle name="Style 24 11 5" xfId="1952" xr:uid="{00000000-0005-0000-0000-000050070000}"/>
    <cellStyle name="Style 24 11 5 2" xfId="4482" xr:uid="{00000000-0005-0000-0000-000050070000}"/>
    <cellStyle name="Style 24 11 6" xfId="4478" xr:uid="{00000000-0005-0000-0000-00004C070000}"/>
    <cellStyle name="Style 24 12" xfId="1953" xr:uid="{00000000-0005-0000-0000-000051070000}"/>
    <cellStyle name="Style 24 12 2" xfId="1954" xr:uid="{00000000-0005-0000-0000-000052070000}"/>
    <cellStyle name="Style 24 12 2 2" xfId="4484" xr:uid="{00000000-0005-0000-0000-000052070000}"/>
    <cellStyle name="Style 24 12 3" xfId="1955" xr:uid="{00000000-0005-0000-0000-000053070000}"/>
    <cellStyle name="Style 24 12 3 2" xfId="4485" xr:uid="{00000000-0005-0000-0000-000053070000}"/>
    <cellStyle name="Style 24 12 4" xfId="1956" xr:uid="{00000000-0005-0000-0000-000054070000}"/>
    <cellStyle name="Style 24 12 4 2" xfId="4486" xr:uid="{00000000-0005-0000-0000-000054070000}"/>
    <cellStyle name="Style 24 12 5" xfId="1957" xr:uid="{00000000-0005-0000-0000-000055070000}"/>
    <cellStyle name="Style 24 12 5 2" xfId="4487" xr:uid="{00000000-0005-0000-0000-000055070000}"/>
    <cellStyle name="Style 24 12 6" xfId="4483" xr:uid="{00000000-0005-0000-0000-000051070000}"/>
    <cellStyle name="Style 24 13" xfId="1958" xr:uid="{00000000-0005-0000-0000-000056070000}"/>
    <cellStyle name="Style 24 13 2" xfId="4488" xr:uid="{00000000-0005-0000-0000-000056070000}"/>
    <cellStyle name="Style 24 14" xfId="1959" xr:uid="{00000000-0005-0000-0000-000057070000}"/>
    <cellStyle name="Style 24 14 2" xfId="4489" xr:uid="{00000000-0005-0000-0000-000057070000}"/>
    <cellStyle name="Style 24 15" xfId="1960" xr:uid="{00000000-0005-0000-0000-000058070000}"/>
    <cellStyle name="Style 24 15 2" xfId="4490" xr:uid="{00000000-0005-0000-0000-000058070000}"/>
    <cellStyle name="Style 24 16" xfId="1961" xr:uid="{00000000-0005-0000-0000-000059070000}"/>
    <cellStyle name="Style 24 16 2" xfId="4491" xr:uid="{00000000-0005-0000-0000-000059070000}"/>
    <cellStyle name="Style 24 17" xfId="4472" xr:uid="{00000000-0005-0000-0000-000046070000}"/>
    <cellStyle name="Style 24 2" xfId="1962" xr:uid="{00000000-0005-0000-0000-00005A070000}"/>
    <cellStyle name="Style 24 2 2" xfId="1963" xr:uid="{00000000-0005-0000-0000-00005B070000}"/>
    <cellStyle name="Style 24 2 2 2" xfId="4493" xr:uid="{00000000-0005-0000-0000-00005B070000}"/>
    <cellStyle name="Style 24 2 3" xfId="1964" xr:uid="{00000000-0005-0000-0000-00005C070000}"/>
    <cellStyle name="Style 24 2 3 2" xfId="4494" xr:uid="{00000000-0005-0000-0000-00005C070000}"/>
    <cellStyle name="Style 24 2 4" xfId="1965" xr:uid="{00000000-0005-0000-0000-00005D070000}"/>
    <cellStyle name="Style 24 2 4 2" xfId="4495" xr:uid="{00000000-0005-0000-0000-00005D070000}"/>
    <cellStyle name="Style 24 2 5" xfId="1966" xr:uid="{00000000-0005-0000-0000-00005E070000}"/>
    <cellStyle name="Style 24 2 5 2" xfId="4496" xr:uid="{00000000-0005-0000-0000-00005E070000}"/>
    <cellStyle name="Style 24 2 6" xfId="4492" xr:uid="{00000000-0005-0000-0000-00005A070000}"/>
    <cellStyle name="Style 24 3" xfId="1967" xr:uid="{00000000-0005-0000-0000-00005F070000}"/>
    <cellStyle name="Style 24 3 2" xfId="1968" xr:uid="{00000000-0005-0000-0000-000060070000}"/>
    <cellStyle name="Style 24 3 2 2" xfId="4498" xr:uid="{00000000-0005-0000-0000-000060070000}"/>
    <cellStyle name="Style 24 3 3" xfId="1969" xr:uid="{00000000-0005-0000-0000-000061070000}"/>
    <cellStyle name="Style 24 3 3 2" xfId="4499" xr:uid="{00000000-0005-0000-0000-000061070000}"/>
    <cellStyle name="Style 24 3 4" xfId="1970" xr:uid="{00000000-0005-0000-0000-000062070000}"/>
    <cellStyle name="Style 24 3 4 2" xfId="4500" xr:uid="{00000000-0005-0000-0000-000062070000}"/>
    <cellStyle name="Style 24 3 5" xfId="1971" xr:uid="{00000000-0005-0000-0000-000063070000}"/>
    <cellStyle name="Style 24 3 5 2" xfId="4501" xr:uid="{00000000-0005-0000-0000-000063070000}"/>
    <cellStyle name="Style 24 3 6" xfId="4497" xr:uid="{00000000-0005-0000-0000-00005F070000}"/>
    <cellStyle name="Style 24 4" xfId="1972" xr:uid="{00000000-0005-0000-0000-000064070000}"/>
    <cellStyle name="Style 24 4 2" xfId="1973" xr:uid="{00000000-0005-0000-0000-000065070000}"/>
    <cellStyle name="Style 24 4 2 2" xfId="4503" xr:uid="{00000000-0005-0000-0000-000065070000}"/>
    <cellStyle name="Style 24 4 3" xfId="1974" xr:uid="{00000000-0005-0000-0000-000066070000}"/>
    <cellStyle name="Style 24 4 3 2" xfId="4504" xr:uid="{00000000-0005-0000-0000-000066070000}"/>
    <cellStyle name="Style 24 4 4" xfId="1975" xr:uid="{00000000-0005-0000-0000-000067070000}"/>
    <cellStyle name="Style 24 4 4 2" xfId="4505" xr:uid="{00000000-0005-0000-0000-000067070000}"/>
    <cellStyle name="Style 24 4 5" xfId="1976" xr:uid="{00000000-0005-0000-0000-000068070000}"/>
    <cellStyle name="Style 24 4 5 2" xfId="4506" xr:uid="{00000000-0005-0000-0000-000068070000}"/>
    <cellStyle name="Style 24 4 6" xfId="4502" xr:uid="{00000000-0005-0000-0000-000064070000}"/>
    <cellStyle name="Style 24 5" xfId="1977" xr:uid="{00000000-0005-0000-0000-000069070000}"/>
    <cellStyle name="Style 24 5 2" xfId="1978" xr:uid="{00000000-0005-0000-0000-00006A070000}"/>
    <cellStyle name="Style 24 5 2 2" xfId="4508" xr:uid="{00000000-0005-0000-0000-00006A070000}"/>
    <cellStyle name="Style 24 5 3" xfId="1979" xr:uid="{00000000-0005-0000-0000-00006B070000}"/>
    <cellStyle name="Style 24 5 3 2" xfId="4509" xr:uid="{00000000-0005-0000-0000-00006B070000}"/>
    <cellStyle name="Style 24 5 4" xfId="1980" xr:uid="{00000000-0005-0000-0000-00006C070000}"/>
    <cellStyle name="Style 24 5 4 2" xfId="4510" xr:uid="{00000000-0005-0000-0000-00006C070000}"/>
    <cellStyle name="Style 24 5 5" xfId="1981" xr:uid="{00000000-0005-0000-0000-00006D070000}"/>
    <cellStyle name="Style 24 5 5 2" xfId="4511" xr:uid="{00000000-0005-0000-0000-00006D070000}"/>
    <cellStyle name="Style 24 5 6" xfId="4507" xr:uid="{00000000-0005-0000-0000-000069070000}"/>
    <cellStyle name="Style 24 6" xfId="1982" xr:uid="{00000000-0005-0000-0000-00006E070000}"/>
    <cellStyle name="Style 24 6 2" xfId="1983" xr:uid="{00000000-0005-0000-0000-00006F070000}"/>
    <cellStyle name="Style 24 6 2 2" xfId="4513" xr:uid="{00000000-0005-0000-0000-00006F070000}"/>
    <cellStyle name="Style 24 6 3" xfId="1984" xr:uid="{00000000-0005-0000-0000-000070070000}"/>
    <cellStyle name="Style 24 6 3 2" xfId="4514" xr:uid="{00000000-0005-0000-0000-000070070000}"/>
    <cellStyle name="Style 24 6 4" xfId="1985" xr:uid="{00000000-0005-0000-0000-000071070000}"/>
    <cellStyle name="Style 24 6 4 2" xfId="4515" xr:uid="{00000000-0005-0000-0000-000071070000}"/>
    <cellStyle name="Style 24 6 5" xfId="1986" xr:uid="{00000000-0005-0000-0000-000072070000}"/>
    <cellStyle name="Style 24 6 5 2" xfId="4516" xr:uid="{00000000-0005-0000-0000-000072070000}"/>
    <cellStyle name="Style 24 6 6" xfId="4512" xr:uid="{00000000-0005-0000-0000-00006E070000}"/>
    <cellStyle name="Style 24 7" xfId="1987" xr:uid="{00000000-0005-0000-0000-000073070000}"/>
    <cellStyle name="Style 24 7 2" xfId="1988" xr:uid="{00000000-0005-0000-0000-000074070000}"/>
    <cellStyle name="Style 24 7 2 2" xfId="4518" xr:uid="{00000000-0005-0000-0000-000074070000}"/>
    <cellStyle name="Style 24 7 3" xfId="1989" xr:uid="{00000000-0005-0000-0000-000075070000}"/>
    <cellStyle name="Style 24 7 3 2" xfId="4519" xr:uid="{00000000-0005-0000-0000-000075070000}"/>
    <cellStyle name="Style 24 7 4" xfId="1990" xr:uid="{00000000-0005-0000-0000-000076070000}"/>
    <cellStyle name="Style 24 7 4 2" xfId="4520" xr:uid="{00000000-0005-0000-0000-000076070000}"/>
    <cellStyle name="Style 24 7 5" xfId="1991" xr:uid="{00000000-0005-0000-0000-000077070000}"/>
    <cellStyle name="Style 24 7 5 2" xfId="4521" xr:uid="{00000000-0005-0000-0000-000077070000}"/>
    <cellStyle name="Style 24 7 6" xfId="4517" xr:uid="{00000000-0005-0000-0000-000073070000}"/>
    <cellStyle name="Style 24 8" xfId="1992" xr:uid="{00000000-0005-0000-0000-000078070000}"/>
    <cellStyle name="Style 24 8 2" xfId="1993" xr:uid="{00000000-0005-0000-0000-000079070000}"/>
    <cellStyle name="Style 24 8 2 2" xfId="4523" xr:uid="{00000000-0005-0000-0000-000079070000}"/>
    <cellStyle name="Style 24 8 3" xfId="1994" xr:uid="{00000000-0005-0000-0000-00007A070000}"/>
    <cellStyle name="Style 24 8 3 2" xfId="4524" xr:uid="{00000000-0005-0000-0000-00007A070000}"/>
    <cellStyle name="Style 24 8 4" xfId="1995" xr:uid="{00000000-0005-0000-0000-00007B070000}"/>
    <cellStyle name="Style 24 8 4 2" xfId="4525" xr:uid="{00000000-0005-0000-0000-00007B070000}"/>
    <cellStyle name="Style 24 8 5" xfId="1996" xr:uid="{00000000-0005-0000-0000-00007C070000}"/>
    <cellStyle name="Style 24 8 5 2" xfId="4526" xr:uid="{00000000-0005-0000-0000-00007C070000}"/>
    <cellStyle name="Style 24 8 6" xfId="4522" xr:uid="{00000000-0005-0000-0000-000078070000}"/>
    <cellStyle name="Style 24 9" xfId="1997" xr:uid="{00000000-0005-0000-0000-00007D070000}"/>
    <cellStyle name="Style 24 9 2" xfId="1998" xr:uid="{00000000-0005-0000-0000-00007E070000}"/>
    <cellStyle name="Style 24 9 2 2" xfId="4528" xr:uid="{00000000-0005-0000-0000-00007E070000}"/>
    <cellStyle name="Style 24 9 3" xfId="1999" xr:uid="{00000000-0005-0000-0000-00007F070000}"/>
    <cellStyle name="Style 24 9 3 2" xfId="4529" xr:uid="{00000000-0005-0000-0000-00007F070000}"/>
    <cellStyle name="Style 24 9 4" xfId="2000" xr:uid="{00000000-0005-0000-0000-000080070000}"/>
    <cellStyle name="Style 24 9 4 2" xfId="4530" xr:uid="{00000000-0005-0000-0000-000080070000}"/>
    <cellStyle name="Style 24 9 5" xfId="2001" xr:uid="{00000000-0005-0000-0000-000081070000}"/>
    <cellStyle name="Style 24 9 5 2" xfId="4531" xr:uid="{00000000-0005-0000-0000-000081070000}"/>
    <cellStyle name="Style 24 9 6" xfId="4527" xr:uid="{00000000-0005-0000-0000-00007D070000}"/>
    <cellStyle name="Style 28" xfId="2002" xr:uid="{00000000-0005-0000-0000-000082070000}"/>
    <cellStyle name="Style 28 10" xfId="2003" xr:uid="{00000000-0005-0000-0000-000083070000}"/>
    <cellStyle name="Style 28 10 2" xfId="4533" xr:uid="{00000000-0005-0000-0000-000083070000}"/>
    <cellStyle name="Style 28 11" xfId="2004" xr:uid="{00000000-0005-0000-0000-000084070000}"/>
    <cellStyle name="Style 28 11 2" xfId="4534" xr:uid="{00000000-0005-0000-0000-000084070000}"/>
    <cellStyle name="Style 28 12" xfId="2005" xr:uid="{00000000-0005-0000-0000-000085070000}"/>
    <cellStyle name="Style 28 12 2" xfId="4535" xr:uid="{00000000-0005-0000-0000-000085070000}"/>
    <cellStyle name="Style 28 13" xfId="2006" xr:uid="{00000000-0005-0000-0000-000086070000}"/>
    <cellStyle name="Style 28 13 2" xfId="4536" xr:uid="{00000000-0005-0000-0000-000086070000}"/>
    <cellStyle name="Style 28 14" xfId="4532" xr:uid="{00000000-0005-0000-0000-000082070000}"/>
    <cellStyle name="Style 28 2" xfId="2007" xr:uid="{00000000-0005-0000-0000-000087070000}"/>
    <cellStyle name="Style 28 2 2" xfId="2008" xr:uid="{00000000-0005-0000-0000-000088070000}"/>
    <cellStyle name="Style 28 2 2 2" xfId="4538" xr:uid="{00000000-0005-0000-0000-000088070000}"/>
    <cellStyle name="Style 28 2 3" xfId="2009" xr:uid="{00000000-0005-0000-0000-000089070000}"/>
    <cellStyle name="Style 28 2 3 2" xfId="4539" xr:uid="{00000000-0005-0000-0000-000089070000}"/>
    <cellStyle name="Style 28 2 4" xfId="2010" xr:uid="{00000000-0005-0000-0000-00008A070000}"/>
    <cellStyle name="Style 28 2 4 2" xfId="4540" xr:uid="{00000000-0005-0000-0000-00008A070000}"/>
    <cellStyle name="Style 28 2 5" xfId="2011" xr:uid="{00000000-0005-0000-0000-00008B070000}"/>
    <cellStyle name="Style 28 2 5 2" xfId="4541" xr:uid="{00000000-0005-0000-0000-00008B070000}"/>
    <cellStyle name="Style 28 2 6" xfId="4537" xr:uid="{00000000-0005-0000-0000-000087070000}"/>
    <cellStyle name="Style 28 3" xfId="2012" xr:uid="{00000000-0005-0000-0000-00008C070000}"/>
    <cellStyle name="Style 28 3 2" xfId="2013" xr:uid="{00000000-0005-0000-0000-00008D070000}"/>
    <cellStyle name="Style 28 3 2 2" xfId="4543" xr:uid="{00000000-0005-0000-0000-00008D070000}"/>
    <cellStyle name="Style 28 3 3" xfId="2014" xr:uid="{00000000-0005-0000-0000-00008E070000}"/>
    <cellStyle name="Style 28 3 3 2" xfId="4544" xr:uid="{00000000-0005-0000-0000-00008E070000}"/>
    <cellStyle name="Style 28 3 4" xfId="2015" xr:uid="{00000000-0005-0000-0000-00008F070000}"/>
    <cellStyle name="Style 28 3 4 2" xfId="4545" xr:uid="{00000000-0005-0000-0000-00008F070000}"/>
    <cellStyle name="Style 28 3 5" xfId="2016" xr:uid="{00000000-0005-0000-0000-000090070000}"/>
    <cellStyle name="Style 28 3 5 2" xfId="4546" xr:uid="{00000000-0005-0000-0000-000090070000}"/>
    <cellStyle name="Style 28 3 6" xfId="4542" xr:uid="{00000000-0005-0000-0000-00008C070000}"/>
    <cellStyle name="Style 28 4" xfId="2017" xr:uid="{00000000-0005-0000-0000-000091070000}"/>
    <cellStyle name="Style 28 4 2" xfId="2018" xr:uid="{00000000-0005-0000-0000-000092070000}"/>
    <cellStyle name="Style 28 4 2 2" xfId="4548" xr:uid="{00000000-0005-0000-0000-000092070000}"/>
    <cellStyle name="Style 28 4 3" xfId="2019" xr:uid="{00000000-0005-0000-0000-000093070000}"/>
    <cellStyle name="Style 28 4 3 2" xfId="4549" xr:uid="{00000000-0005-0000-0000-000093070000}"/>
    <cellStyle name="Style 28 4 4" xfId="2020" xr:uid="{00000000-0005-0000-0000-000094070000}"/>
    <cellStyle name="Style 28 4 4 2" xfId="4550" xr:uid="{00000000-0005-0000-0000-000094070000}"/>
    <cellStyle name="Style 28 4 5" xfId="2021" xr:uid="{00000000-0005-0000-0000-000095070000}"/>
    <cellStyle name="Style 28 4 5 2" xfId="4551" xr:uid="{00000000-0005-0000-0000-000095070000}"/>
    <cellStyle name="Style 28 4 6" xfId="4547" xr:uid="{00000000-0005-0000-0000-000091070000}"/>
    <cellStyle name="Style 28 5" xfId="2022" xr:uid="{00000000-0005-0000-0000-000096070000}"/>
    <cellStyle name="Style 28 5 2" xfId="2023" xr:uid="{00000000-0005-0000-0000-000097070000}"/>
    <cellStyle name="Style 28 5 2 2" xfId="4553" xr:uid="{00000000-0005-0000-0000-000097070000}"/>
    <cellStyle name="Style 28 5 3" xfId="2024" xr:uid="{00000000-0005-0000-0000-000098070000}"/>
    <cellStyle name="Style 28 5 3 2" xfId="4554" xr:uid="{00000000-0005-0000-0000-000098070000}"/>
    <cellStyle name="Style 28 5 4" xfId="2025" xr:uid="{00000000-0005-0000-0000-000099070000}"/>
    <cellStyle name="Style 28 5 4 2" xfId="4555" xr:uid="{00000000-0005-0000-0000-000099070000}"/>
    <cellStyle name="Style 28 5 5" xfId="2026" xr:uid="{00000000-0005-0000-0000-00009A070000}"/>
    <cellStyle name="Style 28 5 5 2" xfId="4556" xr:uid="{00000000-0005-0000-0000-00009A070000}"/>
    <cellStyle name="Style 28 5 6" xfId="4552" xr:uid="{00000000-0005-0000-0000-000096070000}"/>
    <cellStyle name="Style 28 6" xfId="2027" xr:uid="{00000000-0005-0000-0000-00009B070000}"/>
    <cellStyle name="Style 28 6 2" xfId="2028" xr:uid="{00000000-0005-0000-0000-00009C070000}"/>
    <cellStyle name="Style 28 6 2 2" xfId="4558" xr:uid="{00000000-0005-0000-0000-00009C070000}"/>
    <cellStyle name="Style 28 6 3" xfId="2029" xr:uid="{00000000-0005-0000-0000-00009D070000}"/>
    <cellStyle name="Style 28 6 3 2" xfId="4559" xr:uid="{00000000-0005-0000-0000-00009D070000}"/>
    <cellStyle name="Style 28 6 4" xfId="2030" xr:uid="{00000000-0005-0000-0000-00009E070000}"/>
    <cellStyle name="Style 28 6 4 2" xfId="4560" xr:uid="{00000000-0005-0000-0000-00009E070000}"/>
    <cellStyle name="Style 28 6 5" xfId="2031" xr:uid="{00000000-0005-0000-0000-00009F070000}"/>
    <cellStyle name="Style 28 6 5 2" xfId="4561" xr:uid="{00000000-0005-0000-0000-00009F070000}"/>
    <cellStyle name="Style 28 6 6" xfId="4557" xr:uid="{00000000-0005-0000-0000-00009B070000}"/>
    <cellStyle name="Style 28 7" xfId="2032" xr:uid="{00000000-0005-0000-0000-0000A0070000}"/>
    <cellStyle name="Style 28 7 2" xfId="2033" xr:uid="{00000000-0005-0000-0000-0000A1070000}"/>
    <cellStyle name="Style 28 7 2 2" xfId="4563" xr:uid="{00000000-0005-0000-0000-0000A1070000}"/>
    <cellStyle name="Style 28 7 3" xfId="2034" xr:uid="{00000000-0005-0000-0000-0000A2070000}"/>
    <cellStyle name="Style 28 7 3 2" xfId="4564" xr:uid="{00000000-0005-0000-0000-0000A2070000}"/>
    <cellStyle name="Style 28 7 4" xfId="2035" xr:uid="{00000000-0005-0000-0000-0000A3070000}"/>
    <cellStyle name="Style 28 7 4 2" xfId="4565" xr:uid="{00000000-0005-0000-0000-0000A3070000}"/>
    <cellStyle name="Style 28 7 5" xfId="2036" xr:uid="{00000000-0005-0000-0000-0000A4070000}"/>
    <cellStyle name="Style 28 7 5 2" xfId="4566" xr:uid="{00000000-0005-0000-0000-0000A4070000}"/>
    <cellStyle name="Style 28 7 6" xfId="4562" xr:uid="{00000000-0005-0000-0000-0000A0070000}"/>
    <cellStyle name="Style 28 8" xfId="2037" xr:uid="{00000000-0005-0000-0000-0000A5070000}"/>
    <cellStyle name="Style 28 8 2" xfId="2038" xr:uid="{00000000-0005-0000-0000-0000A6070000}"/>
    <cellStyle name="Style 28 8 2 2" xfId="4568" xr:uid="{00000000-0005-0000-0000-0000A6070000}"/>
    <cellStyle name="Style 28 8 3" xfId="2039" xr:uid="{00000000-0005-0000-0000-0000A7070000}"/>
    <cellStyle name="Style 28 8 3 2" xfId="4569" xr:uid="{00000000-0005-0000-0000-0000A7070000}"/>
    <cellStyle name="Style 28 8 4" xfId="2040" xr:uid="{00000000-0005-0000-0000-0000A8070000}"/>
    <cellStyle name="Style 28 8 4 2" xfId="4570" xr:uid="{00000000-0005-0000-0000-0000A8070000}"/>
    <cellStyle name="Style 28 8 5" xfId="2041" xr:uid="{00000000-0005-0000-0000-0000A9070000}"/>
    <cellStyle name="Style 28 8 5 2" xfId="4571" xr:uid="{00000000-0005-0000-0000-0000A9070000}"/>
    <cellStyle name="Style 28 8 6" xfId="4567" xr:uid="{00000000-0005-0000-0000-0000A5070000}"/>
    <cellStyle name="Style 28 9" xfId="2042" xr:uid="{00000000-0005-0000-0000-0000AA070000}"/>
    <cellStyle name="Style 28 9 2" xfId="2043" xr:uid="{00000000-0005-0000-0000-0000AB070000}"/>
    <cellStyle name="Style 28 9 2 2" xfId="4573" xr:uid="{00000000-0005-0000-0000-0000AB070000}"/>
    <cellStyle name="Style 28 9 3" xfId="2044" xr:uid="{00000000-0005-0000-0000-0000AC070000}"/>
    <cellStyle name="Style 28 9 3 2" xfId="4574" xr:uid="{00000000-0005-0000-0000-0000AC070000}"/>
    <cellStyle name="Style 28 9 4" xfId="2045" xr:uid="{00000000-0005-0000-0000-0000AD070000}"/>
    <cellStyle name="Style 28 9 4 2" xfId="4575" xr:uid="{00000000-0005-0000-0000-0000AD070000}"/>
    <cellStyle name="Style 28 9 5" xfId="2046" xr:uid="{00000000-0005-0000-0000-0000AE070000}"/>
    <cellStyle name="Style 28 9 5 2" xfId="4576" xr:uid="{00000000-0005-0000-0000-0000AE070000}"/>
    <cellStyle name="Style 28 9 6" xfId="4572" xr:uid="{00000000-0005-0000-0000-0000AA070000}"/>
    <cellStyle name="SubAccount" xfId="2047" xr:uid="{00000000-0005-0000-0000-0000AF070000}"/>
    <cellStyle name="subhead" xfId="258" xr:uid="{00000000-0005-0000-0000-0000B0070000}"/>
    <cellStyle name="Subtotal" xfId="2048" xr:uid="{00000000-0005-0000-0000-0000B1070000}"/>
    <cellStyle name="Table Head" xfId="2049" xr:uid="{00000000-0005-0000-0000-0000B2070000}"/>
    <cellStyle name="Table Head Aligned" xfId="2050" xr:uid="{00000000-0005-0000-0000-0000B3070000}"/>
    <cellStyle name="Table Head Blue" xfId="2051" xr:uid="{00000000-0005-0000-0000-0000B4070000}"/>
    <cellStyle name="Table Head Green" xfId="2052" xr:uid="{00000000-0005-0000-0000-0000B5070000}"/>
    <cellStyle name="Table Title" xfId="2053" xr:uid="{00000000-0005-0000-0000-0000B6070000}"/>
    <cellStyle name="Table Units" xfId="2054" xr:uid="{00000000-0005-0000-0000-0000B7070000}"/>
    <cellStyle name="table_head1" xfId="2055" xr:uid="{00000000-0005-0000-0000-0000B8070000}"/>
    <cellStyle name="Text Indent A" xfId="2056" xr:uid="{00000000-0005-0000-0000-0000B9070000}"/>
    <cellStyle name="Text Indent B" xfId="2057" xr:uid="{00000000-0005-0000-0000-0000BA070000}"/>
    <cellStyle name="þ_x001d_ð'&amp;Oy?Hy9_x0008__x000f__x0007_æ_x0007__x0007__x0001__x0001_" xfId="2058" xr:uid="{00000000-0005-0000-0000-0000BB070000}"/>
    <cellStyle name="Thousands" xfId="2059" xr:uid="{00000000-0005-0000-0000-0000BC070000}"/>
    <cellStyle name="Tickmark" xfId="259" xr:uid="{00000000-0005-0000-0000-0000BD070000}"/>
    <cellStyle name="Times 10" xfId="260" xr:uid="{00000000-0005-0000-0000-0000BE070000}"/>
    <cellStyle name="Times 12" xfId="261" xr:uid="{00000000-0005-0000-0000-0000BF070000}"/>
    <cellStyle name="Times New Roman" xfId="2060" xr:uid="{00000000-0005-0000-0000-0000C0070000}"/>
    <cellStyle name="title" xfId="2061" xr:uid="{00000000-0005-0000-0000-0000C1070000}"/>
    <cellStyle name="Total" xfId="262" xr:uid="{00000000-0005-0000-0000-0000C2070000}"/>
    <cellStyle name="Total 10" xfId="2062" xr:uid="{00000000-0005-0000-0000-0000C3070000}"/>
    <cellStyle name="Total 10 2" xfId="2063" xr:uid="{00000000-0005-0000-0000-0000C4070000}"/>
    <cellStyle name="Total 10 3" xfId="2064" xr:uid="{00000000-0005-0000-0000-0000C5070000}"/>
    <cellStyle name="Total 10 4" xfId="2065" xr:uid="{00000000-0005-0000-0000-0000C6070000}"/>
    <cellStyle name="Total 10 5" xfId="2066" xr:uid="{00000000-0005-0000-0000-0000C7070000}"/>
    <cellStyle name="Total 11" xfId="2067" xr:uid="{00000000-0005-0000-0000-0000C8070000}"/>
    <cellStyle name="Total 12" xfId="2068" xr:uid="{00000000-0005-0000-0000-0000C9070000}"/>
    <cellStyle name="Total 13" xfId="2069" xr:uid="{00000000-0005-0000-0000-0000CA070000}"/>
    <cellStyle name="Total 14" xfId="2070" xr:uid="{00000000-0005-0000-0000-0000CB070000}"/>
    <cellStyle name="Total 2" xfId="2071" xr:uid="{00000000-0005-0000-0000-0000CC070000}"/>
    <cellStyle name="Total 2 2" xfId="2072" xr:uid="{00000000-0005-0000-0000-0000CD070000}"/>
    <cellStyle name="Total 2 3" xfId="2073" xr:uid="{00000000-0005-0000-0000-0000CE070000}"/>
    <cellStyle name="Total 2 4" xfId="2074" xr:uid="{00000000-0005-0000-0000-0000CF070000}"/>
    <cellStyle name="Total 2 5" xfId="2075" xr:uid="{00000000-0005-0000-0000-0000D0070000}"/>
    <cellStyle name="Total 3" xfId="2076" xr:uid="{00000000-0005-0000-0000-0000D1070000}"/>
    <cellStyle name="Total 3 2" xfId="2077" xr:uid="{00000000-0005-0000-0000-0000D2070000}"/>
    <cellStyle name="Total 3 3" xfId="2078" xr:uid="{00000000-0005-0000-0000-0000D3070000}"/>
    <cellStyle name="Total 3 4" xfId="2079" xr:uid="{00000000-0005-0000-0000-0000D4070000}"/>
    <cellStyle name="Total 3 5" xfId="2080" xr:uid="{00000000-0005-0000-0000-0000D5070000}"/>
    <cellStyle name="Total 4" xfId="2081" xr:uid="{00000000-0005-0000-0000-0000D6070000}"/>
    <cellStyle name="Total 4 2" xfId="2082" xr:uid="{00000000-0005-0000-0000-0000D7070000}"/>
    <cellStyle name="Total 4 3" xfId="2083" xr:uid="{00000000-0005-0000-0000-0000D8070000}"/>
    <cellStyle name="Total 4 4" xfId="2084" xr:uid="{00000000-0005-0000-0000-0000D9070000}"/>
    <cellStyle name="Total 4 5" xfId="2085" xr:uid="{00000000-0005-0000-0000-0000DA070000}"/>
    <cellStyle name="Total 5" xfId="2086" xr:uid="{00000000-0005-0000-0000-0000DB070000}"/>
    <cellStyle name="Total 5 2" xfId="2087" xr:uid="{00000000-0005-0000-0000-0000DC070000}"/>
    <cellStyle name="Total 5 3" xfId="2088" xr:uid="{00000000-0005-0000-0000-0000DD070000}"/>
    <cellStyle name="Total 5 4" xfId="2089" xr:uid="{00000000-0005-0000-0000-0000DE070000}"/>
    <cellStyle name="Total 5 5" xfId="2090" xr:uid="{00000000-0005-0000-0000-0000DF070000}"/>
    <cellStyle name="Total 6" xfId="2091" xr:uid="{00000000-0005-0000-0000-0000E0070000}"/>
    <cellStyle name="Total 6 2" xfId="2092" xr:uid="{00000000-0005-0000-0000-0000E1070000}"/>
    <cellStyle name="Total 6 3" xfId="2093" xr:uid="{00000000-0005-0000-0000-0000E2070000}"/>
    <cellStyle name="Total 6 4" xfId="2094" xr:uid="{00000000-0005-0000-0000-0000E3070000}"/>
    <cellStyle name="Total 6 5" xfId="2095" xr:uid="{00000000-0005-0000-0000-0000E4070000}"/>
    <cellStyle name="Total 7" xfId="2096" xr:uid="{00000000-0005-0000-0000-0000E5070000}"/>
    <cellStyle name="Total 7 2" xfId="2097" xr:uid="{00000000-0005-0000-0000-0000E6070000}"/>
    <cellStyle name="Total 7 3" xfId="2098" xr:uid="{00000000-0005-0000-0000-0000E7070000}"/>
    <cellStyle name="Total 7 4" xfId="2099" xr:uid="{00000000-0005-0000-0000-0000E8070000}"/>
    <cellStyle name="Total 7 5" xfId="2100" xr:uid="{00000000-0005-0000-0000-0000E9070000}"/>
    <cellStyle name="Total 8" xfId="2101" xr:uid="{00000000-0005-0000-0000-0000EA070000}"/>
    <cellStyle name="Total 8 2" xfId="2102" xr:uid="{00000000-0005-0000-0000-0000EB070000}"/>
    <cellStyle name="Total 8 3" xfId="2103" xr:uid="{00000000-0005-0000-0000-0000EC070000}"/>
    <cellStyle name="Total 8 4" xfId="2104" xr:uid="{00000000-0005-0000-0000-0000ED070000}"/>
    <cellStyle name="Total 8 5" xfId="2105" xr:uid="{00000000-0005-0000-0000-0000EE070000}"/>
    <cellStyle name="Total 9" xfId="2106" xr:uid="{00000000-0005-0000-0000-0000EF070000}"/>
    <cellStyle name="Total 9 2" xfId="2107" xr:uid="{00000000-0005-0000-0000-0000F0070000}"/>
    <cellStyle name="Total 9 3" xfId="2108" xr:uid="{00000000-0005-0000-0000-0000F1070000}"/>
    <cellStyle name="Total 9 4" xfId="2109" xr:uid="{00000000-0005-0000-0000-0000F2070000}"/>
    <cellStyle name="Total 9 5" xfId="2110" xr:uid="{00000000-0005-0000-0000-0000F3070000}"/>
    <cellStyle name="Underline_Double" xfId="2111" xr:uid="{00000000-0005-0000-0000-0000F4070000}"/>
    <cellStyle name="Unprot" xfId="2112" xr:uid="{00000000-0005-0000-0000-0000F5070000}"/>
    <cellStyle name="Unprot$" xfId="2113" xr:uid="{00000000-0005-0000-0000-0000F6070000}"/>
    <cellStyle name="Unprotect" xfId="2114" xr:uid="{00000000-0005-0000-0000-0000F7070000}"/>
    <cellStyle name="W?rung [0]_Aktenbewertung 1994" xfId="2115" xr:uid="{00000000-0005-0000-0000-0000F8070000}"/>
    <cellStyle name="W?rung_Aktenbewertung 1994" xfId="2116" xr:uid="{00000000-0005-0000-0000-0000F9070000}"/>
    <cellStyle name="Warning Text" xfId="2117" xr:uid="{00000000-0005-0000-0000-0000FA070000}"/>
    <cellStyle name="wrap" xfId="2118" xr:uid="{00000000-0005-0000-0000-0000FB070000}"/>
    <cellStyle name="Yen" xfId="263" xr:uid="{00000000-0005-0000-0000-0000FC070000}"/>
    <cellStyle name="ｹ鮗ﾐﾀｲ_ｰ豼ｵﾁ･" xfId="2119" xr:uid="{00000000-0005-0000-0000-0000FD070000}"/>
    <cellStyle name="ﾄﾞｸｶ [0]_ｰ｡ﾀ・ﾍ" xfId="2120" xr:uid="{00000000-0005-0000-0000-0000FE070000}"/>
    <cellStyle name="ﾄﾞｸｶ_ｰ・ｮBSｹ霄ﾎｱ簔ﾘﾇ･" xfId="2121" xr:uid="{00000000-0005-0000-0000-0000FF070000}"/>
    <cellStyle name="ﾅ・ｭ [0]_ｰ・ｮBSｹ霄ﾎｱ簔ﾘﾇ･" xfId="2122" xr:uid="{00000000-0005-0000-0000-000000080000}"/>
    <cellStyle name="ﾅ・ｭ_ｰ・ｮBSｹ霄ﾎｱ簔ﾘﾇ･" xfId="2123" xr:uid="{00000000-0005-0000-0000-000001080000}"/>
    <cellStyle name="ﾇ･ﾁﾘ_ｰ・ｮBSｹ霄ﾎｱ簔ﾘﾇ･" xfId="2124" xr:uid="{00000000-0005-0000-0000-000002080000}"/>
    <cellStyle name=" 坪 l_Sheet1_Q4 (2)" xfId="2125" xr:uid="{00000000-0005-0000-0000-000003080000}"/>
    <cellStyle name="强调文字颜色 1" xfId="2126" xr:uid="{00000000-0005-0000-0000-000004080000}"/>
    <cellStyle name="强调文字颜色 2" xfId="2127" xr:uid="{00000000-0005-0000-0000-000005080000}"/>
    <cellStyle name="强调文字颜色 3" xfId="2128" xr:uid="{00000000-0005-0000-0000-000006080000}"/>
    <cellStyle name="强调文字颜色 4" xfId="2129" xr:uid="{00000000-0005-0000-0000-000007080000}"/>
    <cellStyle name="强调文字颜色 5" xfId="2130" xr:uid="{00000000-0005-0000-0000-000008080000}"/>
    <cellStyle name="强调文字颜色 6" xfId="2131" xr:uid="{00000000-0005-0000-0000-000009080000}"/>
    <cellStyle name="강조색1 2" xfId="2132" xr:uid="{00000000-0005-0000-0000-00000A080000}"/>
    <cellStyle name="강조색2 2" xfId="2133" xr:uid="{00000000-0005-0000-0000-00000B080000}"/>
    <cellStyle name="강조색3 2" xfId="2134" xr:uid="{00000000-0005-0000-0000-00000C080000}"/>
    <cellStyle name="강조색4 2" xfId="2135" xr:uid="{00000000-0005-0000-0000-00000D080000}"/>
    <cellStyle name="강조색5 2" xfId="2136" xr:uid="{00000000-0005-0000-0000-00000E080000}"/>
    <cellStyle name="강조색6 2" xfId="2137" xr:uid="{00000000-0005-0000-0000-00000F080000}"/>
    <cellStyle name="检查单元格" xfId="2138" xr:uid="{00000000-0005-0000-0000-000010080000}"/>
    <cellStyle name="검증" xfId="264" xr:uid="{00000000-0005-0000-0000-000011080000}"/>
    <cellStyle name="경고문 2" xfId="2139" xr:uid="{00000000-0005-0000-0000-000012080000}"/>
    <cellStyle name="警告文本" xfId="2140" xr:uid="{00000000-0005-0000-0000-000013080000}"/>
    <cellStyle name="计算" xfId="2141" xr:uid="{00000000-0005-0000-0000-000014080000}"/>
    <cellStyle name="计算 10" xfId="2142" xr:uid="{00000000-0005-0000-0000-000015080000}"/>
    <cellStyle name="计算 10 2" xfId="2143" xr:uid="{00000000-0005-0000-0000-000016080000}"/>
    <cellStyle name="计算 10 2 2" xfId="4579" xr:uid="{00000000-0005-0000-0000-000016080000}"/>
    <cellStyle name="计算 10 3" xfId="2144" xr:uid="{00000000-0005-0000-0000-000017080000}"/>
    <cellStyle name="计算 10 3 2" xfId="4580" xr:uid="{00000000-0005-0000-0000-000017080000}"/>
    <cellStyle name="计算 10 4" xfId="2145" xr:uid="{00000000-0005-0000-0000-000018080000}"/>
    <cellStyle name="计算 10 4 2" xfId="4581" xr:uid="{00000000-0005-0000-0000-000018080000}"/>
    <cellStyle name="计算 10 5" xfId="2146" xr:uid="{00000000-0005-0000-0000-000019080000}"/>
    <cellStyle name="计算 10 5 2" xfId="4582" xr:uid="{00000000-0005-0000-0000-000019080000}"/>
    <cellStyle name="计算 10 6" xfId="4578" xr:uid="{00000000-0005-0000-0000-000015080000}"/>
    <cellStyle name="计算 11" xfId="2147" xr:uid="{00000000-0005-0000-0000-00001A080000}"/>
    <cellStyle name="计算 11 2" xfId="2148" xr:uid="{00000000-0005-0000-0000-00001B080000}"/>
    <cellStyle name="计算 11 2 2" xfId="4584" xr:uid="{00000000-0005-0000-0000-00001B080000}"/>
    <cellStyle name="计算 11 3" xfId="2149" xr:uid="{00000000-0005-0000-0000-00001C080000}"/>
    <cellStyle name="计算 11 3 2" xfId="4585" xr:uid="{00000000-0005-0000-0000-00001C080000}"/>
    <cellStyle name="计算 11 4" xfId="2150" xr:uid="{00000000-0005-0000-0000-00001D080000}"/>
    <cellStyle name="计算 11 4 2" xfId="4586" xr:uid="{00000000-0005-0000-0000-00001D080000}"/>
    <cellStyle name="计算 11 5" xfId="2151" xr:uid="{00000000-0005-0000-0000-00001E080000}"/>
    <cellStyle name="计算 11 5 2" xfId="4587" xr:uid="{00000000-0005-0000-0000-00001E080000}"/>
    <cellStyle name="计算 11 6" xfId="4583" xr:uid="{00000000-0005-0000-0000-00001A080000}"/>
    <cellStyle name="计算 12" xfId="2152" xr:uid="{00000000-0005-0000-0000-00001F080000}"/>
    <cellStyle name="计算 12 2" xfId="2153" xr:uid="{00000000-0005-0000-0000-000020080000}"/>
    <cellStyle name="计算 12 2 2" xfId="4589" xr:uid="{00000000-0005-0000-0000-000020080000}"/>
    <cellStyle name="计算 12 3" xfId="2154" xr:uid="{00000000-0005-0000-0000-000021080000}"/>
    <cellStyle name="计算 12 3 2" xfId="4590" xr:uid="{00000000-0005-0000-0000-000021080000}"/>
    <cellStyle name="计算 12 4" xfId="2155" xr:uid="{00000000-0005-0000-0000-000022080000}"/>
    <cellStyle name="计算 12 4 2" xfId="4591" xr:uid="{00000000-0005-0000-0000-000022080000}"/>
    <cellStyle name="计算 12 5" xfId="2156" xr:uid="{00000000-0005-0000-0000-000023080000}"/>
    <cellStyle name="计算 12 5 2" xfId="4592" xr:uid="{00000000-0005-0000-0000-000023080000}"/>
    <cellStyle name="计算 12 6" xfId="4588" xr:uid="{00000000-0005-0000-0000-00001F080000}"/>
    <cellStyle name="计算 13" xfId="2157" xr:uid="{00000000-0005-0000-0000-000024080000}"/>
    <cellStyle name="计算 13 2" xfId="2158" xr:uid="{00000000-0005-0000-0000-000025080000}"/>
    <cellStyle name="计算 13 2 2" xfId="4594" xr:uid="{00000000-0005-0000-0000-000025080000}"/>
    <cellStyle name="计算 13 3" xfId="2159" xr:uid="{00000000-0005-0000-0000-000026080000}"/>
    <cellStyle name="计算 13 3 2" xfId="4595" xr:uid="{00000000-0005-0000-0000-000026080000}"/>
    <cellStyle name="计算 13 4" xfId="2160" xr:uid="{00000000-0005-0000-0000-000027080000}"/>
    <cellStyle name="计算 13 4 2" xfId="4596" xr:uid="{00000000-0005-0000-0000-000027080000}"/>
    <cellStyle name="计算 13 5" xfId="2161" xr:uid="{00000000-0005-0000-0000-000028080000}"/>
    <cellStyle name="计算 13 5 2" xfId="4597" xr:uid="{00000000-0005-0000-0000-000028080000}"/>
    <cellStyle name="计算 13 6" xfId="4593" xr:uid="{00000000-0005-0000-0000-000024080000}"/>
    <cellStyle name="计算 14" xfId="2162" xr:uid="{00000000-0005-0000-0000-000029080000}"/>
    <cellStyle name="计算 14 2" xfId="2163" xr:uid="{00000000-0005-0000-0000-00002A080000}"/>
    <cellStyle name="计算 14 2 2" xfId="4599" xr:uid="{00000000-0005-0000-0000-00002A080000}"/>
    <cellStyle name="计算 14 3" xfId="2164" xr:uid="{00000000-0005-0000-0000-00002B080000}"/>
    <cellStyle name="计算 14 3 2" xfId="4600" xr:uid="{00000000-0005-0000-0000-00002B080000}"/>
    <cellStyle name="计算 14 4" xfId="2165" xr:uid="{00000000-0005-0000-0000-00002C080000}"/>
    <cellStyle name="计算 14 4 2" xfId="4601" xr:uid="{00000000-0005-0000-0000-00002C080000}"/>
    <cellStyle name="计算 14 5" xfId="2166" xr:uid="{00000000-0005-0000-0000-00002D080000}"/>
    <cellStyle name="计算 14 5 2" xfId="4602" xr:uid="{00000000-0005-0000-0000-00002D080000}"/>
    <cellStyle name="计算 14 6" xfId="4598" xr:uid="{00000000-0005-0000-0000-000029080000}"/>
    <cellStyle name="计算 15" xfId="2167" xr:uid="{00000000-0005-0000-0000-00002E080000}"/>
    <cellStyle name="计算 15 2" xfId="4603" xr:uid="{00000000-0005-0000-0000-00002E080000}"/>
    <cellStyle name="计算 16" xfId="2168" xr:uid="{00000000-0005-0000-0000-00002F080000}"/>
    <cellStyle name="计算 16 2" xfId="4604" xr:uid="{00000000-0005-0000-0000-00002F080000}"/>
    <cellStyle name="计算 17" xfId="2169" xr:uid="{00000000-0005-0000-0000-000030080000}"/>
    <cellStyle name="计算 17 2" xfId="4605" xr:uid="{00000000-0005-0000-0000-000030080000}"/>
    <cellStyle name="计算 18" xfId="2170" xr:uid="{00000000-0005-0000-0000-000031080000}"/>
    <cellStyle name="计算 18 2" xfId="4606" xr:uid="{00000000-0005-0000-0000-000031080000}"/>
    <cellStyle name="计算 19" xfId="4577" xr:uid="{00000000-0005-0000-0000-000014080000}"/>
    <cellStyle name="계산 2" xfId="2171" xr:uid="{00000000-0005-0000-0000-000032080000}"/>
    <cellStyle name="计算 2" xfId="2172" xr:uid="{00000000-0005-0000-0000-000033080000}"/>
    <cellStyle name="계산 2 10" xfId="2173" xr:uid="{00000000-0005-0000-0000-000034080000}"/>
    <cellStyle name="계산 2 10 2" xfId="2174" xr:uid="{00000000-0005-0000-0000-000035080000}"/>
    <cellStyle name="계산 2 10 2 2" xfId="4610" xr:uid="{00000000-0005-0000-0000-000035080000}"/>
    <cellStyle name="계산 2 10 3" xfId="2175" xr:uid="{00000000-0005-0000-0000-000036080000}"/>
    <cellStyle name="계산 2 10 3 2" xfId="4611" xr:uid="{00000000-0005-0000-0000-000036080000}"/>
    <cellStyle name="계산 2 10 4" xfId="2176" xr:uid="{00000000-0005-0000-0000-000037080000}"/>
    <cellStyle name="계산 2 10 4 2" xfId="4612" xr:uid="{00000000-0005-0000-0000-000037080000}"/>
    <cellStyle name="계산 2 10 5" xfId="2177" xr:uid="{00000000-0005-0000-0000-000038080000}"/>
    <cellStyle name="계산 2 10 5 2" xfId="4613" xr:uid="{00000000-0005-0000-0000-000038080000}"/>
    <cellStyle name="계산 2 10 6" xfId="4609" xr:uid="{00000000-0005-0000-0000-000034080000}"/>
    <cellStyle name="계산 2 11" xfId="2178" xr:uid="{00000000-0005-0000-0000-000039080000}"/>
    <cellStyle name="계산 2 11 2" xfId="2179" xr:uid="{00000000-0005-0000-0000-00003A080000}"/>
    <cellStyle name="계산 2 11 2 2" xfId="4615" xr:uid="{00000000-0005-0000-0000-00003A080000}"/>
    <cellStyle name="계산 2 11 3" xfId="2180" xr:uid="{00000000-0005-0000-0000-00003B080000}"/>
    <cellStyle name="계산 2 11 3 2" xfId="4616" xr:uid="{00000000-0005-0000-0000-00003B080000}"/>
    <cellStyle name="계산 2 11 4" xfId="2181" xr:uid="{00000000-0005-0000-0000-00003C080000}"/>
    <cellStyle name="계산 2 11 4 2" xfId="4617" xr:uid="{00000000-0005-0000-0000-00003C080000}"/>
    <cellStyle name="계산 2 11 5" xfId="2182" xr:uid="{00000000-0005-0000-0000-00003D080000}"/>
    <cellStyle name="계산 2 11 5 2" xfId="4618" xr:uid="{00000000-0005-0000-0000-00003D080000}"/>
    <cellStyle name="계산 2 11 6" xfId="4614" xr:uid="{00000000-0005-0000-0000-000039080000}"/>
    <cellStyle name="계산 2 12" xfId="2183" xr:uid="{00000000-0005-0000-0000-00003E080000}"/>
    <cellStyle name="계산 2 12 2" xfId="2184" xr:uid="{00000000-0005-0000-0000-00003F080000}"/>
    <cellStyle name="계산 2 12 2 2" xfId="4620" xr:uid="{00000000-0005-0000-0000-00003F080000}"/>
    <cellStyle name="계산 2 12 3" xfId="2185" xr:uid="{00000000-0005-0000-0000-000040080000}"/>
    <cellStyle name="계산 2 12 3 2" xfId="4621" xr:uid="{00000000-0005-0000-0000-000040080000}"/>
    <cellStyle name="계산 2 12 4" xfId="2186" xr:uid="{00000000-0005-0000-0000-000041080000}"/>
    <cellStyle name="계산 2 12 4 2" xfId="4622" xr:uid="{00000000-0005-0000-0000-000041080000}"/>
    <cellStyle name="계산 2 12 5" xfId="2187" xr:uid="{00000000-0005-0000-0000-000042080000}"/>
    <cellStyle name="계산 2 12 5 2" xfId="4623" xr:uid="{00000000-0005-0000-0000-000042080000}"/>
    <cellStyle name="계산 2 12 6" xfId="4619" xr:uid="{00000000-0005-0000-0000-00003E080000}"/>
    <cellStyle name="계산 2 13" xfId="2188" xr:uid="{00000000-0005-0000-0000-000043080000}"/>
    <cellStyle name="계산 2 13 2" xfId="2189" xr:uid="{00000000-0005-0000-0000-000044080000}"/>
    <cellStyle name="계산 2 13 2 2" xfId="4625" xr:uid="{00000000-0005-0000-0000-000044080000}"/>
    <cellStyle name="계산 2 13 3" xfId="2190" xr:uid="{00000000-0005-0000-0000-000045080000}"/>
    <cellStyle name="계산 2 13 3 2" xfId="4626" xr:uid="{00000000-0005-0000-0000-000045080000}"/>
    <cellStyle name="계산 2 13 4" xfId="2191" xr:uid="{00000000-0005-0000-0000-000046080000}"/>
    <cellStyle name="계산 2 13 4 2" xfId="4627" xr:uid="{00000000-0005-0000-0000-000046080000}"/>
    <cellStyle name="계산 2 13 5" xfId="2192" xr:uid="{00000000-0005-0000-0000-000047080000}"/>
    <cellStyle name="계산 2 13 5 2" xfId="4628" xr:uid="{00000000-0005-0000-0000-000047080000}"/>
    <cellStyle name="계산 2 13 6" xfId="4624" xr:uid="{00000000-0005-0000-0000-000043080000}"/>
    <cellStyle name="계산 2 14" xfId="2193" xr:uid="{00000000-0005-0000-0000-000048080000}"/>
    <cellStyle name="계산 2 14 2" xfId="2194" xr:uid="{00000000-0005-0000-0000-000049080000}"/>
    <cellStyle name="계산 2 14 2 2" xfId="4630" xr:uid="{00000000-0005-0000-0000-000049080000}"/>
    <cellStyle name="계산 2 14 3" xfId="2195" xr:uid="{00000000-0005-0000-0000-00004A080000}"/>
    <cellStyle name="계산 2 14 3 2" xfId="4631" xr:uid="{00000000-0005-0000-0000-00004A080000}"/>
    <cellStyle name="계산 2 14 4" xfId="2196" xr:uid="{00000000-0005-0000-0000-00004B080000}"/>
    <cellStyle name="계산 2 14 4 2" xfId="4632" xr:uid="{00000000-0005-0000-0000-00004B080000}"/>
    <cellStyle name="계산 2 14 5" xfId="2197" xr:uid="{00000000-0005-0000-0000-00004C080000}"/>
    <cellStyle name="계산 2 14 5 2" xfId="4633" xr:uid="{00000000-0005-0000-0000-00004C080000}"/>
    <cellStyle name="계산 2 14 6" xfId="4629" xr:uid="{00000000-0005-0000-0000-000048080000}"/>
    <cellStyle name="계산 2 15" xfId="2198" xr:uid="{00000000-0005-0000-0000-00004D080000}"/>
    <cellStyle name="계산 2 15 2" xfId="2199" xr:uid="{00000000-0005-0000-0000-00004E080000}"/>
    <cellStyle name="계산 2 15 2 2" xfId="4635" xr:uid="{00000000-0005-0000-0000-00004E080000}"/>
    <cellStyle name="계산 2 15 3" xfId="2200" xr:uid="{00000000-0005-0000-0000-00004F080000}"/>
    <cellStyle name="계산 2 15 3 2" xfId="4636" xr:uid="{00000000-0005-0000-0000-00004F080000}"/>
    <cellStyle name="계산 2 15 4" xfId="2201" xr:uid="{00000000-0005-0000-0000-000050080000}"/>
    <cellStyle name="계산 2 15 4 2" xfId="4637" xr:uid="{00000000-0005-0000-0000-000050080000}"/>
    <cellStyle name="계산 2 15 5" xfId="2202" xr:uid="{00000000-0005-0000-0000-000051080000}"/>
    <cellStyle name="계산 2 15 5 2" xfId="4638" xr:uid="{00000000-0005-0000-0000-000051080000}"/>
    <cellStyle name="계산 2 15 6" xfId="4634" xr:uid="{00000000-0005-0000-0000-00004D080000}"/>
    <cellStyle name="계산 2 16" xfId="2203" xr:uid="{00000000-0005-0000-0000-000052080000}"/>
    <cellStyle name="계산 2 16 2" xfId="2204" xr:uid="{00000000-0005-0000-0000-000053080000}"/>
    <cellStyle name="계산 2 16 2 2" xfId="4640" xr:uid="{00000000-0005-0000-0000-000053080000}"/>
    <cellStyle name="계산 2 16 3" xfId="2205" xr:uid="{00000000-0005-0000-0000-000054080000}"/>
    <cellStyle name="계산 2 16 3 2" xfId="4641" xr:uid="{00000000-0005-0000-0000-000054080000}"/>
    <cellStyle name="계산 2 16 4" xfId="2206" xr:uid="{00000000-0005-0000-0000-000055080000}"/>
    <cellStyle name="계산 2 16 4 2" xfId="4642" xr:uid="{00000000-0005-0000-0000-000055080000}"/>
    <cellStyle name="계산 2 16 5" xfId="2207" xr:uid="{00000000-0005-0000-0000-000056080000}"/>
    <cellStyle name="계산 2 16 5 2" xfId="4643" xr:uid="{00000000-0005-0000-0000-000056080000}"/>
    <cellStyle name="계산 2 16 6" xfId="4639" xr:uid="{00000000-0005-0000-0000-000052080000}"/>
    <cellStyle name="계산 2 17" xfId="2208" xr:uid="{00000000-0005-0000-0000-000057080000}"/>
    <cellStyle name="계산 2 17 2" xfId="4644" xr:uid="{00000000-0005-0000-0000-000057080000}"/>
    <cellStyle name="계산 2 18" xfId="2209" xr:uid="{00000000-0005-0000-0000-000058080000}"/>
    <cellStyle name="계산 2 18 2" xfId="4645" xr:uid="{00000000-0005-0000-0000-000058080000}"/>
    <cellStyle name="계산 2 19" xfId="2210" xr:uid="{00000000-0005-0000-0000-000059080000}"/>
    <cellStyle name="계산 2 19 2" xfId="4646" xr:uid="{00000000-0005-0000-0000-000059080000}"/>
    <cellStyle name="계산 2 2" xfId="2211" xr:uid="{00000000-0005-0000-0000-00005A080000}"/>
    <cellStyle name="计算 2 2" xfId="2212" xr:uid="{00000000-0005-0000-0000-00005B080000}"/>
    <cellStyle name="계산 2 2 2" xfId="2213" xr:uid="{00000000-0005-0000-0000-00005C080000}"/>
    <cellStyle name="计算 2 2 2" xfId="4648" xr:uid="{00000000-0005-0000-0000-00005B080000}"/>
    <cellStyle name="계산 2 2 2 2" xfId="4649" xr:uid="{00000000-0005-0000-0000-00005C080000}"/>
    <cellStyle name="계산 2 2 3" xfId="2214" xr:uid="{00000000-0005-0000-0000-00005D080000}"/>
    <cellStyle name="계산 2 2 3 2" xfId="4650" xr:uid="{00000000-0005-0000-0000-00005D080000}"/>
    <cellStyle name="계산 2 2 4" xfId="2215" xr:uid="{00000000-0005-0000-0000-00005E080000}"/>
    <cellStyle name="계산 2 2 4 2" xfId="4651" xr:uid="{00000000-0005-0000-0000-00005E080000}"/>
    <cellStyle name="계산 2 2 5" xfId="2216" xr:uid="{00000000-0005-0000-0000-00005F080000}"/>
    <cellStyle name="계산 2 2 5 2" xfId="4652" xr:uid="{00000000-0005-0000-0000-00005F080000}"/>
    <cellStyle name="계산 2 2 6" xfId="4647" xr:uid="{00000000-0005-0000-0000-00005A080000}"/>
    <cellStyle name="계산 2 20" xfId="2217" xr:uid="{00000000-0005-0000-0000-000060080000}"/>
    <cellStyle name="계산 2 20 2" xfId="4653" xr:uid="{00000000-0005-0000-0000-000060080000}"/>
    <cellStyle name="계산 2 21" xfId="4607" xr:uid="{00000000-0005-0000-0000-000032080000}"/>
    <cellStyle name="계산 2 3" xfId="2218" xr:uid="{00000000-0005-0000-0000-000061080000}"/>
    <cellStyle name="计算 2 3" xfId="2219" xr:uid="{00000000-0005-0000-0000-000062080000}"/>
    <cellStyle name="계산 2 3 2" xfId="2220" xr:uid="{00000000-0005-0000-0000-000063080000}"/>
    <cellStyle name="计算 2 3 2" xfId="4655" xr:uid="{00000000-0005-0000-0000-000062080000}"/>
    <cellStyle name="계산 2 3 2 2" xfId="4656" xr:uid="{00000000-0005-0000-0000-000063080000}"/>
    <cellStyle name="계산 2 3 3" xfId="2221" xr:uid="{00000000-0005-0000-0000-000064080000}"/>
    <cellStyle name="계산 2 3 3 2" xfId="4657" xr:uid="{00000000-0005-0000-0000-000064080000}"/>
    <cellStyle name="계산 2 3 4" xfId="2222" xr:uid="{00000000-0005-0000-0000-000065080000}"/>
    <cellStyle name="계산 2 3 4 2" xfId="4658" xr:uid="{00000000-0005-0000-0000-000065080000}"/>
    <cellStyle name="계산 2 3 5" xfId="2223" xr:uid="{00000000-0005-0000-0000-000066080000}"/>
    <cellStyle name="계산 2 3 5 2" xfId="4659" xr:uid="{00000000-0005-0000-0000-000066080000}"/>
    <cellStyle name="계산 2 3 6" xfId="4654" xr:uid="{00000000-0005-0000-0000-000061080000}"/>
    <cellStyle name="계산 2 4" xfId="2224" xr:uid="{00000000-0005-0000-0000-000067080000}"/>
    <cellStyle name="计算 2 4" xfId="2225" xr:uid="{00000000-0005-0000-0000-000068080000}"/>
    <cellStyle name="계산 2 4 2" xfId="2226" xr:uid="{00000000-0005-0000-0000-000069080000}"/>
    <cellStyle name="计算 2 4 2" xfId="4661" xr:uid="{00000000-0005-0000-0000-000068080000}"/>
    <cellStyle name="계산 2 4 2 2" xfId="4662" xr:uid="{00000000-0005-0000-0000-000069080000}"/>
    <cellStyle name="계산 2 4 3" xfId="2227" xr:uid="{00000000-0005-0000-0000-00006A080000}"/>
    <cellStyle name="계산 2 4 3 2" xfId="4663" xr:uid="{00000000-0005-0000-0000-00006A080000}"/>
    <cellStyle name="계산 2 4 4" xfId="2228" xr:uid="{00000000-0005-0000-0000-00006B080000}"/>
    <cellStyle name="계산 2 4 4 2" xfId="4664" xr:uid="{00000000-0005-0000-0000-00006B080000}"/>
    <cellStyle name="계산 2 4 5" xfId="2229" xr:uid="{00000000-0005-0000-0000-00006C080000}"/>
    <cellStyle name="계산 2 4 5 2" xfId="4665" xr:uid="{00000000-0005-0000-0000-00006C080000}"/>
    <cellStyle name="계산 2 4 6" xfId="4660" xr:uid="{00000000-0005-0000-0000-000067080000}"/>
    <cellStyle name="계산 2 5" xfId="2230" xr:uid="{00000000-0005-0000-0000-00006D080000}"/>
    <cellStyle name="计算 2 5" xfId="2231" xr:uid="{00000000-0005-0000-0000-00006E080000}"/>
    <cellStyle name="계산 2 5 2" xfId="2232" xr:uid="{00000000-0005-0000-0000-00006F080000}"/>
    <cellStyle name="计算 2 5 2" xfId="4667" xr:uid="{00000000-0005-0000-0000-00006E080000}"/>
    <cellStyle name="계산 2 5 2 2" xfId="4668" xr:uid="{00000000-0005-0000-0000-00006F080000}"/>
    <cellStyle name="계산 2 5 3" xfId="2233" xr:uid="{00000000-0005-0000-0000-000070080000}"/>
    <cellStyle name="계산 2 5 3 2" xfId="4669" xr:uid="{00000000-0005-0000-0000-000070080000}"/>
    <cellStyle name="계산 2 5 4" xfId="2234" xr:uid="{00000000-0005-0000-0000-000071080000}"/>
    <cellStyle name="계산 2 5 4 2" xfId="4670" xr:uid="{00000000-0005-0000-0000-000071080000}"/>
    <cellStyle name="계산 2 5 5" xfId="2235" xr:uid="{00000000-0005-0000-0000-000072080000}"/>
    <cellStyle name="계산 2 5 5 2" xfId="4671" xr:uid="{00000000-0005-0000-0000-000072080000}"/>
    <cellStyle name="계산 2 5 6" xfId="4666" xr:uid="{00000000-0005-0000-0000-00006D080000}"/>
    <cellStyle name="계산 2 6" xfId="2236" xr:uid="{00000000-0005-0000-0000-000073080000}"/>
    <cellStyle name="计算 2 6" xfId="4608" xr:uid="{00000000-0005-0000-0000-000033080000}"/>
    <cellStyle name="계산 2 6 2" xfId="2237" xr:uid="{00000000-0005-0000-0000-000074080000}"/>
    <cellStyle name="계산 2 6 2 2" xfId="4673" xr:uid="{00000000-0005-0000-0000-000074080000}"/>
    <cellStyle name="계산 2 6 3" xfId="2238" xr:uid="{00000000-0005-0000-0000-000075080000}"/>
    <cellStyle name="계산 2 6 3 2" xfId="4674" xr:uid="{00000000-0005-0000-0000-000075080000}"/>
    <cellStyle name="계산 2 6 4" xfId="2239" xr:uid="{00000000-0005-0000-0000-000076080000}"/>
    <cellStyle name="계산 2 6 4 2" xfId="4675" xr:uid="{00000000-0005-0000-0000-000076080000}"/>
    <cellStyle name="계산 2 6 5" xfId="2240" xr:uid="{00000000-0005-0000-0000-000077080000}"/>
    <cellStyle name="계산 2 6 5 2" xfId="4676" xr:uid="{00000000-0005-0000-0000-000077080000}"/>
    <cellStyle name="계산 2 6 6" xfId="4672" xr:uid="{00000000-0005-0000-0000-000073080000}"/>
    <cellStyle name="계산 2 7" xfId="2241" xr:uid="{00000000-0005-0000-0000-000078080000}"/>
    <cellStyle name="계산 2 7 2" xfId="2242" xr:uid="{00000000-0005-0000-0000-000079080000}"/>
    <cellStyle name="계산 2 7 2 2" xfId="4678" xr:uid="{00000000-0005-0000-0000-000079080000}"/>
    <cellStyle name="계산 2 7 3" xfId="2243" xr:uid="{00000000-0005-0000-0000-00007A080000}"/>
    <cellStyle name="계산 2 7 3 2" xfId="4679" xr:uid="{00000000-0005-0000-0000-00007A080000}"/>
    <cellStyle name="계산 2 7 4" xfId="2244" xr:uid="{00000000-0005-0000-0000-00007B080000}"/>
    <cellStyle name="계산 2 7 4 2" xfId="4680" xr:uid="{00000000-0005-0000-0000-00007B080000}"/>
    <cellStyle name="계산 2 7 5" xfId="2245" xr:uid="{00000000-0005-0000-0000-00007C080000}"/>
    <cellStyle name="계산 2 7 5 2" xfId="4681" xr:uid="{00000000-0005-0000-0000-00007C080000}"/>
    <cellStyle name="계산 2 7 6" xfId="4677" xr:uid="{00000000-0005-0000-0000-000078080000}"/>
    <cellStyle name="계산 2 8" xfId="2246" xr:uid="{00000000-0005-0000-0000-00007D080000}"/>
    <cellStyle name="계산 2 8 2" xfId="2247" xr:uid="{00000000-0005-0000-0000-00007E080000}"/>
    <cellStyle name="계산 2 8 2 2" xfId="4683" xr:uid="{00000000-0005-0000-0000-00007E080000}"/>
    <cellStyle name="계산 2 8 3" xfId="2248" xr:uid="{00000000-0005-0000-0000-00007F080000}"/>
    <cellStyle name="계산 2 8 3 2" xfId="4684" xr:uid="{00000000-0005-0000-0000-00007F080000}"/>
    <cellStyle name="계산 2 8 4" xfId="2249" xr:uid="{00000000-0005-0000-0000-000080080000}"/>
    <cellStyle name="계산 2 8 4 2" xfId="4685" xr:uid="{00000000-0005-0000-0000-000080080000}"/>
    <cellStyle name="계산 2 8 5" xfId="2250" xr:uid="{00000000-0005-0000-0000-000081080000}"/>
    <cellStyle name="계산 2 8 5 2" xfId="4686" xr:uid="{00000000-0005-0000-0000-000081080000}"/>
    <cellStyle name="계산 2 8 6" xfId="4682" xr:uid="{00000000-0005-0000-0000-00007D080000}"/>
    <cellStyle name="계산 2 9" xfId="2251" xr:uid="{00000000-0005-0000-0000-000082080000}"/>
    <cellStyle name="계산 2 9 2" xfId="2252" xr:uid="{00000000-0005-0000-0000-000083080000}"/>
    <cellStyle name="계산 2 9 2 2" xfId="4688" xr:uid="{00000000-0005-0000-0000-000083080000}"/>
    <cellStyle name="계산 2 9 3" xfId="2253" xr:uid="{00000000-0005-0000-0000-000084080000}"/>
    <cellStyle name="계산 2 9 3 2" xfId="4689" xr:uid="{00000000-0005-0000-0000-000084080000}"/>
    <cellStyle name="계산 2 9 4" xfId="2254" xr:uid="{00000000-0005-0000-0000-000085080000}"/>
    <cellStyle name="계산 2 9 4 2" xfId="4690" xr:uid="{00000000-0005-0000-0000-000085080000}"/>
    <cellStyle name="계산 2 9 5" xfId="2255" xr:uid="{00000000-0005-0000-0000-000086080000}"/>
    <cellStyle name="계산 2 9 5 2" xfId="4691" xr:uid="{00000000-0005-0000-0000-000086080000}"/>
    <cellStyle name="계산 2 9 6" xfId="4687" xr:uid="{00000000-0005-0000-0000-000082080000}"/>
    <cellStyle name="计算 3" xfId="2256" xr:uid="{00000000-0005-0000-0000-000087080000}"/>
    <cellStyle name="计算 3 2" xfId="2257" xr:uid="{00000000-0005-0000-0000-000088080000}"/>
    <cellStyle name="计算 3 2 2" xfId="4693" xr:uid="{00000000-0005-0000-0000-000088080000}"/>
    <cellStyle name="计算 3 3" xfId="2258" xr:uid="{00000000-0005-0000-0000-000089080000}"/>
    <cellStyle name="计算 3 3 2" xfId="4694" xr:uid="{00000000-0005-0000-0000-000089080000}"/>
    <cellStyle name="计算 3 4" xfId="2259" xr:uid="{00000000-0005-0000-0000-00008A080000}"/>
    <cellStyle name="计算 3 4 2" xfId="4695" xr:uid="{00000000-0005-0000-0000-00008A080000}"/>
    <cellStyle name="计算 3 5" xfId="2260" xr:uid="{00000000-0005-0000-0000-00008B080000}"/>
    <cellStyle name="计算 3 5 2" xfId="4696" xr:uid="{00000000-0005-0000-0000-00008B080000}"/>
    <cellStyle name="计算 3 6" xfId="4692" xr:uid="{00000000-0005-0000-0000-000087080000}"/>
    <cellStyle name="计算 4" xfId="2261" xr:uid="{00000000-0005-0000-0000-00008C080000}"/>
    <cellStyle name="计算 4 2" xfId="2262" xr:uid="{00000000-0005-0000-0000-00008D080000}"/>
    <cellStyle name="计算 4 2 2" xfId="4698" xr:uid="{00000000-0005-0000-0000-00008D080000}"/>
    <cellStyle name="计算 4 3" xfId="2263" xr:uid="{00000000-0005-0000-0000-00008E080000}"/>
    <cellStyle name="计算 4 3 2" xfId="4699" xr:uid="{00000000-0005-0000-0000-00008E080000}"/>
    <cellStyle name="计算 4 4" xfId="2264" xr:uid="{00000000-0005-0000-0000-00008F080000}"/>
    <cellStyle name="计算 4 4 2" xfId="4700" xr:uid="{00000000-0005-0000-0000-00008F080000}"/>
    <cellStyle name="计算 4 5" xfId="2265" xr:uid="{00000000-0005-0000-0000-000090080000}"/>
    <cellStyle name="计算 4 5 2" xfId="4701" xr:uid="{00000000-0005-0000-0000-000090080000}"/>
    <cellStyle name="计算 4 6" xfId="4697" xr:uid="{00000000-0005-0000-0000-00008C080000}"/>
    <cellStyle name="计算 5" xfId="2266" xr:uid="{00000000-0005-0000-0000-000091080000}"/>
    <cellStyle name="计算 5 2" xfId="2267" xr:uid="{00000000-0005-0000-0000-000092080000}"/>
    <cellStyle name="计算 5 2 2" xfId="4703" xr:uid="{00000000-0005-0000-0000-000092080000}"/>
    <cellStyle name="计算 5 3" xfId="2268" xr:uid="{00000000-0005-0000-0000-000093080000}"/>
    <cellStyle name="计算 5 3 2" xfId="4704" xr:uid="{00000000-0005-0000-0000-000093080000}"/>
    <cellStyle name="计算 5 4" xfId="2269" xr:uid="{00000000-0005-0000-0000-000094080000}"/>
    <cellStyle name="计算 5 4 2" xfId="4705" xr:uid="{00000000-0005-0000-0000-000094080000}"/>
    <cellStyle name="计算 5 5" xfId="2270" xr:uid="{00000000-0005-0000-0000-000095080000}"/>
    <cellStyle name="计算 5 5 2" xfId="4706" xr:uid="{00000000-0005-0000-0000-000095080000}"/>
    <cellStyle name="计算 5 6" xfId="4702" xr:uid="{00000000-0005-0000-0000-000091080000}"/>
    <cellStyle name="计算 6" xfId="2271" xr:uid="{00000000-0005-0000-0000-000096080000}"/>
    <cellStyle name="计算 6 2" xfId="2272" xr:uid="{00000000-0005-0000-0000-000097080000}"/>
    <cellStyle name="计算 6 2 2" xfId="4708" xr:uid="{00000000-0005-0000-0000-000097080000}"/>
    <cellStyle name="计算 6 3" xfId="2273" xr:uid="{00000000-0005-0000-0000-000098080000}"/>
    <cellStyle name="计算 6 3 2" xfId="4709" xr:uid="{00000000-0005-0000-0000-000098080000}"/>
    <cellStyle name="计算 6 4" xfId="2274" xr:uid="{00000000-0005-0000-0000-000099080000}"/>
    <cellStyle name="计算 6 4 2" xfId="4710" xr:uid="{00000000-0005-0000-0000-000099080000}"/>
    <cellStyle name="计算 6 5" xfId="2275" xr:uid="{00000000-0005-0000-0000-00009A080000}"/>
    <cellStyle name="计算 6 5 2" xfId="4711" xr:uid="{00000000-0005-0000-0000-00009A080000}"/>
    <cellStyle name="计算 6 6" xfId="4707" xr:uid="{00000000-0005-0000-0000-000096080000}"/>
    <cellStyle name="计算 7" xfId="2276" xr:uid="{00000000-0005-0000-0000-00009B080000}"/>
    <cellStyle name="计算 7 2" xfId="2277" xr:uid="{00000000-0005-0000-0000-00009C080000}"/>
    <cellStyle name="计算 7 2 2" xfId="4713" xr:uid="{00000000-0005-0000-0000-00009C080000}"/>
    <cellStyle name="计算 7 3" xfId="2278" xr:uid="{00000000-0005-0000-0000-00009D080000}"/>
    <cellStyle name="计算 7 3 2" xfId="4714" xr:uid="{00000000-0005-0000-0000-00009D080000}"/>
    <cellStyle name="计算 7 4" xfId="2279" xr:uid="{00000000-0005-0000-0000-00009E080000}"/>
    <cellStyle name="计算 7 4 2" xfId="4715" xr:uid="{00000000-0005-0000-0000-00009E080000}"/>
    <cellStyle name="计算 7 5" xfId="2280" xr:uid="{00000000-0005-0000-0000-00009F080000}"/>
    <cellStyle name="计算 7 5 2" xfId="4716" xr:uid="{00000000-0005-0000-0000-00009F080000}"/>
    <cellStyle name="计算 7 6" xfId="4712" xr:uid="{00000000-0005-0000-0000-00009B080000}"/>
    <cellStyle name="计算 8" xfId="2281" xr:uid="{00000000-0005-0000-0000-0000A0080000}"/>
    <cellStyle name="计算 8 2" xfId="2282" xr:uid="{00000000-0005-0000-0000-0000A1080000}"/>
    <cellStyle name="计算 8 2 2" xfId="4718" xr:uid="{00000000-0005-0000-0000-0000A1080000}"/>
    <cellStyle name="计算 8 3" xfId="2283" xr:uid="{00000000-0005-0000-0000-0000A2080000}"/>
    <cellStyle name="计算 8 3 2" xfId="4719" xr:uid="{00000000-0005-0000-0000-0000A2080000}"/>
    <cellStyle name="计算 8 4" xfId="2284" xr:uid="{00000000-0005-0000-0000-0000A3080000}"/>
    <cellStyle name="计算 8 4 2" xfId="4720" xr:uid="{00000000-0005-0000-0000-0000A3080000}"/>
    <cellStyle name="计算 8 5" xfId="2285" xr:uid="{00000000-0005-0000-0000-0000A4080000}"/>
    <cellStyle name="计算 8 5 2" xfId="4721" xr:uid="{00000000-0005-0000-0000-0000A4080000}"/>
    <cellStyle name="计算 8 6" xfId="4717" xr:uid="{00000000-0005-0000-0000-0000A0080000}"/>
    <cellStyle name="计算 9" xfId="2286" xr:uid="{00000000-0005-0000-0000-0000A5080000}"/>
    <cellStyle name="计算 9 2" xfId="2287" xr:uid="{00000000-0005-0000-0000-0000A6080000}"/>
    <cellStyle name="计算 9 2 2" xfId="4723" xr:uid="{00000000-0005-0000-0000-0000A6080000}"/>
    <cellStyle name="计算 9 3" xfId="2288" xr:uid="{00000000-0005-0000-0000-0000A7080000}"/>
    <cellStyle name="计算 9 3 2" xfId="4724" xr:uid="{00000000-0005-0000-0000-0000A7080000}"/>
    <cellStyle name="计算 9 4" xfId="2289" xr:uid="{00000000-0005-0000-0000-0000A8080000}"/>
    <cellStyle name="计算 9 4 2" xfId="4725" xr:uid="{00000000-0005-0000-0000-0000A8080000}"/>
    <cellStyle name="计算 9 5" xfId="2290" xr:uid="{00000000-0005-0000-0000-0000A9080000}"/>
    <cellStyle name="计算 9 5 2" xfId="4726" xr:uid="{00000000-0005-0000-0000-0000A9080000}"/>
    <cellStyle name="计算 9 6" xfId="4722" xr:uid="{00000000-0005-0000-0000-0000A5080000}"/>
    <cellStyle name="고정소숫점" xfId="265" xr:uid="{00000000-0005-0000-0000-0000AA080000}"/>
    <cellStyle name="고정소숫점 2" xfId="2291" xr:uid="{00000000-0005-0000-0000-0000AB080000}"/>
    <cellStyle name="고정출력1" xfId="266" xr:uid="{00000000-0005-0000-0000-0000AC080000}"/>
    <cellStyle name="고정출력2" xfId="267" xr:uid="{00000000-0005-0000-0000-0000AD080000}"/>
    <cellStyle name="과립" xfId="2292" xr:uid="{00000000-0005-0000-0000-0000AE080000}"/>
    <cellStyle name="适中" xfId="2293" xr:uid="{00000000-0005-0000-0000-0000AF080000}"/>
    <cellStyle name="咬訌裝?INCOM1" xfId="268" xr:uid="{00000000-0005-0000-0000-0000B0080000}"/>
    <cellStyle name="咬訌裝?INCOM10" xfId="269" xr:uid="{00000000-0005-0000-0000-0000B1080000}"/>
    <cellStyle name="咬訌裝?INCOM2" xfId="270" xr:uid="{00000000-0005-0000-0000-0000B2080000}"/>
    <cellStyle name="咬訌裝?INCOM3" xfId="271" xr:uid="{00000000-0005-0000-0000-0000B3080000}"/>
    <cellStyle name="咬訌裝?INCOM4" xfId="272" xr:uid="{00000000-0005-0000-0000-0000B4080000}"/>
    <cellStyle name="咬訌裝?INCOM5" xfId="273" xr:uid="{00000000-0005-0000-0000-0000B5080000}"/>
    <cellStyle name="咬訌裝?INCOM6" xfId="274" xr:uid="{00000000-0005-0000-0000-0000B6080000}"/>
    <cellStyle name="咬訌裝?INCOM7" xfId="275" xr:uid="{00000000-0005-0000-0000-0000B7080000}"/>
    <cellStyle name="咬訌裝?INCOM8" xfId="276" xr:uid="{00000000-0005-0000-0000-0000B8080000}"/>
    <cellStyle name="咬訌裝?INCOM9" xfId="277" xr:uid="{00000000-0005-0000-0000-0000B9080000}"/>
    <cellStyle name="咬訌裝?PRIB11" xfId="278" xr:uid="{00000000-0005-0000-0000-0000BA080000}"/>
    <cellStyle name="咬訌裝?report-2 " xfId="279" xr:uid="{00000000-0005-0000-0000-0000BB080000}"/>
    <cellStyle name="금액" xfId="280" xr:uid="{00000000-0005-0000-0000-0000BC080000}"/>
    <cellStyle name="금액 10" xfId="2294" xr:uid="{00000000-0005-0000-0000-0000BD080000}"/>
    <cellStyle name="금액 10 2" xfId="4727" xr:uid="{00000000-0005-0000-0000-0000BD080000}"/>
    <cellStyle name="금액 11" xfId="2295" xr:uid="{00000000-0005-0000-0000-0000BE080000}"/>
    <cellStyle name="금액 11 2" xfId="4728" xr:uid="{00000000-0005-0000-0000-0000BE080000}"/>
    <cellStyle name="금액 12" xfId="2296" xr:uid="{00000000-0005-0000-0000-0000BF080000}"/>
    <cellStyle name="금액 12 2" xfId="4729" xr:uid="{00000000-0005-0000-0000-0000BF080000}"/>
    <cellStyle name="금액 13" xfId="2297" xr:uid="{00000000-0005-0000-0000-0000C0080000}"/>
    <cellStyle name="금액 13 2" xfId="4730" xr:uid="{00000000-0005-0000-0000-0000C0080000}"/>
    <cellStyle name="금액 14" xfId="3536" xr:uid="{00000000-0005-0000-0000-0000BC080000}"/>
    <cellStyle name="금액 2" xfId="2298" xr:uid="{00000000-0005-0000-0000-0000C1080000}"/>
    <cellStyle name="금액 2 2" xfId="2299" xr:uid="{00000000-0005-0000-0000-0000C2080000}"/>
    <cellStyle name="금액 2 2 2" xfId="4732" xr:uid="{00000000-0005-0000-0000-0000C2080000}"/>
    <cellStyle name="금액 2 3" xfId="2300" xr:uid="{00000000-0005-0000-0000-0000C3080000}"/>
    <cellStyle name="금액 2 3 2" xfId="4733" xr:uid="{00000000-0005-0000-0000-0000C3080000}"/>
    <cellStyle name="금액 2 4" xfId="2301" xr:uid="{00000000-0005-0000-0000-0000C4080000}"/>
    <cellStyle name="금액 2 4 2" xfId="4734" xr:uid="{00000000-0005-0000-0000-0000C4080000}"/>
    <cellStyle name="금액 2 5" xfId="2302" xr:uid="{00000000-0005-0000-0000-0000C5080000}"/>
    <cellStyle name="금액 2 5 2" xfId="4735" xr:uid="{00000000-0005-0000-0000-0000C5080000}"/>
    <cellStyle name="금액 2 6" xfId="4731" xr:uid="{00000000-0005-0000-0000-0000C1080000}"/>
    <cellStyle name="금액 3" xfId="2303" xr:uid="{00000000-0005-0000-0000-0000C6080000}"/>
    <cellStyle name="금액 3 2" xfId="2304" xr:uid="{00000000-0005-0000-0000-0000C7080000}"/>
    <cellStyle name="금액 3 2 2" xfId="4737" xr:uid="{00000000-0005-0000-0000-0000C7080000}"/>
    <cellStyle name="금액 3 3" xfId="2305" xr:uid="{00000000-0005-0000-0000-0000C8080000}"/>
    <cellStyle name="금액 3 3 2" xfId="4738" xr:uid="{00000000-0005-0000-0000-0000C8080000}"/>
    <cellStyle name="금액 3 4" xfId="2306" xr:uid="{00000000-0005-0000-0000-0000C9080000}"/>
    <cellStyle name="금액 3 4 2" xfId="4739" xr:uid="{00000000-0005-0000-0000-0000C9080000}"/>
    <cellStyle name="금액 3 5" xfId="2307" xr:uid="{00000000-0005-0000-0000-0000CA080000}"/>
    <cellStyle name="금액 3 5 2" xfId="4740" xr:uid="{00000000-0005-0000-0000-0000CA080000}"/>
    <cellStyle name="금액 3 6" xfId="4736" xr:uid="{00000000-0005-0000-0000-0000C6080000}"/>
    <cellStyle name="금액 4" xfId="2308" xr:uid="{00000000-0005-0000-0000-0000CB080000}"/>
    <cellStyle name="금액 4 2" xfId="2309" xr:uid="{00000000-0005-0000-0000-0000CC080000}"/>
    <cellStyle name="금액 4 2 2" xfId="4742" xr:uid="{00000000-0005-0000-0000-0000CC080000}"/>
    <cellStyle name="금액 4 3" xfId="2310" xr:uid="{00000000-0005-0000-0000-0000CD080000}"/>
    <cellStyle name="금액 4 3 2" xfId="4743" xr:uid="{00000000-0005-0000-0000-0000CD080000}"/>
    <cellStyle name="금액 4 4" xfId="2311" xr:uid="{00000000-0005-0000-0000-0000CE080000}"/>
    <cellStyle name="금액 4 4 2" xfId="4744" xr:uid="{00000000-0005-0000-0000-0000CE080000}"/>
    <cellStyle name="금액 4 5" xfId="2312" xr:uid="{00000000-0005-0000-0000-0000CF080000}"/>
    <cellStyle name="금액 4 5 2" xfId="4745" xr:uid="{00000000-0005-0000-0000-0000CF080000}"/>
    <cellStyle name="금액 4 6" xfId="4741" xr:uid="{00000000-0005-0000-0000-0000CB080000}"/>
    <cellStyle name="금액 5" xfId="2313" xr:uid="{00000000-0005-0000-0000-0000D0080000}"/>
    <cellStyle name="금액 5 2" xfId="2314" xr:uid="{00000000-0005-0000-0000-0000D1080000}"/>
    <cellStyle name="금액 5 2 2" xfId="4747" xr:uid="{00000000-0005-0000-0000-0000D1080000}"/>
    <cellStyle name="금액 5 3" xfId="2315" xr:uid="{00000000-0005-0000-0000-0000D2080000}"/>
    <cellStyle name="금액 5 3 2" xfId="4748" xr:uid="{00000000-0005-0000-0000-0000D2080000}"/>
    <cellStyle name="금액 5 4" xfId="2316" xr:uid="{00000000-0005-0000-0000-0000D3080000}"/>
    <cellStyle name="금액 5 4 2" xfId="4749" xr:uid="{00000000-0005-0000-0000-0000D3080000}"/>
    <cellStyle name="금액 5 5" xfId="2317" xr:uid="{00000000-0005-0000-0000-0000D4080000}"/>
    <cellStyle name="금액 5 5 2" xfId="4750" xr:uid="{00000000-0005-0000-0000-0000D4080000}"/>
    <cellStyle name="금액 5 6" xfId="4746" xr:uid="{00000000-0005-0000-0000-0000D0080000}"/>
    <cellStyle name="금액 6" xfId="2318" xr:uid="{00000000-0005-0000-0000-0000D5080000}"/>
    <cellStyle name="금액 6 2" xfId="2319" xr:uid="{00000000-0005-0000-0000-0000D6080000}"/>
    <cellStyle name="금액 6 2 2" xfId="4752" xr:uid="{00000000-0005-0000-0000-0000D6080000}"/>
    <cellStyle name="금액 6 3" xfId="2320" xr:uid="{00000000-0005-0000-0000-0000D7080000}"/>
    <cellStyle name="금액 6 3 2" xfId="4753" xr:uid="{00000000-0005-0000-0000-0000D7080000}"/>
    <cellStyle name="금액 6 4" xfId="2321" xr:uid="{00000000-0005-0000-0000-0000D8080000}"/>
    <cellStyle name="금액 6 4 2" xfId="4754" xr:uid="{00000000-0005-0000-0000-0000D8080000}"/>
    <cellStyle name="금액 6 5" xfId="2322" xr:uid="{00000000-0005-0000-0000-0000D9080000}"/>
    <cellStyle name="금액 6 5 2" xfId="4755" xr:uid="{00000000-0005-0000-0000-0000D9080000}"/>
    <cellStyle name="금액 6 6" xfId="4751" xr:uid="{00000000-0005-0000-0000-0000D5080000}"/>
    <cellStyle name="금액 7" xfId="2323" xr:uid="{00000000-0005-0000-0000-0000DA080000}"/>
    <cellStyle name="금액 7 2" xfId="2324" xr:uid="{00000000-0005-0000-0000-0000DB080000}"/>
    <cellStyle name="금액 7 2 2" xfId="4757" xr:uid="{00000000-0005-0000-0000-0000DB080000}"/>
    <cellStyle name="금액 7 3" xfId="2325" xr:uid="{00000000-0005-0000-0000-0000DC080000}"/>
    <cellStyle name="금액 7 3 2" xfId="4758" xr:uid="{00000000-0005-0000-0000-0000DC080000}"/>
    <cellStyle name="금액 7 4" xfId="2326" xr:uid="{00000000-0005-0000-0000-0000DD080000}"/>
    <cellStyle name="금액 7 4 2" xfId="4759" xr:uid="{00000000-0005-0000-0000-0000DD080000}"/>
    <cellStyle name="금액 7 5" xfId="2327" xr:uid="{00000000-0005-0000-0000-0000DE080000}"/>
    <cellStyle name="금액 7 5 2" xfId="4760" xr:uid="{00000000-0005-0000-0000-0000DE080000}"/>
    <cellStyle name="금액 7 6" xfId="4756" xr:uid="{00000000-0005-0000-0000-0000DA080000}"/>
    <cellStyle name="금액 8" xfId="2328" xr:uid="{00000000-0005-0000-0000-0000DF080000}"/>
    <cellStyle name="금액 8 2" xfId="2329" xr:uid="{00000000-0005-0000-0000-0000E0080000}"/>
    <cellStyle name="금액 8 2 2" xfId="4762" xr:uid="{00000000-0005-0000-0000-0000E0080000}"/>
    <cellStyle name="금액 8 3" xfId="2330" xr:uid="{00000000-0005-0000-0000-0000E1080000}"/>
    <cellStyle name="금액 8 3 2" xfId="4763" xr:uid="{00000000-0005-0000-0000-0000E1080000}"/>
    <cellStyle name="금액 8 4" xfId="2331" xr:uid="{00000000-0005-0000-0000-0000E2080000}"/>
    <cellStyle name="금액 8 4 2" xfId="4764" xr:uid="{00000000-0005-0000-0000-0000E2080000}"/>
    <cellStyle name="금액 8 5" xfId="2332" xr:uid="{00000000-0005-0000-0000-0000E3080000}"/>
    <cellStyle name="금액 8 5 2" xfId="4765" xr:uid="{00000000-0005-0000-0000-0000E3080000}"/>
    <cellStyle name="금액 8 6" xfId="4761" xr:uid="{00000000-0005-0000-0000-0000DF080000}"/>
    <cellStyle name="금액 9" xfId="2333" xr:uid="{00000000-0005-0000-0000-0000E4080000}"/>
    <cellStyle name="금액 9 2" xfId="2334" xr:uid="{00000000-0005-0000-0000-0000E5080000}"/>
    <cellStyle name="금액 9 2 2" xfId="4767" xr:uid="{00000000-0005-0000-0000-0000E5080000}"/>
    <cellStyle name="금액 9 3" xfId="2335" xr:uid="{00000000-0005-0000-0000-0000E6080000}"/>
    <cellStyle name="금액 9 3 2" xfId="4768" xr:uid="{00000000-0005-0000-0000-0000E6080000}"/>
    <cellStyle name="금액 9 4" xfId="2336" xr:uid="{00000000-0005-0000-0000-0000E7080000}"/>
    <cellStyle name="금액 9 4 2" xfId="4769" xr:uid="{00000000-0005-0000-0000-0000E7080000}"/>
    <cellStyle name="금액 9 5" xfId="2337" xr:uid="{00000000-0005-0000-0000-0000E8080000}"/>
    <cellStyle name="금액 9 5 2" xfId="4770" xr:uid="{00000000-0005-0000-0000-0000E8080000}"/>
    <cellStyle name="금액 9 6" xfId="4766" xr:uid="{00000000-0005-0000-0000-0000E4080000}"/>
    <cellStyle name="기  업" xfId="2338" xr:uid="{00000000-0005-0000-0000-0000E9080000}"/>
    <cellStyle name="기  업 2" xfId="4771" xr:uid="{00000000-0005-0000-0000-0000E9080000}"/>
    <cellStyle name="나쁨 2" xfId="2339" xr:uid="{00000000-0005-0000-0000-0000EA080000}"/>
    <cellStyle name="날짜" xfId="281" xr:uid="{00000000-0005-0000-0000-0000EB080000}"/>
    <cellStyle name="날짜형식" xfId="2340" xr:uid="{00000000-0005-0000-0000-0000EC080000}"/>
    <cellStyle name="내용" xfId="2341" xr:uid="{00000000-0005-0000-0000-0000ED080000}"/>
    <cellStyle name="년도" xfId="2342" xr:uid="{00000000-0005-0000-0000-0000EE080000}"/>
    <cellStyle name="년도 10" xfId="2343" xr:uid="{00000000-0005-0000-0000-0000EF080000}"/>
    <cellStyle name="년도 10 2" xfId="4773" xr:uid="{00000000-0005-0000-0000-0000EF080000}"/>
    <cellStyle name="년도 11" xfId="2344" xr:uid="{00000000-0005-0000-0000-0000F0080000}"/>
    <cellStyle name="년도 11 2" xfId="4774" xr:uid="{00000000-0005-0000-0000-0000F0080000}"/>
    <cellStyle name="년도 12" xfId="2345" xr:uid="{00000000-0005-0000-0000-0000F1080000}"/>
    <cellStyle name="년도 12 2" xfId="4775" xr:uid="{00000000-0005-0000-0000-0000F1080000}"/>
    <cellStyle name="년도 13" xfId="2346" xr:uid="{00000000-0005-0000-0000-0000F2080000}"/>
    <cellStyle name="년도 13 2" xfId="4776" xr:uid="{00000000-0005-0000-0000-0000F2080000}"/>
    <cellStyle name="년도 14" xfId="4772" xr:uid="{00000000-0005-0000-0000-0000EE080000}"/>
    <cellStyle name="년도 2" xfId="2347" xr:uid="{00000000-0005-0000-0000-0000F3080000}"/>
    <cellStyle name="년도 2 2" xfId="2348" xr:uid="{00000000-0005-0000-0000-0000F4080000}"/>
    <cellStyle name="년도 2 2 2" xfId="4778" xr:uid="{00000000-0005-0000-0000-0000F4080000}"/>
    <cellStyle name="년도 2 3" xfId="2349" xr:uid="{00000000-0005-0000-0000-0000F5080000}"/>
    <cellStyle name="년도 2 3 2" xfId="4779" xr:uid="{00000000-0005-0000-0000-0000F5080000}"/>
    <cellStyle name="년도 2 4" xfId="2350" xr:uid="{00000000-0005-0000-0000-0000F6080000}"/>
    <cellStyle name="년도 2 4 2" xfId="4780" xr:uid="{00000000-0005-0000-0000-0000F6080000}"/>
    <cellStyle name="년도 2 5" xfId="2351" xr:uid="{00000000-0005-0000-0000-0000F7080000}"/>
    <cellStyle name="년도 2 5 2" xfId="4781" xr:uid="{00000000-0005-0000-0000-0000F7080000}"/>
    <cellStyle name="년도 2 6" xfId="4777" xr:uid="{00000000-0005-0000-0000-0000F3080000}"/>
    <cellStyle name="년도 3" xfId="2352" xr:uid="{00000000-0005-0000-0000-0000F8080000}"/>
    <cellStyle name="년도 3 2" xfId="2353" xr:uid="{00000000-0005-0000-0000-0000F9080000}"/>
    <cellStyle name="년도 3 2 2" xfId="4783" xr:uid="{00000000-0005-0000-0000-0000F9080000}"/>
    <cellStyle name="년도 3 3" xfId="2354" xr:uid="{00000000-0005-0000-0000-0000FA080000}"/>
    <cellStyle name="년도 3 3 2" xfId="4784" xr:uid="{00000000-0005-0000-0000-0000FA080000}"/>
    <cellStyle name="년도 3 4" xfId="2355" xr:uid="{00000000-0005-0000-0000-0000FB080000}"/>
    <cellStyle name="년도 3 4 2" xfId="4785" xr:uid="{00000000-0005-0000-0000-0000FB080000}"/>
    <cellStyle name="년도 3 5" xfId="2356" xr:uid="{00000000-0005-0000-0000-0000FC080000}"/>
    <cellStyle name="년도 3 5 2" xfId="4786" xr:uid="{00000000-0005-0000-0000-0000FC080000}"/>
    <cellStyle name="년도 3 6" xfId="4782" xr:uid="{00000000-0005-0000-0000-0000F8080000}"/>
    <cellStyle name="년도 4" xfId="2357" xr:uid="{00000000-0005-0000-0000-0000FD080000}"/>
    <cellStyle name="년도 4 2" xfId="2358" xr:uid="{00000000-0005-0000-0000-0000FE080000}"/>
    <cellStyle name="년도 4 2 2" xfId="4788" xr:uid="{00000000-0005-0000-0000-0000FE080000}"/>
    <cellStyle name="년도 4 3" xfId="2359" xr:uid="{00000000-0005-0000-0000-0000FF080000}"/>
    <cellStyle name="년도 4 3 2" xfId="4789" xr:uid="{00000000-0005-0000-0000-0000FF080000}"/>
    <cellStyle name="년도 4 4" xfId="2360" xr:uid="{00000000-0005-0000-0000-000000090000}"/>
    <cellStyle name="년도 4 4 2" xfId="4790" xr:uid="{00000000-0005-0000-0000-000000090000}"/>
    <cellStyle name="년도 4 5" xfId="2361" xr:uid="{00000000-0005-0000-0000-000001090000}"/>
    <cellStyle name="년도 4 5 2" xfId="4791" xr:uid="{00000000-0005-0000-0000-000001090000}"/>
    <cellStyle name="년도 4 6" xfId="4787" xr:uid="{00000000-0005-0000-0000-0000FD080000}"/>
    <cellStyle name="년도 5" xfId="2362" xr:uid="{00000000-0005-0000-0000-000002090000}"/>
    <cellStyle name="년도 5 2" xfId="2363" xr:uid="{00000000-0005-0000-0000-000003090000}"/>
    <cellStyle name="년도 5 2 2" xfId="4793" xr:uid="{00000000-0005-0000-0000-000003090000}"/>
    <cellStyle name="년도 5 3" xfId="2364" xr:uid="{00000000-0005-0000-0000-000004090000}"/>
    <cellStyle name="년도 5 3 2" xfId="4794" xr:uid="{00000000-0005-0000-0000-000004090000}"/>
    <cellStyle name="년도 5 4" xfId="2365" xr:uid="{00000000-0005-0000-0000-000005090000}"/>
    <cellStyle name="년도 5 4 2" xfId="4795" xr:uid="{00000000-0005-0000-0000-000005090000}"/>
    <cellStyle name="년도 5 5" xfId="2366" xr:uid="{00000000-0005-0000-0000-000006090000}"/>
    <cellStyle name="년도 5 5 2" xfId="4796" xr:uid="{00000000-0005-0000-0000-000006090000}"/>
    <cellStyle name="년도 5 6" xfId="4792" xr:uid="{00000000-0005-0000-0000-000002090000}"/>
    <cellStyle name="년도 6" xfId="2367" xr:uid="{00000000-0005-0000-0000-000007090000}"/>
    <cellStyle name="년도 6 2" xfId="2368" xr:uid="{00000000-0005-0000-0000-000008090000}"/>
    <cellStyle name="년도 6 2 2" xfId="4798" xr:uid="{00000000-0005-0000-0000-000008090000}"/>
    <cellStyle name="년도 6 3" xfId="2369" xr:uid="{00000000-0005-0000-0000-000009090000}"/>
    <cellStyle name="년도 6 3 2" xfId="4799" xr:uid="{00000000-0005-0000-0000-000009090000}"/>
    <cellStyle name="년도 6 4" xfId="2370" xr:uid="{00000000-0005-0000-0000-00000A090000}"/>
    <cellStyle name="년도 6 4 2" xfId="4800" xr:uid="{00000000-0005-0000-0000-00000A090000}"/>
    <cellStyle name="년도 6 5" xfId="2371" xr:uid="{00000000-0005-0000-0000-00000B090000}"/>
    <cellStyle name="년도 6 5 2" xfId="4801" xr:uid="{00000000-0005-0000-0000-00000B090000}"/>
    <cellStyle name="년도 6 6" xfId="4797" xr:uid="{00000000-0005-0000-0000-000007090000}"/>
    <cellStyle name="년도 7" xfId="2372" xr:uid="{00000000-0005-0000-0000-00000C090000}"/>
    <cellStyle name="년도 7 2" xfId="2373" xr:uid="{00000000-0005-0000-0000-00000D090000}"/>
    <cellStyle name="년도 7 2 2" xfId="4803" xr:uid="{00000000-0005-0000-0000-00000D090000}"/>
    <cellStyle name="년도 7 3" xfId="2374" xr:uid="{00000000-0005-0000-0000-00000E090000}"/>
    <cellStyle name="년도 7 3 2" xfId="4804" xr:uid="{00000000-0005-0000-0000-00000E090000}"/>
    <cellStyle name="년도 7 4" xfId="2375" xr:uid="{00000000-0005-0000-0000-00000F090000}"/>
    <cellStyle name="년도 7 4 2" xfId="4805" xr:uid="{00000000-0005-0000-0000-00000F090000}"/>
    <cellStyle name="년도 7 5" xfId="2376" xr:uid="{00000000-0005-0000-0000-000010090000}"/>
    <cellStyle name="년도 7 5 2" xfId="4806" xr:uid="{00000000-0005-0000-0000-000010090000}"/>
    <cellStyle name="년도 7 6" xfId="4802" xr:uid="{00000000-0005-0000-0000-00000C090000}"/>
    <cellStyle name="년도 8" xfId="2377" xr:uid="{00000000-0005-0000-0000-000011090000}"/>
    <cellStyle name="년도 8 2" xfId="2378" xr:uid="{00000000-0005-0000-0000-000012090000}"/>
    <cellStyle name="년도 8 2 2" xfId="4808" xr:uid="{00000000-0005-0000-0000-000012090000}"/>
    <cellStyle name="년도 8 3" xfId="2379" xr:uid="{00000000-0005-0000-0000-000013090000}"/>
    <cellStyle name="년도 8 3 2" xfId="4809" xr:uid="{00000000-0005-0000-0000-000013090000}"/>
    <cellStyle name="년도 8 4" xfId="2380" xr:uid="{00000000-0005-0000-0000-000014090000}"/>
    <cellStyle name="년도 8 4 2" xfId="4810" xr:uid="{00000000-0005-0000-0000-000014090000}"/>
    <cellStyle name="년도 8 5" xfId="2381" xr:uid="{00000000-0005-0000-0000-000015090000}"/>
    <cellStyle name="년도 8 5 2" xfId="4811" xr:uid="{00000000-0005-0000-0000-000015090000}"/>
    <cellStyle name="년도 8 6" xfId="4807" xr:uid="{00000000-0005-0000-0000-000011090000}"/>
    <cellStyle name="년도 9" xfId="2382" xr:uid="{00000000-0005-0000-0000-000016090000}"/>
    <cellStyle name="년도 9 2" xfId="2383" xr:uid="{00000000-0005-0000-0000-000017090000}"/>
    <cellStyle name="년도 9 2 2" xfId="4813" xr:uid="{00000000-0005-0000-0000-000017090000}"/>
    <cellStyle name="년도 9 3" xfId="2384" xr:uid="{00000000-0005-0000-0000-000018090000}"/>
    <cellStyle name="년도 9 3 2" xfId="4814" xr:uid="{00000000-0005-0000-0000-000018090000}"/>
    <cellStyle name="년도 9 4" xfId="2385" xr:uid="{00000000-0005-0000-0000-000019090000}"/>
    <cellStyle name="년도 9 4 2" xfId="4815" xr:uid="{00000000-0005-0000-0000-000019090000}"/>
    <cellStyle name="년도 9 5" xfId="2386" xr:uid="{00000000-0005-0000-0000-00001A090000}"/>
    <cellStyle name="년도 9 5 2" xfId="4816" xr:uid="{00000000-0005-0000-0000-00001A090000}"/>
    <cellStyle name="년도 9 6" xfId="4812" xr:uid="{00000000-0005-0000-0000-000016090000}"/>
    <cellStyle name="달러" xfId="282" xr:uid="{00000000-0005-0000-0000-00001B090000}"/>
    <cellStyle name="뒤에 오는 하이퍼링크" xfId="2387" xr:uid="{00000000-0005-0000-0000-00001C090000}"/>
    <cellStyle name="똿뗦먛귟 [0.00]_NT Server " xfId="2388" xr:uid="{00000000-0005-0000-0000-00001D090000}"/>
    <cellStyle name="똿뗦먛귟_NT Server " xfId="2389" xr:uid="{00000000-0005-0000-0000-00001E090000}"/>
    <cellStyle name="链接单元格" xfId="2390" xr:uid="{00000000-0005-0000-0000-00001F090000}"/>
    <cellStyle name="메모 2" xfId="2391" xr:uid="{00000000-0005-0000-0000-000020090000}"/>
    <cellStyle name="메모 2 10" xfId="2392" xr:uid="{00000000-0005-0000-0000-000021090000}"/>
    <cellStyle name="메모 2 10 2" xfId="2393" xr:uid="{00000000-0005-0000-0000-000022090000}"/>
    <cellStyle name="메모 2 10 2 2" xfId="4819" xr:uid="{00000000-0005-0000-0000-000022090000}"/>
    <cellStyle name="메모 2 10 3" xfId="2394" xr:uid="{00000000-0005-0000-0000-000023090000}"/>
    <cellStyle name="메모 2 10 3 2" xfId="4820" xr:uid="{00000000-0005-0000-0000-000023090000}"/>
    <cellStyle name="메모 2 10 4" xfId="2395" xr:uid="{00000000-0005-0000-0000-000024090000}"/>
    <cellStyle name="메모 2 10 4 2" xfId="4821" xr:uid="{00000000-0005-0000-0000-000024090000}"/>
    <cellStyle name="메모 2 10 5" xfId="2396" xr:uid="{00000000-0005-0000-0000-000025090000}"/>
    <cellStyle name="메모 2 10 5 2" xfId="4822" xr:uid="{00000000-0005-0000-0000-000025090000}"/>
    <cellStyle name="메모 2 10 6" xfId="4818" xr:uid="{00000000-0005-0000-0000-000021090000}"/>
    <cellStyle name="메모 2 11" xfId="2397" xr:uid="{00000000-0005-0000-0000-000026090000}"/>
    <cellStyle name="메모 2 11 2" xfId="2398" xr:uid="{00000000-0005-0000-0000-000027090000}"/>
    <cellStyle name="메모 2 11 2 2" xfId="4824" xr:uid="{00000000-0005-0000-0000-000027090000}"/>
    <cellStyle name="메모 2 11 3" xfId="2399" xr:uid="{00000000-0005-0000-0000-000028090000}"/>
    <cellStyle name="메모 2 11 3 2" xfId="4825" xr:uid="{00000000-0005-0000-0000-000028090000}"/>
    <cellStyle name="메모 2 11 4" xfId="2400" xr:uid="{00000000-0005-0000-0000-000029090000}"/>
    <cellStyle name="메모 2 11 4 2" xfId="4826" xr:uid="{00000000-0005-0000-0000-000029090000}"/>
    <cellStyle name="메모 2 11 5" xfId="2401" xr:uid="{00000000-0005-0000-0000-00002A090000}"/>
    <cellStyle name="메모 2 11 5 2" xfId="4827" xr:uid="{00000000-0005-0000-0000-00002A090000}"/>
    <cellStyle name="메모 2 11 6" xfId="4823" xr:uid="{00000000-0005-0000-0000-000026090000}"/>
    <cellStyle name="메모 2 12" xfId="2402" xr:uid="{00000000-0005-0000-0000-00002B090000}"/>
    <cellStyle name="메모 2 12 2" xfId="2403" xr:uid="{00000000-0005-0000-0000-00002C090000}"/>
    <cellStyle name="메모 2 12 2 2" xfId="4829" xr:uid="{00000000-0005-0000-0000-00002C090000}"/>
    <cellStyle name="메모 2 12 3" xfId="2404" xr:uid="{00000000-0005-0000-0000-00002D090000}"/>
    <cellStyle name="메모 2 12 3 2" xfId="4830" xr:uid="{00000000-0005-0000-0000-00002D090000}"/>
    <cellStyle name="메모 2 12 4" xfId="2405" xr:uid="{00000000-0005-0000-0000-00002E090000}"/>
    <cellStyle name="메모 2 12 4 2" xfId="4831" xr:uid="{00000000-0005-0000-0000-00002E090000}"/>
    <cellStyle name="메모 2 12 5" xfId="2406" xr:uid="{00000000-0005-0000-0000-00002F090000}"/>
    <cellStyle name="메모 2 12 5 2" xfId="4832" xr:uid="{00000000-0005-0000-0000-00002F090000}"/>
    <cellStyle name="메모 2 12 6" xfId="4828" xr:uid="{00000000-0005-0000-0000-00002B090000}"/>
    <cellStyle name="메모 2 13" xfId="2407" xr:uid="{00000000-0005-0000-0000-000030090000}"/>
    <cellStyle name="메모 2 13 2" xfId="4833" xr:uid="{00000000-0005-0000-0000-000030090000}"/>
    <cellStyle name="메모 2 14" xfId="2408" xr:uid="{00000000-0005-0000-0000-000031090000}"/>
    <cellStyle name="메모 2 14 2" xfId="4834" xr:uid="{00000000-0005-0000-0000-000031090000}"/>
    <cellStyle name="메모 2 15" xfId="2409" xr:uid="{00000000-0005-0000-0000-000032090000}"/>
    <cellStyle name="메모 2 15 2" xfId="4835" xr:uid="{00000000-0005-0000-0000-000032090000}"/>
    <cellStyle name="메모 2 16" xfId="2410" xr:uid="{00000000-0005-0000-0000-000033090000}"/>
    <cellStyle name="메모 2 16 2" xfId="4836" xr:uid="{00000000-0005-0000-0000-000033090000}"/>
    <cellStyle name="메모 2 17" xfId="4817" xr:uid="{00000000-0005-0000-0000-000020090000}"/>
    <cellStyle name="메모 2 2" xfId="2411" xr:uid="{00000000-0005-0000-0000-000034090000}"/>
    <cellStyle name="메모 2 2 2" xfId="2412" xr:uid="{00000000-0005-0000-0000-000035090000}"/>
    <cellStyle name="메모 2 2 2 2" xfId="2413" xr:uid="{00000000-0005-0000-0000-000036090000}"/>
    <cellStyle name="메모 2 2 2 2 2" xfId="2414" xr:uid="{00000000-0005-0000-0000-000037090000}"/>
    <cellStyle name="메모 2 2 2 2 2 2" xfId="4840" xr:uid="{00000000-0005-0000-0000-000037090000}"/>
    <cellStyle name="메모 2 2 2 2 3" xfId="4839" xr:uid="{00000000-0005-0000-0000-000036090000}"/>
    <cellStyle name="메모 2 2 2 3" xfId="2415" xr:uid="{00000000-0005-0000-0000-000038090000}"/>
    <cellStyle name="메모 2 2 2 3 2" xfId="4841" xr:uid="{00000000-0005-0000-0000-000038090000}"/>
    <cellStyle name="메모 2 2 2 4" xfId="2416" xr:uid="{00000000-0005-0000-0000-000039090000}"/>
    <cellStyle name="메모 2 2 2 4 2" xfId="4842" xr:uid="{00000000-0005-0000-0000-000039090000}"/>
    <cellStyle name="메모 2 2 2 5" xfId="4838" xr:uid="{00000000-0005-0000-0000-000035090000}"/>
    <cellStyle name="메모 2 2 3" xfId="2417" xr:uid="{00000000-0005-0000-0000-00003A090000}"/>
    <cellStyle name="메모 2 2 3 2" xfId="2418" xr:uid="{00000000-0005-0000-0000-00003B090000}"/>
    <cellStyle name="메모 2 2 3 2 2" xfId="4844" xr:uid="{00000000-0005-0000-0000-00003B090000}"/>
    <cellStyle name="메모 2 2 3 3" xfId="4843" xr:uid="{00000000-0005-0000-0000-00003A090000}"/>
    <cellStyle name="메모 2 2 4" xfId="2419" xr:uid="{00000000-0005-0000-0000-00003C090000}"/>
    <cellStyle name="메모 2 2 4 2" xfId="4845" xr:uid="{00000000-0005-0000-0000-00003C090000}"/>
    <cellStyle name="메모 2 2 5" xfId="2420" xr:uid="{00000000-0005-0000-0000-00003D090000}"/>
    <cellStyle name="메모 2 2 5 2" xfId="4846" xr:uid="{00000000-0005-0000-0000-00003D090000}"/>
    <cellStyle name="메모 2 2 6" xfId="4837" xr:uid="{00000000-0005-0000-0000-000034090000}"/>
    <cellStyle name="메모 2 3" xfId="2421" xr:uid="{00000000-0005-0000-0000-00003E090000}"/>
    <cellStyle name="메모 2 3 2" xfId="2422" xr:uid="{00000000-0005-0000-0000-00003F090000}"/>
    <cellStyle name="메모 2 3 2 2" xfId="2423" xr:uid="{00000000-0005-0000-0000-000040090000}"/>
    <cellStyle name="메모 2 3 2 2 2" xfId="4849" xr:uid="{00000000-0005-0000-0000-000040090000}"/>
    <cellStyle name="메모 2 3 2 3" xfId="4848" xr:uid="{00000000-0005-0000-0000-00003F090000}"/>
    <cellStyle name="메모 2 3 3" xfId="2424" xr:uid="{00000000-0005-0000-0000-000041090000}"/>
    <cellStyle name="메모 2 3 3 2" xfId="4850" xr:uid="{00000000-0005-0000-0000-000041090000}"/>
    <cellStyle name="메모 2 3 4" xfId="2425" xr:uid="{00000000-0005-0000-0000-000042090000}"/>
    <cellStyle name="메모 2 3 4 2" xfId="4851" xr:uid="{00000000-0005-0000-0000-000042090000}"/>
    <cellStyle name="메모 2 3 5" xfId="2426" xr:uid="{00000000-0005-0000-0000-000043090000}"/>
    <cellStyle name="메모 2 3 5 2" xfId="4852" xr:uid="{00000000-0005-0000-0000-000043090000}"/>
    <cellStyle name="메모 2 3 6" xfId="4847" xr:uid="{00000000-0005-0000-0000-00003E090000}"/>
    <cellStyle name="메모 2 4" xfId="2427" xr:uid="{00000000-0005-0000-0000-000044090000}"/>
    <cellStyle name="메모 2 4 2" xfId="2428" xr:uid="{00000000-0005-0000-0000-000045090000}"/>
    <cellStyle name="메모 2 4 2 2" xfId="4854" xr:uid="{00000000-0005-0000-0000-000045090000}"/>
    <cellStyle name="메모 2 4 3" xfId="2429" xr:uid="{00000000-0005-0000-0000-000046090000}"/>
    <cellStyle name="메모 2 4 3 2" xfId="4855" xr:uid="{00000000-0005-0000-0000-000046090000}"/>
    <cellStyle name="메모 2 4 4" xfId="2430" xr:uid="{00000000-0005-0000-0000-000047090000}"/>
    <cellStyle name="메모 2 4 4 2" xfId="4856" xr:uid="{00000000-0005-0000-0000-000047090000}"/>
    <cellStyle name="메모 2 4 5" xfId="2431" xr:uid="{00000000-0005-0000-0000-000048090000}"/>
    <cellStyle name="메모 2 4 5 2" xfId="4857" xr:uid="{00000000-0005-0000-0000-000048090000}"/>
    <cellStyle name="메모 2 4 6" xfId="4853" xr:uid="{00000000-0005-0000-0000-000044090000}"/>
    <cellStyle name="메모 2 5" xfId="2432" xr:uid="{00000000-0005-0000-0000-000049090000}"/>
    <cellStyle name="메모 2 5 2" xfId="2433" xr:uid="{00000000-0005-0000-0000-00004A090000}"/>
    <cellStyle name="메모 2 5 2 2" xfId="4859" xr:uid="{00000000-0005-0000-0000-00004A090000}"/>
    <cellStyle name="메모 2 5 3" xfId="2434" xr:uid="{00000000-0005-0000-0000-00004B090000}"/>
    <cellStyle name="메모 2 5 3 2" xfId="4860" xr:uid="{00000000-0005-0000-0000-00004B090000}"/>
    <cellStyle name="메모 2 5 4" xfId="2435" xr:uid="{00000000-0005-0000-0000-00004C090000}"/>
    <cellStyle name="메모 2 5 4 2" xfId="4861" xr:uid="{00000000-0005-0000-0000-00004C090000}"/>
    <cellStyle name="메모 2 5 5" xfId="2436" xr:uid="{00000000-0005-0000-0000-00004D090000}"/>
    <cellStyle name="메모 2 5 5 2" xfId="4862" xr:uid="{00000000-0005-0000-0000-00004D090000}"/>
    <cellStyle name="메모 2 5 6" xfId="4858" xr:uid="{00000000-0005-0000-0000-000049090000}"/>
    <cellStyle name="메모 2 6" xfId="2437" xr:uid="{00000000-0005-0000-0000-00004E090000}"/>
    <cellStyle name="메모 2 6 2" xfId="2438" xr:uid="{00000000-0005-0000-0000-00004F090000}"/>
    <cellStyle name="메모 2 6 2 2" xfId="4864" xr:uid="{00000000-0005-0000-0000-00004F090000}"/>
    <cellStyle name="메모 2 6 3" xfId="2439" xr:uid="{00000000-0005-0000-0000-000050090000}"/>
    <cellStyle name="메모 2 6 3 2" xfId="4865" xr:uid="{00000000-0005-0000-0000-000050090000}"/>
    <cellStyle name="메모 2 6 4" xfId="2440" xr:uid="{00000000-0005-0000-0000-000051090000}"/>
    <cellStyle name="메모 2 6 4 2" xfId="4866" xr:uid="{00000000-0005-0000-0000-000051090000}"/>
    <cellStyle name="메모 2 6 5" xfId="2441" xr:uid="{00000000-0005-0000-0000-000052090000}"/>
    <cellStyle name="메모 2 6 5 2" xfId="4867" xr:uid="{00000000-0005-0000-0000-000052090000}"/>
    <cellStyle name="메모 2 6 6" xfId="4863" xr:uid="{00000000-0005-0000-0000-00004E090000}"/>
    <cellStyle name="메모 2 7" xfId="2442" xr:uid="{00000000-0005-0000-0000-000053090000}"/>
    <cellStyle name="메모 2 7 2" xfId="2443" xr:uid="{00000000-0005-0000-0000-000054090000}"/>
    <cellStyle name="메모 2 7 2 2" xfId="4869" xr:uid="{00000000-0005-0000-0000-000054090000}"/>
    <cellStyle name="메모 2 7 3" xfId="2444" xr:uid="{00000000-0005-0000-0000-000055090000}"/>
    <cellStyle name="메모 2 7 3 2" xfId="4870" xr:uid="{00000000-0005-0000-0000-000055090000}"/>
    <cellStyle name="메모 2 7 4" xfId="2445" xr:uid="{00000000-0005-0000-0000-000056090000}"/>
    <cellStyle name="메모 2 7 4 2" xfId="4871" xr:uid="{00000000-0005-0000-0000-000056090000}"/>
    <cellStyle name="메모 2 7 5" xfId="2446" xr:uid="{00000000-0005-0000-0000-000057090000}"/>
    <cellStyle name="메모 2 7 5 2" xfId="4872" xr:uid="{00000000-0005-0000-0000-000057090000}"/>
    <cellStyle name="메모 2 7 6" xfId="4868" xr:uid="{00000000-0005-0000-0000-000053090000}"/>
    <cellStyle name="메모 2 8" xfId="2447" xr:uid="{00000000-0005-0000-0000-000058090000}"/>
    <cellStyle name="메모 2 8 2" xfId="2448" xr:uid="{00000000-0005-0000-0000-000059090000}"/>
    <cellStyle name="메모 2 8 2 2" xfId="4874" xr:uid="{00000000-0005-0000-0000-000059090000}"/>
    <cellStyle name="메모 2 8 3" xfId="2449" xr:uid="{00000000-0005-0000-0000-00005A090000}"/>
    <cellStyle name="메모 2 8 3 2" xfId="4875" xr:uid="{00000000-0005-0000-0000-00005A090000}"/>
    <cellStyle name="메모 2 8 4" xfId="2450" xr:uid="{00000000-0005-0000-0000-00005B090000}"/>
    <cellStyle name="메모 2 8 4 2" xfId="4876" xr:uid="{00000000-0005-0000-0000-00005B090000}"/>
    <cellStyle name="메모 2 8 5" xfId="2451" xr:uid="{00000000-0005-0000-0000-00005C090000}"/>
    <cellStyle name="메모 2 8 5 2" xfId="4877" xr:uid="{00000000-0005-0000-0000-00005C090000}"/>
    <cellStyle name="메모 2 8 6" xfId="4873" xr:uid="{00000000-0005-0000-0000-000058090000}"/>
    <cellStyle name="메모 2 9" xfId="2452" xr:uid="{00000000-0005-0000-0000-00005D090000}"/>
    <cellStyle name="메모 2 9 2" xfId="2453" xr:uid="{00000000-0005-0000-0000-00005E090000}"/>
    <cellStyle name="메모 2 9 2 2" xfId="4879" xr:uid="{00000000-0005-0000-0000-00005E090000}"/>
    <cellStyle name="메모 2 9 3" xfId="2454" xr:uid="{00000000-0005-0000-0000-00005F090000}"/>
    <cellStyle name="메모 2 9 3 2" xfId="4880" xr:uid="{00000000-0005-0000-0000-00005F090000}"/>
    <cellStyle name="메모 2 9 4" xfId="2455" xr:uid="{00000000-0005-0000-0000-000060090000}"/>
    <cellStyle name="메모 2 9 4 2" xfId="4881" xr:uid="{00000000-0005-0000-0000-000060090000}"/>
    <cellStyle name="메모 2 9 5" xfId="2456" xr:uid="{00000000-0005-0000-0000-000061090000}"/>
    <cellStyle name="메모 2 9 5 2" xfId="4882" xr:uid="{00000000-0005-0000-0000-000061090000}"/>
    <cellStyle name="메모 2 9 6" xfId="4878" xr:uid="{00000000-0005-0000-0000-00005D090000}"/>
    <cellStyle name="메모 3" xfId="2457" xr:uid="{00000000-0005-0000-0000-000062090000}"/>
    <cellStyle name="메모 3 10" xfId="2458" xr:uid="{00000000-0005-0000-0000-000063090000}"/>
    <cellStyle name="메모 3 10 2" xfId="2459" xr:uid="{00000000-0005-0000-0000-000064090000}"/>
    <cellStyle name="메모 3 10 2 2" xfId="4885" xr:uid="{00000000-0005-0000-0000-000064090000}"/>
    <cellStyle name="메모 3 10 3" xfId="2460" xr:uid="{00000000-0005-0000-0000-000065090000}"/>
    <cellStyle name="메모 3 10 3 2" xfId="4886" xr:uid="{00000000-0005-0000-0000-000065090000}"/>
    <cellStyle name="메모 3 10 4" xfId="2461" xr:uid="{00000000-0005-0000-0000-000066090000}"/>
    <cellStyle name="메모 3 10 4 2" xfId="4887" xr:uid="{00000000-0005-0000-0000-000066090000}"/>
    <cellStyle name="메모 3 10 5" xfId="2462" xr:uid="{00000000-0005-0000-0000-000067090000}"/>
    <cellStyle name="메모 3 10 5 2" xfId="4888" xr:uid="{00000000-0005-0000-0000-000067090000}"/>
    <cellStyle name="메모 3 10 6" xfId="4884" xr:uid="{00000000-0005-0000-0000-000063090000}"/>
    <cellStyle name="메모 3 11" xfId="2463" xr:uid="{00000000-0005-0000-0000-000068090000}"/>
    <cellStyle name="메모 3 11 2" xfId="2464" xr:uid="{00000000-0005-0000-0000-000069090000}"/>
    <cellStyle name="메모 3 11 2 2" xfId="4890" xr:uid="{00000000-0005-0000-0000-000069090000}"/>
    <cellStyle name="메모 3 11 3" xfId="2465" xr:uid="{00000000-0005-0000-0000-00006A090000}"/>
    <cellStyle name="메모 3 11 3 2" xfId="4891" xr:uid="{00000000-0005-0000-0000-00006A090000}"/>
    <cellStyle name="메모 3 11 4" xfId="2466" xr:uid="{00000000-0005-0000-0000-00006B090000}"/>
    <cellStyle name="메모 3 11 4 2" xfId="4892" xr:uid="{00000000-0005-0000-0000-00006B090000}"/>
    <cellStyle name="메모 3 11 5" xfId="2467" xr:uid="{00000000-0005-0000-0000-00006C090000}"/>
    <cellStyle name="메모 3 11 5 2" xfId="4893" xr:uid="{00000000-0005-0000-0000-00006C090000}"/>
    <cellStyle name="메모 3 11 6" xfId="4889" xr:uid="{00000000-0005-0000-0000-000068090000}"/>
    <cellStyle name="메모 3 12" xfId="2468" xr:uid="{00000000-0005-0000-0000-00006D090000}"/>
    <cellStyle name="메모 3 12 2" xfId="2469" xr:uid="{00000000-0005-0000-0000-00006E090000}"/>
    <cellStyle name="메모 3 12 2 2" xfId="4895" xr:uid="{00000000-0005-0000-0000-00006E090000}"/>
    <cellStyle name="메모 3 12 3" xfId="2470" xr:uid="{00000000-0005-0000-0000-00006F090000}"/>
    <cellStyle name="메모 3 12 3 2" xfId="4896" xr:uid="{00000000-0005-0000-0000-00006F090000}"/>
    <cellStyle name="메모 3 12 4" xfId="2471" xr:uid="{00000000-0005-0000-0000-000070090000}"/>
    <cellStyle name="메모 3 12 4 2" xfId="4897" xr:uid="{00000000-0005-0000-0000-000070090000}"/>
    <cellStyle name="메모 3 12 5" xfId="2472" xr:uid="{00000000-0005-0000-0000-000071090000}"/>
    <cellStyle name="메모 3 12 5 2" xfId="4898" xr:uid="{00000000-0005-0000-0000-000071090000}"/>
    <cellStyle name="메모 3 12 6" xfId="4894" xr:uid="{00000000-0005-0000-0000-00006D090000}"/>
    <cellStyle name="메모 3 13" xfId="2473" xr:uid="{00000000-0005-0000-0000-000072090000}"/>
    <cellStyle name="메모 3 13 2" xfId="4899" xr:uid="{00000000-0005-0000-0000-000072090000}"/>
    <cellStyle name="메모 3 14" xfId="2474" xr:uid="{00000000-0005-0000-0000-000073090000}"/>
    <cellStyle name="메모 3 14 2" xfId="4900" xr:uid="{00000000-0005-0000-0000-000073090000}"/>
    <cellStyle name="메모 3 15" xfId="2475" xr:uid="{00000000-0005-0000-0000-000074090000}"/>
    <cellStyle name="메모 3 15 2" xfId="4901" xr:uid="{00000000-0005-0000-0000-000074090000}"/>
    <cellStyle name="메모 3 16" xfId="2476" xr:uid="{00000000-0005-0000-0000-000075090000}"/>
    <cellStyle name="메모 3 16 2" xfId="4902" xr:uid="{00000000-0005-0000-0000-000075090000}"/>
    <cellStyle name="메모 3 17" xfId="4883" xr:uid="{00000000-0005-0000-0000-000062090000}"/>
    <cellStyle name="메모 3 2" xfId="2477" xr:uid="{00000000-0005-0000-0000-000076090000}"/>
    <cellStyle name="메모 3 2 2" xfId="2478" xr:uid="{00000000-0005-0000-0000-000077090000}"/>
    <cellStyle name="메모 3 2 2 2" xfId="2479" xr:uid="{00000000-0005-0000-0000-000078090000}"/>
    <cellStyle name="메모 3 2 2 2 2" xfId="4905" xr:uid="{00000000-0005-0000-0000-000078090000}"/>
    <cellStyle name="메모 3 2 2 3" xfId="4904" xr:uid="{00000000-0005-0000-0000-000077090000}"/>
    <cellStyle name="메모 3 2 3" xfId="2480" xr:uid="{00000000-0005-0000-0000-000079090000}"/>
    <cellStyle name="메모 3 2 3 2" xfId="4906" xr:uid="{00000000-0005-0000-0000-000079090000}"/>
    <cellStyle name="메모 3 2 4" xfId="2481" xr:uid="{00000000-0005-0000-0000-00007A090000}"/>
    <cellStyle name="메모 3 2 4 2" xfId="4907" xr:uid="{00000000-0005-0000-0000-00007A090000}"/>
    <cellStyle name="메모 3 2 5" xfId="2482" xr:uid="{00000000-0005-0000-0000-00007B090000}"/>
    <cellStyle name="메모 3 2 5 2" xfId="4908" xr:uid="{00000000-0005-0000-0000-00007B090000}"/>
    <cellStyle name="메모 3 2 6" xfId="4903" xr:uid="{00000000-0005-0000-0000-000076090000}"/>
    <cellStyle name="메모 3 3" xfId="2483" xr:uid="{00000000-0005-0000-0000-00007C090000}"/>
    <cellStyle name="메모 3 3 2" xfId="2484" xr:uid="{00000000-0005-0000-0000-00007D090000}"/>
    <cellStyle name="메모 3 3 2 2" xfId="4910" xr:uid="{00000000-0005-0000-0000-00007D090000}"/>
    <cellStyle name="메모 3 3 3" xfId="2485" xr:uid="{00000000-0005-0000-0000-00007E090000}"/>
    <cellStyle name="메모 3 3 3 2" xfId="4911" xr:uid="{00000000-0005-0000-0000-00007E090000}"/>
    <cellStyle name="메모 3 3 4" xfId="2486" xr:uid="{00000000-0005-0000-0000-00007F090000}"/>
    <cellStyle name="메모 3 3 4 2" xfId="4912" xr:uid="{00000000-0005-0000-0000-00007F090000}"/>
    <cellStyle name="메모 3 3 5" xfId="2487" xr:uid="{00000000-0005-0000-0000-000080090000}"/>
    <cellStyle name="메모 3 3 5 2" xfId="4913" xr:uid="{00000000-0005-0000-0000-000080090000}"/>
    <cellStyle name="메모 3 3 6" xfId="4909" xr:uid="{00000000-0005-0000-0000-00007C090000}"/>
    <cellStyle name="메모 3 4" xfId="2488" xr:uid="{00000000-0005-0000-0000-000081090000}"/>
    <cellStyle name="메모 3 4 2" xfId="2489" xr:uid="{00000000-0005-0000-0000-000082090000}"/>
    <cellStyle name="메모 3 4 2 2" xfId="4915" xr:uid="{00000000-0005-0000-0000-000082090000}"/>
    <cellStyle name="메모 3 4 3" xfId="2490" xr:uid="{00000000-0005-0000-0000-000083090000}"/>
    <cellStyle name="메모 3 4 3 2" xfId="4916" xr:uid="{00000000-0005-0000-0000-000083090000}"/>
    <cellStyle name="메모 3 4 4" xfId="2491" xr:uid="{00000000-0005-0000-0000-000084090000}"/>
    <cellStyle name="메모 3 4 4 2" xfId="4917" xr:uid="{00000000-0005-0000-0000-000084090000}"/>
    <cellStyle name="메모 3 4 5" xfId="2492" xr:uid="{00000000-0005-0000-0000-000085090000}"/>
    <cellStyle name="메모 3 4 5 2" xfId="4918" xr:uid="{00000000-0005-0000-0000-000085090000}"/>
    <cellStyle name="메모 3 4 6" xfId="4914" xr:uid="{00000000-0005-0000-0000-000081090000}"/>
    <cellStyle name="메모 3 5" xfId="2493" xr:uid="{00000000-0005-0000-0000-000086090000}"/>
    <cellStyle name="메모 3 5 2" xfId="2494" xr:uid="{00000000-0005-0000-0000-000087090000}"/>
    <cellStyle name="메모 3 5 2 2" xfId="4920" xr:uid="{00000000-0005-0000-0000-000087090000}"/>
    <cellStyle name="메모 3 5 3" xfId="2495" xr:uid="{00000000-0005-0000-0000-000088090000}"/>
    <cellStyle name="메모 3 5 3 2" xfId="4921" xr:uid="{00000000-0005-0000-0000-000088090000}"/>
    <cellStyle name="메모 3 5 4" xfId="2496" xr:uid="{00000000-0005-0000-0000-000089090000}"/>
    <cellStyle name="메모 3 5 4 2" xfId="4922" xr:uid="{00000000-0005-0000-0000-000089090000}"/>
    <cellStyle name="메모 3 5 5" xfId="2497" xr:uid="{00000000-0005-0000-0000-00008A090000}"/>
    <cellStyle name="메모 3 5 5 2" xfId="4923" xr:uid="{00000000-0005-0000-0000-00008A090000}"/>
    <cellStyle name="메모 3 5 6" xfId="4919" xr:uid="{00000000-0005-0000-0000-000086090000}"/>
    <cellStyle name="메모 3 6" xfId="2498" xr:uid="{00000000-0005-0000-0000-00008B090000}"/>
    <cellStyle name="메모 3 6 2" xfId="2499" xr:uid="{00000000-0005-0000-0000-00008C090000}"/>
    <cellStyle name="메모 3 6 2 2" xfId="4925" xr:uid="{00000000-0005-0000-0000-00008C090000}"/>
    <cellStyle name="메모 3 6 3" xfId="2500" xr:uid="{00000000-0005-0000-0000-00008D090000}"/>
    <cellStyle name="메모 3 6 3 2" xfId="4926" xr:uid="{00000000-0005-0000-0000-00008D090000}"/>
    <cellStyle name="메모 3 6 4" xfId="2501" xr:uid="{00000000-0005-0000-0000-00008E090000}"/>
    <cellStyle name="메모 3 6 4 2" xfId="4927" xr:uid="{00000000-0005-0000-0000-00008E090000}"/>
    <cellStyle name="메모 3 6 5" xfId="2502" xr:uid="{00000000-0005-0000-0000-00008F090000}"/>
    <cellStyle name="메모 3 6 5 2" xfId="4928" xr:uid="{00000000-0005-0000-0000-00008F090000}"/>
    <cellStyle name="메모 3 6 6" xfId="4924" xr:uid="{00000000-0005-0000-0000-00008B090000}"/>
    <cellStyle name="메모 3 7" xfId="2503" xr:uid="{00000000-0005-0000-0000-000090090000}"/>
    <cellStyle name="메모 3 7 2" xfId="2504" xr:uid="{00000000-0005-0000-0000-000091090000}"/>
    <cellStyle name="메모 3 7 2 2" xfId="4930" xr:uid="{00000000-0005-0000-0000-000091090000}"/>
    <cellStyle name="메모 3 7 3" xfId="2505" xr:uid="{00000000-0005-0000-0000-000092090000}"/>
    <cellStyle name="메모 3 7 3 2" xfId="4931" xr:uid="{00000000-0005-0000-0000-000092090000}"/>
    <cellStyle name="메모 3 7 4" xfId="2506" xr:uid="{00000000-0005-0000-0000-000093090000}"/>
    <cellStyle name="메모 3 7 4 2" xfId="4932" xr:uid="{00000000-0005-0000-0000-000093090000}"/>
    <cellStyle name="메모 3 7 5" xfId="2507" xr:uid="{00000000-0005-0000-0000-000094090000}"/>
    <cellStyle name="메모 3 7 5 2" xfId="4933" xr:uid="{00000000-0005-0000-0000-000094090000}"/>
    <cellStyle name="메모 3 7 6" xfId="4929" xr:uid="{00000000-0005-0000-0000-000090090000}"/>
    <cellStyle name="메모 3 8" xfId="2508" xr:uid="{00000000-0005-0000-0000-000095090000}"/>
    <cellStyle name="메모 3 8 2" xfId="2509" xr:uid="{00000000-0005-0000-0000-000096090000}"/>
    <cellStyle name="메모 3 8 2 2" xfId="4935" xr:uid="{00000000-0005-0000-0000-000096090000}"/>
    <cellStyle name="메모 3 8 3" xfId="2510" xr:uid="{00000000-0005-0000-0000-000097090000}"/>
    <cellStyle name="메모 3 8 3 2" xfId="4936" xr:uid="{00000000-0005-0000-0000-000097090000}"/>
    <cellStyle name="메모 3 8 4" xfId="2511" xr:uid="{00000000-0005-0000-0000-000098090000}"/>
    <cellStyle name="메모 3 8 4 2" xfId="4937" xr:uid="{00000000-0005-0000-0000-000098090000}"/>
    <cellStyle name="메모 3 8 5" xfId="2512" xr:uid="{00000000-0005-0000-0000-000099090000}"/>
    <cellStyle name="메모 3 8 5 2" xfId="4938" xr:uid="{00000000-0005-0000-0000-000099090000}"/>
    <cellStyle name="메모 3 8 6" xfId="4934" xr:uid="{00000000-0005-0000-0000-000095090000}"/>
    <cellStyle name="메모 3 9" xfId="2513" xr:uid="{00000000-0005-0000-0000-00009A090000}"/>
    <cellStyle name="메모 3 9 2" xfId="2514" xr:uid="{00000000-0005-0000-0000-00009B090000}"/>
    <cellStyle name="메모 3 9 2 2" xfId="4940" xr:uid="{00000000-0005-0000-0000-00009B090000}"/>
    <cellStyle name="메모 3 9 3" xfId="2515" xr:uid="{00000000-0005-0000-0000-00009C090000}"/>
    <cellStyle name="메모 3 9 3 2" xfId="4941" xr:uid="{00000000-0005-0000-0000-00009C090000}"/>
    <cellStyle name="메모 3 9 4" xfId="2516" xr:uid="{00000000-0005-0000-0000-00009D090000}"/>
    <cellStyle name="메모 3 9 4 2" xfId="4942" xr:uid="{00000000-0005-0000-0000-00009D090000}"/>
    <cellStyle name="메모 3 9 5" xfId="2517" xr:uid="{00000000-0005-0000-0000-00009E090000}"/>
    <cellStyle name="메모 3 9 5 2" xfId="4943" xr:uid="{00000000-0005-0000-0000-00009E090000}"/>
    <cellStyle name="메모 3 9 6" xfId="4939" xr:uid="{00000000-0005-0000-0000-00009A090000}"/>
    <cellStyle name="메모 4" xfId="2518" xr:uid="{00000000-0005-0000-0000-00009F090000}"/>
    <cellStyle name="메모 4 2" xfId="2519" xr:uid="{00000000-0005-0000-0000-0000A0090000}"/>
    <cellStyle name="메모 4 2 2" xfId="2520" xr:uid="{00000000-0005-0000-0000-0000A1090000}"/>
    <cellStyle name="메모 4 2 2 2" xfId="4946" xr:uid="{00000000-0005-0000-0000-0000A1090000}"/>
    <cellStyle name="메모 4 2 3" xfId="4945" xr:uid="{00000000-0005-0000-0000-0000A0090000}"/>
    <cellStyle name="메모 4 3" xfId="2521" xr:uid="{00000000-0005-0000-0000-0000A2090000}"/>
    <cellStyle name="메모 4 3 2" xfId="4947" xr:uid="{00000000-0005-0000-0000-0000A2090000}"/>
    <cellStyle name="메모 4 4" xfId="2522" xr:uid="{00000000-0005-0000-0000-0000A3090000}"/>
    <cellStyle name="메모 4 4 2" xfId="4948" xr:uid="{00000000-0005-0000-0000-0000A3090000}"/>
    <cellStyle name="메모 4 5" xfId="4944" xr:uid="{00000000-0005-0000-0000-00009F090000}"/>
    <cellStyle name="메모 5" xfId="2523" xr:uid="{00000000-0005-0000-0000-0000A4090000}"/>
    <cellStyle name="메모 5 2" xfId="2524" xr:uid="{00000000-0005-0000-0000-0000A5090000}"/>
    <cellStyle name="메모 5 2 2" xfId="4950" xr:uid="{00000000-0005-0000-0000-0000A5090000}"/>
    <cellStyle name="메모 5 3" xfId="4949" xr:uid="{00000000-0005-0000-0000-0000A4090000}"/>
    <cellStyle name="메모 6" xfId="2525" xr:uid="{00000000-0005-0000-0000-0000A6090000}"/>
    <cellStyle name="메모 6 2" xfId="4951" xr:uid="{00000000-0005-0000-0000-0000A6090000}"/>
    <cellStyle name="메시지" xfId="283" xr:uid="{00000000-0005-0000-0000-0000A7090000}"/>
    <cellStyle name="문자열" xfId="2526" xr:uid="{00000000-0005-0000-0000-0000A8090000}"/>
    <cellStyle name="믅됞 [0.00]_NT Server " xfId="2527" xr:uid="{00000000-0005-0000-0000-0000A9090000}"/>
    <cellStyle name="믅됞_NT Server " xfId="2528" xr:uid="{00000000-0005-0000-0000-0000AA090000}"/>
    <cellStyle name="未定義" xfId="2529" xr:uid="{00000000-0005-0000-0000-0000AB090000}"/>
    <cellStyle name="바이알" xfId="2530" xr:uid="{00000000-0005-0000-0000-0000AC090000}"/>
    <cellStyle name="백??" xfId="2531" xr:uid="{00000000-0005-0000-0000-0000AD090000}"/>
    <cellStyle name="백ᵤ " xfId="2532" xr:uid="{00000000-0005-0000-0000-0000AE090000}"/>
    <cellStyle name="백분율 2" xfId="2533" xr:uid="{00000000-0005-0000-0000-0000B0090000}"/>
    <cellStyle name="백분율 2 2" xfId="2534" xr:uid="{00000000-0005-0000-0000-0000B1090000}"/>
    <cellStyle name="백분율 2 8" xfId="2535" xr:uid="{00000000-0005-0000-0000-0000B2090000}"/>
    <cellStyle name="백분율 3" xfId="2536" xr:uid="{00000000-0005-0000-0000-0000B3090000}"/>
    <cellStyle name="백분율 4" xfId="2537" xr:uid="{00000000-0005-0000-0000-0000B4090000}"/>
    <cellStyle name="백분율[1]" xfId="2538" xr:uid="{00000000-0005-0000-0000-0000B5090000}"/>
    <cellStyle name="백분율[1] 10" xfId="2539" xr:uid="{00000000-0005-0000-0000-0000B6090000}"/>
    <cellStyle name="백분율[1] 10 2" xfId="2540" xr:uid="{00000000-0005-0000-0000-0000B7090000}"/>
    <cellStyle name="백분율[1] 10 2 2" xfId="4954" xr:uid="{00000000-0005-0000-0000-0000B6090000}"/>
    <cellStyle name="백분율[1] 10 3" xfId="2541" xr:uid="{00000000-0005-0000-0000-0000B8090000}"/>
    <cellStyle name="백분율[1] 10 3 2" xfId="4955" xr:uid="{00000000-0005-0000-0000-0000B7090000}"/>
    <cellStyle name="백분율[1] 10 4" xfId="2542" xr:uid="{00000000-0005-0000-0000-0000B9090000}"/>
    <cellStyle name="백분율[1] 10 4 2" xfId="4956" xr:uid="{00000000-0005-0000-0000-0000B8090000}"/>
    <cellStyle name="백분율[1] 10 5" xfId="2543" xr:uid="{00000000-0005-0000-0000-0000BA090000}"/>
    <cellStyle name="백분율[1] 10 5 2" xfId="4957" xr:uid="{00000000-0005-0000-0000-0000B9090000}"/>
    <cellStyle name="백분율[1] 10 6" xfId="4953" xr:uid="{00000000-0005-0000-0000-0000B5090000}"/>
    <cellStyle name="백분율[1] 11" xfId="2544" xr:uid="{00000000-0005-0000-0000-0000BB090000}"/>
    <cellStyle name="백분율[1] 11 2" xfId="2545" xr:uid="{00000000-0005-0000-0000-0000BC090000}"/>
    <cellStyle name="백분율[1] 11 2 2" xfId="4959" xr:uid="{00000000-0005-0000-0000-0000BB090000}"/>
    <cellStyle name="백분율[1] 11 3" xfId="2546" xr:uid="{00000000-0005-0000-0000-0000BD090000}"/>
    <cellStyle name="백분율[1] 11 3 2" xfId="4960" xr:uid="{00000000-0005-0000-0000-0000BC090000}"/>
    <cellStyle name="백분율[1] 11 4" xfId="2547" xr:uid="{00000000-0005-0000-0000-0000BE090000}"/>
    <cellStyle name="백분율[1] 11 4 2" xfId="4961" xr:uid="{00000000-0005-0000-0000-0000BD090000}"/>
    <cellStyle name="백분율[1] 11 5" xfId="2548" xr:uid="{00000000-0005-0000-0000-0000BF090000}"/>
    <cellStyle name="백분율[1] 11 5 2" xfId="4962" xr:uid="{00000000-0005-0000-0000-0000BE090000}"/>
    <cellStyle name="백분율[1] 11 6" xfId="4958" xr:uid="{00000000-0005-0000-0000-0000BA090000}"/>
    <cellStyle name="백분율[1] 12" xfId="2549" xr:uid="{00000000-0005-0000-0000-0000C0090000}"/>
    <cellStyle name="백분율[1] 12 2" xfId="4963" xr:uid="{00000000-0005-0000-0000-0000BF090000}"/>
    <cellStyle name="백분율[1] 13" xfId="2550" xr:uid="{00000000-0005-0000-0000-0000C1090000}"/>
    <cellStyle name="백분율[1] 13 2" xfId="4964" xr:uid="{00000000-0005-0000-0000-0000C0090000}"/>
    <cellStyle name="백분율[1] 14" xfId="2551" xr:uid="{00000000-0005-0000-0000-0000C2090000}"/>
    <cellStyle name="백분율[1] 14 2" xfId="4965" xr:uid="{00000000-0005-0000-0000-0000C1090000}"/>
    <cellStyle name="백분율[1] 15" xfId="2552" xr:uid="{00000000-0005-0000-0000-0000C3090000}"/>
    <cellStyle name="백분율[1] 15 2" xfId="4966" xr:uid="{00000000-0005-0000-0000-0000C2090000}"/>
    <cellStyle name="백분율[1] 16" xfId="4952" xr:uid="{00000000-0005-0000-0000-0000B4090000}"/>
    <cellStyle name="백분율[1] 2" xfId="2553" xr:uid="{00000000-0005-0000-0000-0000C4090000}"/>
    <cellStyle name="백분율[1] 2 2" xfId="2554" xr:uid="{00000000-0005-0000-0000-0000C5090000}"/>
    <cellStyle name="백분율[1] 2 2 2" xfId="4968" xr:uid="{00000000-0005-0000-0000-0000C4090000}"/>
    <cellStyle name="백분율[1] 2 3" xfId="2555" xr:uid="{00000000-0005-0000-0000-0000C6090000}"/>
    <cellStyle name="백분율[1] 2 3 2" xfId="4969" xr:uid="{00000000-0005-0000-0000-0000C5090000}"/>
    <cellStyle name="백분율[1] 2 4" xfId="2556" xr:uid="{00000000-0005-0000-0000-0000C7090000}"/>
    <cellStyle name="백분율[1] 2 4 2" xfId="4970" xr:uid="{00000000-0005-0000-0000-0000C6090000}"/>
    <cellStyle name="백분율[1] 2 5" xfId="2557" xr:uid="{00000000-0005-0000-0000-0000C8090000}"/>
    <cellStyle name="백분율[1] 2 5 2" xfId="4971" xr:uid="{00000000-0005-0000-0000-0000C7090000}"/>
    <cellStyle name="백분율[1] 2 6" xfId="4967" xr:uid="{00000000-0005-0000-0000-0000C3090000}"/>
    <cellStyle name="백분율[1] 3" xfId="2558" xr:uid="{00000000-0005-0000-0000-0000C9090000}"/>
    <cellStyle name="백분율[1] 3 2" xfId="2559" xr:uid="{00000000-0005-0000-0000-0000CA090000}"/>
    <cellStyle name="백분율[1] 3 2 2" xfId="4973" xr:uid="{00000000-0005-0000-0000-0000C9090000}"/>
    <cellStyle name="백분율[1] 3 3" xfId="2560" xr:uid="{00000000-0005-0000-0000-0000CB090000}"/>
    <cellStyle name="백분율[1] 3 3 2" xfId="4974" xr:uid="{00000000-0005-0000-0000-0000CA090000}"/>
    <cellStyle name="백분율[1] 3 4" xfId="2561" xr:uid="{00000000-0005-0000-0000-0000CC090000}"/>
    <cellStyle name="백분율[1] 3 4 2" xfId="4975" xr:uid="{00000000-0005-0000-0000-0000CB090000}"/>
    <cellStyle name="백분율[1] 3 5" xfId="2562" xr:uid="{00000000-0005-0000-0000-0000CD090000}"/>
    <cellStyle name="백분율[1] 3 5 2" xfId="4976" xr:uid="{00000000-0005-0000-0000-0000CC090000}"/>
    <cellStyle name="백분율[1] 3 6" xfId="4972" xr:uid="{00000000-0005-0000-0000-0000C8090000}"/>
    <cellStyle name="백분율[1] 4" xfId="2563" xr:uid="{00000000-0005-0000-0000-0000CE090000}"/>
    <cellStyle name="백분율[1] 4 2" xfId="2564" xr:uid="{00000000-0005-0000-0000-0000CF090000}"/>
    <cellStyle name="백분율[1] 4 2 2" xfId="4978" xr:uid="{00000000-0005-0000-0000-0000CE090000}"/>
    <cellStyle name="백분율[1] 4 3" xfId="2565" xr:uid="{00000000-0005-0000-0000-0000D0090000}"/>
    <cellStyle name="백분율[1] 4 3 2" xfId="4979" xr:uid="{00000000-0005-0000-0000-0000CF090000}"/>
    <cellStyle name="백분율[1] 4 4" xfId="2566" xr:uid="{00000000-0005-0000-0000-0000D1090000}"/>
    <cellStyle name="백분율[1] 4 4 2" xfId="4980" xr:uid="{00000000-0005-0000-0000-0000D0090000}"/>
    <cellStyle name="백분율[1] 4 5" xfId="2567" xr:uid="{00000000-0005-0000-0000-0000D2090000}"/>
    <cellStyle name="백분율[1] 4 5 2" xfId="4981" xr:uid="{00000000-0005-0000-0000-0000D1090000}"/>
    <cellStyle name="백분율[1] 4 6" xfId="4977" xr:uid="{00000000-0005-0000-0000-0000CD090000}"/>
    <cellStyle name="백분율[1] 5" xfId="2568" xr:uid="{00000000-0005-0000-0000-0000D3090000}"/>
    <cellStyle name="백분율[1] 5 2" xfId="2569" xr:uid="{00000000-0005-0000-0000-0000D4090000}"/>
    <cellStyle name="백분율[1] 5 2 2" xfId="4983" xr:uid="{00000000-0005-0000-0000-0000D3090000}"/>
    <cellStyle name="백분율[1] 5 3" xfId="2570" xr:uid="{00000000-0005-0000-0000-0000D5090000}"/>
    <cellStyle name="백분율[1] 5 3 2" xfId="4984" xr:uid="{00000000-0005-0000-0000-0000D4090000}"/>
    <cellStyle name="백분율[1] 5 4" xfId="2571" xr:uid="{00000000-0005-0000-0000-0000D6090000}"/>
    <cellStyle name="백분율[1] 5 4 2" xfId="4985" xr:uid="{00000000-0005-0000-0000-0000D5090000}"/>
    <cellStyle name="백분율[1] 5 5" xfId="2572" xr:uid="{00000000-0005-0000-0000-0000D7090000}"/>
    <cellStyle name="백분율[1] 5 5 2" xfId="4986" xr:uid="{00000000-0005-0000-0000-0000D6090000}"/>
    <cellStyle name="백분율[1] 5 6" xfId="4982" xr:uid="{00000000-0005-0000-0000-0000D2090000}"/>
    <cellStyle name="백분율[1] 6" xfId="2573" xr:uid="{00000000-0005-0000-0000-0000D8090000}"/>
    <cellStyle name="백분율[1] 6 2" xfId="2574" xr:uid="{00000000-0005-0000-0000-0000D9090000}"/>
    <cellStyle name="백분율[1] 6 2 2" xfId="4988" xr:uid="{00000000-0005-0000-0000-0000D8090000}"/>
    <cellStyle name="백분율[1] 6 3" xfId="2575" xr:uid="{00000000-0005-0000-0000-0000DA090000}"/>
    <cellStyle name="백분율[1] 6 3 2" xfId="4989" xr:uid="{00000000-0005-0000-0000-0000D9090000}"/>
    <cellStyle name="백분율[1] 6 4" xfId="2576" xr:uid="{00000000-0005-0000-0000-0000DB090000}"/>
    <cellStyle name="백분율[1] 6 4 2" xfId="4990" xr:uid="{00000000-0005-0000-0000-0000DA090000}"/>
    <cellStyle name="백분율[1] 6 5" xfId="2577" xr:uid="{00000000-0005-0000-0000-0000DC090000}"/>
    <cellStyle name="백분율[1] 6 5 2" xfId="4991" xr:uid="{00000000-0005-0000-0000-0000DB090000}"/>
    <cellStyle name="백분율[1] 6 6" xfId="4987" xr:uid="{00000000-0005-0000-0000-0000D7090000}"/>
    <cellStyle name="백분율[1] 7" xfId="2578" xr:uid="{00000000-0005-0000-0000-0000DD090000}"/>
    <cellStyle name="백분율[1] 7 2" xfId="2579" xr:uid="{00000000-0005-0000-0000-0000DE090000}"/>
    <cellStyle name="백분율[1] 7 2 2" xfId="4993" xr:uid="{00000000-0005-0000-0000-0000DD090000}"/>
    <cellStyle name="백분율[1] 7 3" xfId="2580" xr:uid="{00000000-0005-0000-0000-0000DF090000}"/>
    <cellStyle name="백분율[1] 7 3 2" xfId="4994" xr:uid="{00000000-0005-0000-0000-0000DE090000}"/>
    <cellStyle name="백분율[1] 7 4" xfId="2581" xr:uid="{00000000-0005-0000-0000-0000E0090000}"/>
    <cellStyle name="백분율[1] 7 4 2" xfId="4995" xr:uid="{00000000-0005-0000-0000-0000DF090000}"/>
    <cellStyle name="백분율[1] 7 5" xfId="2582" xr:uid="{00000000-0005-0000-0000-0000E1090000}"/>
    <cellStyle name="백분율[1] 7 5 2" xfId="4996" xr:uid="{00000000-0005-0000-0000-0000E0090000}"/>
    <cellStyle name="백분율[1] 7 6" xfId="4992" xr:uid="{00000000-0005-0000-0000-0000DC090000}"/>
    <cellStyle name="백분율[1] 8" xfId="2583" xr:uid="{00000000-0005-0000-0000-0000E2090000}"/>
    <cellStyle name="백분율[1] 8 2" xfId="2584" xr:uid="{00000000-0005-0000-0000-0000E3090000}"/>
    <cellStyle name="백분율[1] 8 2 2" xfId="4998" xr:uid="{00000000-0005-0000-0000-0000E2090000}"/>
    <cellStyle name="백분율[1] 8 3" xfId="2585" xr:uid="{00000000-0005-0000-0000-0000E4090000}"/>
    <cellStyle name="백분율[1] 8 3 2" xfId="4999" xr:uid="{00000000-0005-0000-0000-0000E3090000}"/>
    <cellStyle name="백분율[1] 8 4" xfId="2586" xr:uid="{00000000-0005-0000-0000-0000E5090000}"/>
    <cellStyle name="백분율[1] 8 4 2" xfId="5000" xr:uid="{00000000-0005-0000-0000-0000E4090000}"/>
    <cellStyle name="백분율[1] 8 5" xfId="2587" xr:uid="{00000000-0005-0000-0000-0000E6090000}"/>
    <cellStyle name="백분율[1] 8 5 2" xfId="5001" xr:uid="{00000000-0005-0000-0000-0000E5090000}"/>
    <cellStyle name="백분율[1] 8 6" xfId="4997" xr:uid="{00000000-0005-0000-0000-0000E1090000}"/>
    <cellStyle name="백분율[1] 9" xfId="2588" xr:uid="{00000000-0005-0000-0000-0000E7090000}"/>
    <cellStyle name="백분율[1] 9 2" xfId="2589" xr:uid="{00000000-0005-0000-0000-0000E8090000}"/>
    <cellStyle name="백분율[1] 9 2 2" xfId="5003" xr:uid="{00000000-0005-0000-0000-0000E7090000}"/>
    <cellStyle name="백분율[1] 9 3" xfId="2590" xr:uid="{00000000-0005-0000-0000-0000E9090000}"/>
    <cellStyle name="백분율[1] 9 3 2" xfId="5004" xr:uid="{00000000-0005-0000-0000-0000E8090000}"/>
    <cellStyle name="백분율[1] 9 4" xfId="2591" xr:uid="{00000000-0005-0000-0000-0000EA090000}"/>
    <cellStyle name="백분율[1] 9 4 2" xfId="5005" xr:uid="{00000000-0005-0000-0000-0000E9090000}"/>
    <cellStyle name="백분율[1] 9 5" xfId="2592" xr:uid="{00000000-0005-0000-0000-0000EB090000}"/>
    <cellStyle name="백분율[1] 9 5 2" xfId="5006" xr:uid="{00000000-0005-0000-0000-0000EA090000}"/>
    <cellStyle name="백분율[1] 9 6" xfId="5002" xr:uid="{00000000-0005-0000-0000-0000E6090000}"/>
    <cellStyle name="보고서" xfId="284" xr:uid="{00000000-0005-0000-0000-0000EC090000}"/>
    <cellStyle name="보고서 10" xfId="2593" xr:uid="{00000000-0005-0000-0000-0000ED090000}"/>
    <cellStyle name="보고서 10 2" xfId="5007" xr:uid="{00000000-0005-0000-0000-0000EC090000}"/>
    <cellStyle name="보고서 11" xfId="2594" xr:uid="{00000000-0005-0000-0000-0000EE090000}"/>
    <cellStyle name="보고서 11 2" xfId="5008" xr:uid="{00000000-0005-0000-0000-0000ED090000}"/>
    <cellStyle name="보고서 12" xfId="2595" xr:uid="{00000000-0005-0000-0000-0000EF090000}"/>
    <cellStyle name="보고서 12 2" xfId="5009" xr:uid="{00000000-0005-0000-0000-0000EE090000}"/>
    <cellStyle name="보고서 13" xfId="2596" xr:uid="{00000000-0005-0000-0000-0000F0090000}"/>
    <cellStyle name="보고서 13 2" xfId="5010" xr:uid="{00000000-0005-0000-0000-0000EF090000}"/>
    <cellStyle name="보고서 14" xfId="3537" xr:uid="{00000000-0005-0000-0000-0000EB090000}"/>
    <cellStyle name="보고서 2" xfId="2597" xr:uid="{00000000-0005-0000-0000-0000F1090000}"/>
    <cellStyle name="보고서 2 2" xfId="2598" xr:uid="{00000000-0005-0000-0000-0000F2090000}"/>
    <cellStyle name="보고서 2 2 2" xfId="5012" xr:uid="{00000000-0005-0000-0000-0000F1090000}"/>
    <cellStyle name="보고서 2 3" xfId="2599" xr:uid="{00000000-0005-0000-0000-0000F3090000}"/>
    <cellStyle name="보고서 2 3 2" xfId="5013" xr:uid="{00000000-0005-0000-0000-0000F2090000}"/>
    <cellStyle name="보고서 2 4" xfId="2600" xr:uid="{00000000-0005-0000-0000-0000F4090000}"/>
    <cellStyle name="보고서 2 4 2" xfId="5014" xr:uid="{00000000-0005-0000-0000-0000F3090000}"/>
    <cellStyle name="보고서 2 5" xfId="2601" xr:uid="{00000000-0005-0000-0000-0000F5090000}"/>
    <cellStyle name="보고서 2 5 2" xfId="5015" xr:uid="{00000000-0005-0000-0000-0000F4090000}"/>
    <cellStyle name="보고서 2 6" xfId="5011" xr:uid="{00000000-0005-0000-0000-0000F0090000}"/>
    <cellStyle name="보고서 3" xfId="2602" xr:uid="{00000000-0005-0000-0000-0000F6090000}"/>
    <cellStyle name="보고서 3 2" xfId="2603" xr:uid="{00000000-0005-0000-0000-0000F7090000}"/>
    <cellStyle name="보고서 3 2 2" xfId="5017" xr:uid="{00000000-0005-0000-0000-0000F6090000}"/>
    <cellStyle name="보고서 3 3" xfId="2604" xr:uid="{00000000-0005-0000-0000-0000F8090000}"/>
    <cellStyle name="보고서 3 3 2" xfId="5018" xr:uid="{00000000-0005-0000-0000-0000F7090000}"/>
    <cellStyle name="보고서 3 4" xfId="2605" xr:uid="{00000000-0005-0000-0000-0000F9090000}"/>
    <cellStyle name="보고서 3 4 2" xfId="5019" xr:uid="{00000000-0005-0000-0000-0000F8090000}"/>
    <cellStyle name="보고서 3 5" xfId="2606" xr:uid="{00000000-0005-0000-0000-0000FA090000}"/>
    <cellStyle name="보고서 3 5 2" xfId="5020" xr:uid="{00000000-0005-0000-0000-0000F9090000}"/>
    <cellStyle name="보고서 3 6" xfId="5016" xr:uid="{00000000-0005-0000-0000-0000F5090000}"/>
    <cellStyle name="보고서 4" xfId="2607" xr:uid="{00000000-0005-0000-0000-0000FB090000}"/>
    <cellStyle name="보고서 4 2" xfId="2608" xr:uid="{00000000-0005-0000-0000-0000FC090000}"/>
    <cellStyle name="보고서 4 2 2" xfId="5022" xr:uid="{00000000-0005-0000-0000-0000FB090000}"/>
    <cellStyle name="보고서 4 3" xfId="2609" xr:uid="{00000000-0005-0000-0000-0000FD090000}"/>
    <cellStyle name="보고서 4 3 2" xfId="5023" xr:uid="{00000000-0005-0000-0000-0000FC090000}"/>
    <cellStyle name="보고서 4 4" xfId="2610" xr:uid="{00000000-0005-0000-0000-0000FE090000}"/>
    <cellStyle name="보고서 4 4 2" xfId="5024" xr:uid="{00000000-0005-0000-0000-0000FD090000}"/>
    <cellStyle name="보고서 4 5" xfId="2611" xr:uid="{00000000-0005-0000-0000-0000FF090000}"/>
    <cellStyle name="보고서 4 5 2" xfId="5025" xr:uid="{00000000-0005-0000-0000-0000FE090000}"/>
    <cellStyle name="보고서 4 6" xfId="5021" xr:uid="{00000000-0005-0000-0000-0000FA090000}"/>
    <cellStyle name="보고서 5" xfId="2612" xr:uid="{00000000-0005-0000-0000-0000000A0000}"/>
    <cellStyle name="보고서 5 2" xfId="2613" xr:uid="{00000000-0005-0000-0000-0000010A0000}"/>
    <cellStyle name="보고서 5 2 2" xfId="5027" xr:uid="{00000000-0005-0000-0000-0000000A0000}"/>
    <cellStyle name="보고서 5 3" xfId="2614" xr:uid="{00000000-0005-0000-0000-0000020A0000}"/>
    <cellStyle name="보고서 5 3 2" xfId="5028" xr:uid="{00000000-0005-0000-0000-0000010A0000}"/>
    <cellStyle name="보고서 5 4" xfId="2615" xr:uid="{00000000-0005-0000-0000-0000030A0000}"/>
    <cellStyle name="보고서 5 4 2" xfId="5029" xr:uid="{00000000-0005-0000-0000-0000020A0000}"/>
    <cellStyle name="보고서 5 5" xfId="2616" xr:uid="{00000000-0005-0000-0000-0000040A0000}"/>
    <cellStyle name="보고서 5 5 2" xfId="5030" xr:uid="{00000000-0005-0000-0000-0000030A0000}"/>
    <cellStyle name="보고서 5 6" xfId="5026" xr:uid="{00000000-0005-0000-0000-0000FF090000}"/>
    <cellStyle name="보고서 6" xfId="2617" xr:uid="{00000000-0005-0000-0000-0000050A0000}"/>
    <cellStyle name="보고서 6 2" xfId="2618" xr:uid="{00000000-0005-0000-0000-0000060A0000}"/>
    <cellStyle name="보고서 6 2 2" xfId="5032" xr:uid="{00000000-0005-0000-0000-0000050A0000}"/>
    <cellStyle name="보고서 6 3" xfId="2619" xr:uid="{00000000-0005-0000-0000-0000070A0000}"/>
    <cellStyle name="보고서 6 3 2" xfId="5033" xr:uid="{00000000-0005-0000-0000-0000060A0000}"/>
    <cellStyle name="보고서 6 4" xfId="2620" xr:uid="{00000000-0005-0000-0000-0000080A0000}"/>
    <cellStyle name="보고서 6 4 2" xfId="5034" xr:uid="{00000000-0005-0000-0000-0000070A0000}"/>
    <cellStyle name="보고서 6 5" xfId="2621" xr:uid="{00000000-0005-0000-0000-0000090A0000}"/>
    <cellStyle name="보고서 6 5 2" xfId="5035" xr:uid="{00000000-0005-0000-0000-0000080A0000}"/>
    <cellStyle name="보고서 6 6" xfId="5031" xr:uid="{00000000-0005-0000-0000-0000040A0000}"/>
    <cellStyle name="보고서 7" xfId="2622" xr:uid="{00000000-0005-0000-0000-00000A0A0000}"/>
    <cellStyle name="보고서 7 2" xfId="2623" xr:uid="{00000000-0005-0000-0000-00000B0A0000}"/>
    <cellStyle name="보고서 7 2 2" xfId="5037" xr:uid="{00000000-0005-0000-0000-00000A0A0000}"/>
    <cellStyle name="보고서 7 3" xfId="2624" xr:uid="{00000000-0005-0000-0000-00000C0A0000}"/>
    <cellStyle name="보고서 7 3 2" xfId="5038" xr:uid="{00000000-0005-0000-0000-00000B0A0000}"/>
    <cellStyle name="보고서 7 4" xfId="2625" xr:uid="{00000000-0005-0000-0000-00000D0A0000}"/>
    <cellStyle name="보고서 7 4 2" xfId="5039" xr:uid="{00000000-0005-0000-0000-00000C0A0000}"/>
    <cellStyle name="보고서 7 5" xfId="2626" xr:uid="{00000000-0005-0000-0000-00000E0A0000}"/>
    <cellStyle name="보고서 7 5 2" xfId="5040" xr:uid="{00000000-0005-0000-0000-00000D0A0000}"/>
    <cellStyle name="보고서 7 6" xfId="5036" xr:uid="{00000000-0005-0000-0000-0000090A0000}"/>
    <cellStyle name="보고서 8" xfId="2627" xr:uid="{00000000-0005-0000-0000-00000F0A0000}"/>
    <cellStyle name="보고서 8 2" xfId="2628" xr:uid="{00000000-0005-0000-0000-0000100A0000}"/>
    <cellStyle name="보고서 8 2 2" xfId="5042" xr:uid="{00000000-0005-0000-0000-00000F0A0000}"/>
    <cellStyle name="보고서 8 3" xfId="2629" xr:uid="{00000000-0005-0000-0000-0000110A0000}"/>
    <cellStyle name="보고서 8 3 2" xfId="5043" xr:uid="{00000000-0005-0000-0000-0000100A0000}"/>
    <cellStyle name="보고서 8 4" xfId="2630" xr:uid="{00000000-0005-0000-0000-0000120A0000}"/>
    <cellStyle name="보고서 8 4 2" xfId="5044" xr:uid="{00000000-0005-0000-0000-0000110A0000}"/>
    <cellStyle name="보고서 8 5" xfId="2631" xr:uid="{00000000-0005-0000-0000-0000130A0000}"/>
    <cellStyle name="보고서 8 5 2" xfId="5045" xr:uid="{00000000-0005-0000-0000-0000120A0000}"/>
    <cellStyle name="보고서 8 6" xfId="5041" xr:uid="{00000000-0005-0000-0000-00000E0A0000}"/>
    <cellStyle name="보고서 9" xfId="2632" xr:uid="{00000000-0005-0000-0000-0000140A0000}"/>
    <cellStyle name="보고서 9 2" xfId="2633" xr:uid="{00000000-0005-0000-0000-0000150A0000}"/>
    <cellStyle name="보고서 9 2 2" xfId="5047" xr:uid="{00000000-0005-0000-0000-0000140A0000}"/>
    <cellStyle name="보고서 9 3" xfId="2634" xr:uid="{00000000-0005-0000-0000-0000160A0000}"/>
    <cellStyle name="보고서 9 3 2" xfId="5048" xr:uid="{00000000-0005-0000-0000-0000150A0000}"/>
    <cellStyle name="보고서 9 4" xfId="2635" xr:uid="{00000000-0005-0000-0000-0000170A0000}"/>
    <cellStyle name="보고서 9 4 2" xfId="5049" xr:uid="{00000000-0005-0000-0000-0000160A0000}"/>
    <cellStyle name="보고서 9 5" xfId="2636" xr:uid="{00000000-0005-0000-0000-0000180A0000}"/>
    <cellStyle name="보고서 9 5 2" xfId="5050" xr:uid="{00000000-0005-0000-0000-0000170A0000}"/>
    <cellStyle name="보고서 9 6" xfId="5046" xr:uid="{00000000-0005-0000-0000-0000130A0000}"/>
    <cellStyle name="보통 2" xfId="2637" xr:uid="{00000000-0005-0000-0000-0000190A0000}"/>
    <cellStyle name="뷭?" xfId="2638" xr:uid="{00000000-0005-0000-0000-00001A0A0000}"/>
    <cellStyle name="사용자" xfId="285" xr:uid="{00000000-0005-0000-0000-00001B0A0000}"/>
    <cellStyle name="常规_Int9908" xfId="2639" xr:uid="{00000000-0005-0000-0000-00001C0A0000}"/>
    <cellStyle name="새귑[0]_覩꼈1_첼鷺覩꼈瞳욋" xfId="2640" xr:uid="{00000000-0005-0000-0000-00001D0A0000}"/>
    <cellStyle name="새귑_롤痰삠悧 " xfId="286" xr:uid="{00000000-0005-0000-0000-00001E0A0000}"/>
    <cellStyle name="서식" xfId="2641" xr:uid="{00000000-0005-0000-0000-00001F0A0000}"/>
    <cellStyle name="선 수 보 험 료" xfId="2642" xr:uid="{00000000-0005-0000-0000-0000200A0000}"/>
    <cellStyle name="선택영역의 가운데로" xfId="2643" xr:uid="{00000000-0005-0000-0000-0000210A0000}"/>
    <cellStyle name="선택영역의 가운데로 10" xfId="2644" xr:uid="{00000000-0005-0000-0000-0000220A0000}"/>
    <cellStyle name="선택영역의 가운데로 10 2" xfId="2645" xr:uid="{00000000-0005-0000-0000-0000230A0000}"/>
    <cellStyle name="선택영역의 가운데로 10 3" xfId="2646" xr:uid="{00000000-0005-0000-0000-0000240A0000}"/>
    <cellStyle name="선택영역의 가운데로 10 4" xfId="2647" xr:uid="{00000000-0005-0000-0000-0000250A0000}"/>
    <cellStyle name="선택영역의 가운데로 10 5" xfId="2648" xr:uid="{00000000-0005-0000-0000-0000260A0000}"/>
    <cellStyle name="선택영역의 가운데로 11" xfId="2649" xr:uid="{00000000-0005-0000-0000-0000270A0000}"/>
    <cellStyle name="선택영역의 가운데로 11 2" xfId="2650" xr:uid="{00000000-0005-0000-0000-0000280A0000}"/>
    <cellStyle name="선택영역의 가운데로 11 3" xfId="2651" xr:uid="{00000000-0005-0000-0000-0000290A0000}"/>
    <cellStyle name="선택영역의 가운데로 11 4" xfId="2652" xr:uid="{00000000-0005-0000-0000-00002A0A0000}"/>
    <cellStyle name="선택영역의 가운데로 11 5" xfId="2653" xr:uid="{00000000-0005-0000-0000-00002B0A0000}"/>
    <cellStyle name="선택영역의 가운데로 12" xfId="2654" xr:uid="{00000000-0005-0000-0000-00002C0A0000}"/>
    <cellStyle name="선택영역의 가운데로 12 2" xfId="2655" xr:uid="{00000000-0005-0000-0000-00002D0A0000}"/>
    <cellStyle name="선택영역의 가운데로 12 3" xfId="2656" xr:uid="{00000000-0005-0000-0000-00002E0A0000}"/>
    <cellStyle name="선택영역의 가운데로 12 4" xfId="2657" xr:uid="{00000000-0005-0000-0000-00002F0A0000}"/>
    <cellStyle name="선택영역의 가운데로 12 5" xfId="2658" xr:uid="{00000000-0005-0000-0000-0000300A0000}"/>
    <cellStyle name="선택영역의 가운데로 13" xfId="2659" xr:uid="{00000000-0005-0000-0000-0000310A0000}"/>
    <cellStyle name="선택영역의 가운데로 14" xfId="2660" xr:uid="{00000000-0005-0000-0000-0000320A0000}"/>
    <cellStyle name="선택영역의 가운데로 15" xfId="2661" xr:uid="{00000000-0005-0000-0000-0000330A0000}"/>
    <cellStyle name="선택영역의 가운데로 16" xfId="2662" xr:uid="{00000000-0005-0000-0000-0000340A0000}"/>
    <cellStyle name="선택영역의 가운데로 2" xfId="2663" xr:uid="{00000000-0005-0000-0000-0000350A0000}"/>
    <cellStyle name="선택영역의 가운데로 2 2" xfId="2664" xr:uid="{00000000-0005-0000-0000-0000360A0000}"/>
    <cellStyle name="선택영역의 가운데로 2 3" xfId="2665" xr:uid="{00000000-0005-0000-0000-0000370A0000}"/>
    <cellStyle name="선택영역의 가운데로 2 4" xfId="2666" xr:uid="{00000000-0005-0000-0000-0000380A0000}"/>
    <cellStyle name="선택영역의 가운데로 2 5" xfId="2667" xr:uid="{00000000-0005-0000-0000-0000390A0000}"/>
    <cellStyle name="선택영역의 가운데로 3" xfId="2668" xr:uid="{00000000-0005-0000-0000-00003A0A0000}"/>
    <cellStyle name="선택영역의 가운데로 3 2" xfId="2669" xr:uid="{00000000-0005-0000-0000-00003B0A0000}"/>
    <cellStyle name="선택영역의 가운데로 3 3" xfId="2670" xr:uid="{00000000-0005-0000-0000-00003C0A0000}"/>
    <cellStyle name="선택영역의 가운데로 3 4" xfId="2671" xr:uid="{00000000-0005-0000-0000-00003D0A0000}"/>
    <cellStyle name="선택영역의 가운데로 3 5" xfId="2672" xr:uid="{00000000-0005-0000-0000-00003E0A0000}"/>
    <cellStyle name="선택영역의 가운데로 4" xfId="2673" xr:uid="{00000000-0005-0000-0000-00003F0A0000}"/>
    <cellStyle name="선택영역의 가운데로 4 2" xfId="2674" xr:uid="{00000000-0005-0000-0000-0000400A0000}"/>
    <cellStyle name="선택영역의 가운데로 4 3" xfId="2675" xr:uid="{00000000-0005-0000-0000-0000410A0000}"/>
    <cellStyle name="선택영역의 가운데로 4 4" xfId="2676" xr:uid="{00000000-0005-0000-0000-0000420A0000}"/>
    <cellStyle name="선택영역의 가운데로 4 5" xfId="2677" xr:uid="{00000000-0005-0000-0000-0000430A0000}"/>
    <cellStyle name="선택영역의 가운데로 5" xfId="2678" xr:uid="{00000000-0005-0000-0000-0000440A0000}"/>
    <cellStyle name="선택영역의 가운데로 5 2" xfId="2679" xr:uid="{00000000-0005-0000-0000-0000450A0000}"/>
    <cellStyle name="선택영역의 가운데로 5 3" xfId="2680" xr:uid="{00000000-0005-0000-0000-0000460A0000}"/>
    <cellStyle name="선택영역의 가운데로 5 4" xfId="2681" xr:uid="{00000000-0005-0000-0000-0000470A0000}"/>
    <cellStyle name="선택영역의 가운데로 5 5" xfId="2682" xr:uid="{00000000-0005-0000-0000-0000480A0000}"/>
    <cellStyle name="선택영역의 가운데로 6" xfId="2683" xr:uid="{00000000-0005-0000-0000-0000490A0000}"/>
    <cellStyle name="선택영역의 가운데로 6 2" xfId="2684" xr:uid="{00000000-0005-0000-0000-00004A0A0000}"/>
    <cellStyle name="선택영역의 가운데로 6 3" xfId="2685" xr:uid="{00000000-0005-0000-0000-00004B0A0000}"/>
    <cellStyle name="선택영역의 가운데로 6 4" xfId="2686" xr:uid="{00000000-0005-0000-0000-00004C0A0000}"/>
    <cellStyle name="선택영역의 가운데로 6 5" xfId="2687" xr:uid="{00000000-0005-0000-0000-00004D0A0000}"/>
    <cellStyle name="선택영역의 가운데로 7" xfId="2688" xr:uid="{00000000-0005-0000-0000-00004E0A0000}"/>
    <cellStyle name="선택영역의 가운데로 7 2" xfId="2689" xr:uid="{00000000-0005-0000-0000-00004F0A0000}"/>
    <cellStyle name="선택영역의 가운데로 7 3" xfId="2690" xr:uid="{00000000-0005-0000-0000-0000500A0000}"/>
    <cellStyle name="선택영역의 가운데로 7 4" xfId="2691" xr:uid="{00000000-0005-0000-0000-0000510A0000}"/>
    <cellStyle name="선택영역의 가운데로 7 5" xfId="2692" xr:uid="{00000000-0005-0000-0000-0000520A0000}"/>
    <cellStyle name="선택영역의 가운데로 8" xfId="2693" xr:uid="{00000000-0005-0000-0000-0000530A0000}"/>
    <cellStyle name="선택영역의 가운데로 8 2" xfId="2694" xr:uid="{00000000-0005-0000-0000-0000540A0000}"/>
    <cellStyle name="선택영역의 가운데로 8 3" xfId="2695" xr:uid="{00000000-0005-0000-0000-0000550A0000}"/>
    <cellStyle name="선택영역의 가운데로 8 4" xfId="2696" xr:uid="{00000000-0005-0000-0000-0000560A0000}"/>
    <cellStyle name="선택영역의 가운데로 8 5" xfId="2697" xr:uid="{00000000-0005-0000-0000-0000570A0000}"/>
    <cellStyle name="선택영역의 가운데로 9" xfId="2698" xr:uid="{00000000-0005-0000-0000-0000580A0000}"/>
    <cellStyle name="선택영역의 가운데로 9 2" xfId="2699" xr:uid="{00000000-0005-0000-0000-0000590A0000}"/>
    <cellStyle name="선택영역의 가운데로 9 3" xfId="2700" xr:uid="{00000000-0005-0000-0000-00005A0A0000}"/>
    <cellStyle name="선택영역의 가운데로 9 4" xfId="2701" xr:uid="{00000000-0005-0000-0000-00005B0A0000}"/>
    <cellStyle name="선택영역의 가운데로 9 5" xfId="2702" xr:uid="{00000000-0005-0000-0000-00005C0A0000}"/>
    <cellStyle name="설명 텍스트 2" xfId="2703" xr:uid="{00000000-0005-0000-0000-00005D0A0000}"/>
    <cellStyle name="셀 확인 2" xfId="2704" xr:uid="{00000000-0005-0000-0000-00005E0A0000}"/>
    <cellStyle name="소제목" xfId="2705" xr:uid="{00000000-0005-0000-0000-00005F0A0000}"/>
    <cellStyle name="输入" xfId="2706" xr:uid="{00000000-0005-0000-0000-0000600A0000}"/>
    <cellStyle name="输入 10" xfId="2707" xr:uid="{00000000-0005-0000-0000-0000610A0000}"/>
    <cellStyle name="输入 10 2" xfId="2708" xr:uid="{00000000-0005-0000-0000-0000620A0000}"/>
    <cellStyle name="输入 10 2 2" xfId="5053" xr:uid="{00000000-0005-0000-0000-0000610A0000}"/>
    <cellStyle name="输入 10 3" xfId="2709" xr:uid="{00000000-0005-0000-0000-0000630A0000}"/>
    <cellStyle name="输入 10 3 2" xfId="5054" xr:uid="{00000000-0005-0000-0000-0000620A0000}"/>
    <cellStyle name="输入 10 4" xfId="2710" xr:uid="{00000000-0005-0000-0000-0000640A0000}"/>
    <cellStyle name="输入 10 4 2" xfId="5055" xr:uid="{00000000-0005-0000-0000-0000630A0000}"/>
    <cellStyle name="输入 10 5" xfId="2711" xr:uid="{00000000-0005-0000-0000-0000650A0000}"/>
    <cellStyle name="输入 10 5 2" xfId="5056" xr:uid="{00000000-0005-0000-0000-0000640A0000}"/>
    <cellStyle name="输入 10 6" xfId="5052" xr:uid="{00000000-0005-0000-0000-0000600A0000}"/>
    <cellStyle name="输入 11" xfId="2712" xr:uid="{00000000-0005-0000-0000-0000660A0000}"/>
    <cellStyle name="输入 11 2" xfId="2713" xr:uid="{00000000-0005-0000-0000-0000670A0000}"/>
    <cellStyle name="输入 11 2 2" xfId="5058" xr:uid="{00000000-0005-0000-0000-0000660A0000}"/>
    <cellStyle name="输入 11 3" xfId="2714" xr:uid="{00000000-0005-0000-0000-0000680A0000}"/>
    <cellStyle name="输入 11 3 2" xfId="5059" xr:uid="{00000000-0005-0000-0000-0000670A0000}"/>
    <cellStyle name="输入 11 4" xfId="2715" xr:uid="{00000000-0005-0000-0000-0000690A0000}"/>
    <cellStyle name="输入 11 4 2" xfId="5060" xr:uid="{00000000-0005-0000-0000-0000680A0000}"/>
    <cellStyle name="输入 11 5" xfId="2716" xr:uid="{00000000-0005-0000-0000-00006A0A0000}"/>
    <cellStyle name="输入 11 5 2" xfId="5061" xr:uid="{00000000-0005-0000-0000-0000690A0000}"/>
    <cellStyle name="输入 11 6" xfId="5057" xr:uid="{00000000-0005-0000-0000-0000650A0000}"/>
    <cellStyle name="输入 12" xfId="2717" xr:uid="{00000000-0005-0000-0000-00006B0A0000}"/>
    <cellStyle name="输入 12 2" xfId="2718" xr:uid="{00000000-0005-0000-0000-00006C0A0000}"/>
    <cellStyle name="输入 12 2 2" xfId="5063" xr:uid="{00000000-0005-0000-0000-00006B0A0000}"/>
    <cellStyle name="输入 12 3" xfId="2719" xr:uid="{00000000-0005-0000-0000-00006D0A0000}"/>
    <cellStyle name="输入 12 3 2" xfId="5064" xr:uid="{00000000-0005-0000-0000-00006C0A0000}"/>
    <cellStyle name="输入 12 4" xfId="2720" xr:uid="{00000000-0005-0000-0000-00006E0A0000}"/>
    <cellStyle name="输入 12 4 2" xfId="5065" xr:uid="{00000000-0005-0000-0000-00006D0A0000}"/>
    <cellStyle name="输入 12 5" xfId="2721" xr:uid="{00000000-0005-0000-0000-00006F0A0000}"/>
    <cellStyle name="输入 12 5 2" xfId="5066" xr:uid="{00000000-0005-0000-0000-00006E0A0000}"/>
    <cellStyle name="输入 12 6" xfId="5062" xr:uid="{00000000-0005-0000-0000-00006A0A0000}"/>
    <cellStyle name="输入 13" xfId="2722" xr:uid="{00000000-0005-0000-0000-0000700A0000}"/>
    <cellStyle name="输入 13 2" xfId="5067" xr:uid="{00000000-0005-0000-0000-00006F0A0000}"/>
    <cellStyle name="输入 14" xfId="2723" xr:uid="{00000000-0005-0000-0000-0000710A0000}"/>
    <cellStyle name="输入 14 2" xfId="5068" xr:uid="{00000000-0005-0000-0000-0000700A0000}"/>
    <cellStyle name="输入 15" xfId="2724" xr:uid="{00000000-0005-0000-0000-0000720A0000}"/>
    <cellStyle name="输入 15 2" xfId="5069" xr:uid="{00000000-0005-0000-0000-0000710A0000}"/>
    <cellStyle name="输入 16" xfId="2725" xr:uid="{00000000-0005-0000-0000-0000730A0000}"/>
    <cellStyle name="输入 16 2" xfId="5070" xr:uid="{00000000-0005-0000-0000-0000720A0000}"/>
    <cellStyle name="输入 17" xfId="5051" xr:uid="{00000000-0005-0000-0000-00005F0A0000}"/>
    <cellStyle name="输入 2" xfId="2726" xr:uid="{00000000-0005-0000-0000-0000740A0000}"/>
    <cellStyle name="输入 2 2" xfId="2727" xr:uid="{00000000-0005-0000-0000-0000750A0000}"/>
    <cellStyle name="输入 2 2 2" xfId="5072" xr:uid="{00000000-0005-0000-0000-0000740A0000}"/>
    <cellStyle name="输入 2 3" xfId="2728" xr:uid="{00000000-0005-0000-0000-0000760A0000}"/>
    <cellStyle name="输入 2 3 2" xfId="5073" xr:uid="{00000000-0005-0000-0000-0000750A0000}"/>
    <cellStyle name="输入 2 4" xfId="2729" xr:uid="{00000000-0005-0000-0000-0000770A0000}"/>
    <cellStyle name="输入 2 4 2" xfId="5074" xr:uid="{00000000-0005-0000-0000-0000760A0000}"/>
    <cellStyle name="输入 2 5" xfId="2730" xr:uid="{00000000-0005-0000-0000-0000780A0000}"/>
    <cellStyle name="输入 2 5 2" xfId="5075" xr:uid="{00000000-0005-0000-0000-0000770A0000}"/>
    <cellStyle name="输入 2 6" xfId="5071" xr:uid="{00000000-0005-0000-0000-0000730A0000}"/>
    <cellStyle name="输入 3" xfId="2731" xr:uid="{00000000-0005-0000-0000-0000790A0000}"/>
    <cellStyle name="输入 3 2" xfId="2732" xr:uid="{00000000-0005-0000-0000-00007A0A0000}"/>
    <cellStyle name="输入 3 2 2" xfId="5077" xr:uid="{00000000-0005-0000-0000-0000790A0000}"/>
    <cellStyle name="输入 3 3" xfId="2733" xr:uid="{00000000-0005-0000-0000-00007B0A0000}"/>
    <cellStyle name="输入 3 3 2" xfId="5078" xr:uid="{00000000-0005-0000-0000-00007A0A0000}"/>
    <cellStyle name="输入 3 4" xfId="2734" xr:uid="{00000000-0005-0000-0000-00007C0A0000}"/>
    <cellStyle name="输入 3 4 2" xfId="5079" xr:uid="{00000000-0005-0000-0000-00007B0A0000}"/>
    <cellStyle name="输入 3 5" xfId="2735" xr:uid="{00000000-0005-0000-0000-00007D0A0000}"/>
    <cellStyle name="输入 3 5 2" xfId="5080" xr:uid="{00000000-0005-0000-0000-00007C0A0000}"/>
    <cellStyle name="输入 3 6" xfId="5076" xr:uid="{00000000-0005-0000-0000-0000780A0000}"/>
    <cellStyle name="输入 4" xfId="2736" xr:uid="{00000000-0005-0000-0000-00007E0A0000}"/>
    <cellStyle name="输入 4 2" xfId="2737" xr:uid="{00000000-0005-0000-0000-00007F0A0000}"/>
    <cellStyle name="输入 4 2 2" xfId="5082" xr:uid="{00000000-0005-0000-0000-00007E0A0000}"/>
    <cellStyle name="输入 4 3" xfId="2738" xr:uid="{00000000-0005-0000-0000-0000800A0000}"/>
    <cellStyle name="输入 4 3 2" xfId="5083" xr:uid="{00000000-0005-0000-0000-00007F0A0000}"/>
    <cellStyle name="输入 4 4" xfId="2739" xr:uid="{00000000-0005-0000-0000-0000810A0000}"/>
    <cellStyle name="输入 4 4 2" xfId="5084" xr:uid="{00000000-0005-0000-0000-0000800A0000}"/>
    <cellStyle name="输入 4 5" xfId="2740" xr:uid="{00000000-0005-0000-0000-0000820A0000}"/>
    <cellStyle name="输入 4 5 2" xfId="5085" xr:uid="{00000000-0005-0000-0000-0000810A0000}"/>
    <cellStyle name="输入 4 6" xfId="5081" xr:uid="{00000000-0005-0000-0000-00007D0A0000}"/>
    <cellStyle name="输入 5" xfId="2741" xr:uid="{00000000-0005-0000-0000-0000830A0000}"/>
    <cellStyle name="输入 5 2" xfId="2742" xr:uid="{00000000-0005-0000-0000-0000840A0000}"/>
    <cellStyle name="输入 5 2 2" xfId="5087" xr:uid="{00000000-0005-0000-0000-0000830A0000}"/>
    <cellStyle name="输入 5 3" xfId="2743" xr:uid="{00000000-0005-0000-0000-0000850A0000}"/>
    <cellStyle name="输入 5 3 2" xfId="5088" xr:uid="{00000000-0005-0000-0000-0000840A0000}"/>
    <cellStyle name="输入 5 4" xfId="2744" xr:uid="{00000000-0005-0000-0000-0000860A0000}"/>
    <cellStyle name="输入 5 4 2" xfId="5089" xr:uid="{00000000-0005-0000-0000-0000850A0000}"/>
    <cellStyle name="输入 5 5" xfId="2745" xr:uid="{00000000-0005-0000-0000-0000870A0000}"/>
    <cellStyle name="输入 5 5 2" xfId="5090" xr:uid="{00000000-0005-0000-0000-0000860A0000}"/>
    <cellStyle name="输入 5 6" xfId="5086" xr:uid="{00000000-0005-0000-0000-0000820A0000}"/>
    <cellStyle name="输入 6" xfId="2746" xr:uid="{00000000-0005-0000-0000-0000880A0000}"/>
    <cellStyle name="输入 6 2" xfId="2747" xr:uid="{00000000-0005-0000-0000-0000890A0000}"/>
    <cellStyle name="输入 6 2 2" xfId="5092" xr:uid="{00000000-0005-0000-0000-0000880A0000}"/>
    <cellStyle name="输入 6 3" xfId="2748" xr:uid="{00000000-0005-0000-0000-00008A0A0000}"/>
    <cellStyle name="输入 6 3 2" xfId="5093" xr:uid="{00000000-0005-0000-0000-0000890A0000}"/>
    <cellStyle name="输入 6 4" xfId="2749" xr:uid="{00000000-0005-0000-0000-00008B0A0000}"/>
    <cellStyle name="输入 6 4 2" xfId="5094" xr:uid="{00000000-0005-0000-0000-00008A0A0000}"/>
    <cellStyle name="输入 6 5" xfId="2750" xr:uid="{00000000-0005-0000-0000-00008C0A0000}"/>
    <cellStyle name="输入 6 5 2" xfId="5095" xr:uid="{00000000-0005-0000-0000-00008B0A0000}"/>
    <cellStyle name="输入 6 6" xfId="5091" xr:uid="{00000000-0005-0000-0000-0000870A0000}"/>
    <cellStyle name="输入 7" xfId="2751" xr:uid="{00000000-0005-0000-0000-00008D0A0000}"/>
    <cellStyle name="输入 7 2" xfId="2752" xr:uid="{00000000-0005-0000-0000-00008E0A0000}"/>
    <cellStyle name="输入 7 2 2" xfId="5097" xr:uid="{00000000-0005-0000-0000-00008D0A0000}"/>
    <cellStyle name="输入 7 3" xfId="2753" xr:uid="{00000000-0005-0000-0000-00008F0A0000}"/>
    <cellStyle name="输入 7 3 2" xfId="5098" xr:uid="{00000000-0005-0000-0000-00008E0A0000}"/>
    <cellStyle name="输入 7 4" xfId="2754" xr:uid="{00000000-0005-0000-0000-0000900A0000}"/>
    <cellStyle name="输入 7 4 2" xfId="5099" xr:uid="{00000000-0005-0000-0000-00008F0A0000}"/>
    <cellStyle name="输入 7 5" xfId="2755" xr:uid="{00000000-0005-0000-0000-0000910A0000}"/>
    <cellStyle name="输入 7 5 2" xfId="5100" xr:uid="{00000000-0005-0000-0000-0000900A0000}"/>
    <cellStyle name="输入 7 6" xfId="5096" xr:uid="{00000000-0005-0000-0000-00008C0A0000}"/>
    <cellStyle name="输入 8" xfId="2756" xr:uid="{00000000-0005-0000-0000-0000920A0000}"/>
    <cellStyle name="输入 8 2" xfId="2757" xr:uid="{00000000-0005-0000-0000-0000930A0000}"/>
    <cellStyle name="输入 8 2 2" xfId="5102" xr:uid="{00000000-0005-0000-0000-0000920A0000}"/>
    <cellStyle name="输入 8 3" xfId="2758" xr:uid="{00000000-0005-0000-0000-0000940A0000}"/>
    <cellStyle name="输入 8 3 2" xfId="5103" xr:uid="{00000000-0005-0000-0000-0000930A0000}"/>
    <cellStyle name="输入 8 4" xfId="2759" xr:uid="{00000000-0005-0000-0000-0000950A0000}"/>
    <cellStyle name="输入 8 4 2" xfId="5104" xr:uid="{00000000-0005-0000-0000-0000940A0000}"/>
    <cellStyle name="输入 8 5" xfId="2760" xr:uid="{00000000-0005-0000-0000-0000960A0000}"/>
    <cellStyle name="输入 8 5 2" xfId="5105" xr:uid="{00000000-0005-0000-0000-0000950A0000}"/>
    <cellStyle name="输入 8 6" xfId="5101" xr:uid="{00000000-0005-0000-0000-0000910A0000}"/>
    <cellStyle name="输入 9" xfId="2761" xr:uid="{00000000-0005-0000-0000-0000970A0000}"/>
    <cellStyle name="输入 9 2" xfId="2762" xr:uid="{00000000-0005-0000-0000-0000980A0000}"/>
    <cellStyle name="输入 9 2 2" xfId="5107" xr:uid="{00000000-0005-0000-0000-0000970A0000}"/>
    <cellStyle name="输入 9 3" xfId="2763" xr:uid="{00000000-0005-0000-0000-0000990A0000}"/>
    <cellStyle name="输入 9 3 2" xfId="5108" xr:uid="{00000000-0005-0000-0000-0000980A0000}"/>
    <cellStyle name="输入 9 4" xfId="2764" xr:uid="{00000000-0005-0000-0000-00009A0A0000}"/>
    <cellStyle name="输入 9 4 2" xfId="5109" xr:uid="{00000000-0005-0000-0000-0000990A0000}"/>
    <cellStyle name="输入 9 5" xfId="2765" xr:uid="{00000000-0005-0000-0000-00009B0A0000}"/>
    <cellStyle name="输入 9 5 2" xfId="5110" xr:uid="{00000000-0005-0000-0000-00009A0A0000}"/>
    <cellStyle name="输入 9 6" xfId="5106" xr:uid="{00000000-0005-0000-0000-0000960A0000}"/>
    <cellStyle name="输出" xfId="2766" xr:uid="{00000000-0005-0000-0000-00009C0A0000}"/>
    <cellStyle name="输出 10" xfId="2767" xr:uid="{00000000-0005-0000-0000-00009D0A0000}"/>
    <cellStyle name="输出 10 2" xfId="2768" xr:uid="{00000000-0005-0000-0000-00009E0A0000}"/>
    <cellStyle name="输出 10 2 2" xfId="5113" xr:uid="{00000000-0005-0000-0000-00009D0A0000}"/>
    <cellStyle name="输出 10 3" xfId="2769" xr:uid="{00000000-0005-0000-0000-00009F0A0000}"/>
    <cellStyle name="输出 10 3 2" xfId="5114" xr:uid="{00000000-0005-0000-0000-00009E0A0000}"/>
    <cellStyle name="输出 10 4" xfId="2770" xr:uid="{00000000-0005-0000-0000-0000A00A0000}"/>
    <cellStyle name="输出 10 4 2" xfId="5115" xr:uid="{00000000-0005-0000-0000-00009F0A0000}"/>
    <cellStyle name="输出 10 5" xfId="2771" xr:uid="{00000000-0005-0000-0000-0000A10A0000}"/>
    <cellStyle name="输出 10 5 2" xfId="5116" xr:uid="{00000000-0005-0000-0000-0000A00A0000}"/>
    <cellStyle name="输出 10 6" xfId="5112" xr:uid="{00000000-0005-0000-0000-00009C0A0000}"/>
    <cellStyle name="输出 11" xfId="2772" xr:uid="{00000000-0005-0000-0000-0000A20A0000}"/>
    <cellStyle name="输出 11 2" xfId="2773" xr:uid="{00000000-0005-0000-0000-0000A30A0000}"/>
    <cellStyle name="输出 11 2 2" xfId="5118" xr:uid="{00000000-0005-0000-0000-0000A20A0000}"/>
    <cellStyle name="输出 11 3" xfId="2774" xr:uid="{00000000-0005-0000-0000-0000A40A0000}"/>
    <cellStyle name="输出 11 3 2" xfId="5119" xr:uid="{00000000-0005-0000-0000-0000A30A0000}"/>
    <cellStyle name="输出 11 4" xfId="2775" xr:uid="{00000000-0005-0000-0000-0000A50A0000}"/>
    <cellStyle name="输出 11 4 2" xfId="5120" xr:uid="{00000000-0005-0000-0000-0000A40A0000}"/>
    <cellStyle name="输出 11 5" xfId="2776" xr:uid="{00000000-0005-0000-0000-0000A60A0000}"/>
    <cellStyle name="输出 11 5 2" xfId="5121" xr:uid="{00000000-0005-0000-0000-0000A50A0000}"/>
    <cellStyle name="输出 11 6" xfId="5117" xr:uid="{00000000-0005-0000-0000-0000A10A0000}"/>
    <cellStyle name="输出 12" xfId="2777" xr:uid="{00000000-0005-0000-0000-0000A70A0000}"/>
    <cellStyle name="输出 12 2" xfId="2778" xr:uid="{00000000-0005-0000-0000-0000A80A0000}"/>
    <cellStyle name="输出 12 2 2" xfId="5123" xr:uid="{00000000-0005-0000-0000-0000A70A0000}"/>
    <cellStyle name="输出 12 3" xfId="2779" xr:uid="{00000000-0005-0000-0000-0000A90A0000}"/>
    <cellStyle name="输出 12 3 2" xfId="5124" xr:uid="{00000000-0005-0000-0000-0000A80A0000}"/>
    <cellStyle name="输出 12 4" xfId="2780" xr:uid="{00000000-0005-0000-0000-0000AA0A0000}"/>
    <cellStyle name="输出 12 4 2" xfId="5125" xr:uid="{00000000-0005-0000-0000-0000A90A0000}"/>
    <cellStyle name="输出 12 5" xfId="2781" xr:uid="{00000000-0005-0000-0000-0000AB0A0000}"/>
    <cellStyle name="输出 12 5 2" xfId="5126" xr:uid="{00000000-0005-0000-0000-0000AA0A0000}"/>
    <cellStyle name="输出 12 6" xfId="5122" xr:uid="{00000000-0005-0000-0000-0000A60A0000}"/>
    <cellStyle name="输出 13" xfId="2782" xr:uid="{00000000-0005-0000-0000-0000AC0A0000}"/>
    <cellStyle name="输出 13 2" xfId="5127" xr:uid="{00000000-0005-0000-0000-0000AB0A0000}"/>
    <cellStyle name="输出 14" xfId="2783" xr:uid="{00000000-0005-0000-0000-0000AD0A0000}"/>
    <cellStyle name="输出 14 2" xfId="5128" xr:uid="{00000000-0005-0000-0000-0000AC0A0000}"/>
    <cellStyle name="输出 15" xfId="2784" xr:uid="{00000000-0005-0000-0000-0000AE0A0000}"/>
    <cellStyle name="输出 15 2" xfId="5129" xr:uid="{00000000-0005-0000-0000-0000AD0A0000}"/>
    <cellStyle name="输出 16" xfId="2785" xr:uid="{00000000-0005-0000-0000-0000AF0A0000}"/>
    <cellStyle name="输出 16 2" xfId="5130" xr:uid="{00000000-0005-0000-0000-0000AE0A0000}"/>
    <cellStyle name="输出 17" xfId="5111" xr:uid="{00000000-0005-0000-0000-00009B0A0000}"/>
    <cellStyle name="输出 2" xfId="2786" xr:uid="{00000000-0005-0000-0000-0000B00A0000}"/>
    <cellStyle name="输出 2 2" xfId="2787" xr:uid="{00000000-0005-0000-0000-0000B10A0000}"/>
    <cellStyle name="输出 2 2 2" xfId="5132" xr:uid="{00000000-0005-0000-0000-0000B00A0000}"/>
    <cellStyle name="输出 2 3" xfId="2788" xr:uid="{00000000-0005-0000-0000-0000B20A0000}"/>
    <cellStyle name="输出 2 3 2" xfId="5133" xr:uid="{00000000-0005-0000-0000-0000B10A0000}"/>
    <cellStyle name="输出 2 4" xfId="2789" xr:uid="{00000000-0005-0000-0000-0000B30A0000}"/>
    <cellStyle name="输出 2 4 2" xfId="5134" xr:uid="{00000000-0005-0000-0000-0000B20A0000}"/>
    <cellStyle name="输出 2 5" xfId="2790" xr:uid="{00000000-0005-0000-0000-0000B40A0000}"/>
    <cellStyle name="输出 2 5 2" xfId="5135" xr:uid="{00000000-0005-0000-0000-0000B30A0000}"/>
    <cellStyle name="输出 2 6" xfId="5131" xr:uid="{00000000-0005-0000-0000-0000AF0A0000}"/>
    <cellStyle name="输出 3" xfId="2791" xr:uid="{00000000-0005-0000-0000-0000B50A0000}"/>
    <cellStyle name="输出 3 2" xfId="2792" xr:uid="{00000000-0005-0000-0000-0000B60A0000}"/>
    <cellStyle name="输出 3 2 2" xfId="5137" xr:uid="{00000000-0005-0000-0000-0000B50A0000}"/>
    <cellStyle name="输出 3 3" xfId="2793" xr:uid="{00000000-0005-0000-0000-0000B70A0000}"/>
    <cellStyle name="输出 3 3 2" xfId="5138" xr:uid="{00000000-0005-0000-0000-0000B60A0000}"/>
    <cellStyle name="输出 3 4" xfId="2794" xr:uid="{00000000-0005-0000-0000-0000B80A0000}"/>
    <cellStyle name="输出 3 4 2" xfId="5139" xr:uid="{00000000-0005-0000-0000-0000B70A0000}"/>
    <cellStyle name="输出 3 5" xfId="2795" xr:uid="{00000000-0005-0000-0000-0000B90A0000}"/>
    <cellStyle name="输出 3 5 2" xfId="5140" xr:uid="{00000000-0005-0000-0000-0000B80A0000}"/>
    <cellStyle name="输出 3 6" xfId="5136" xr:uid="{00000000-0005-0000-0000-0000B40A0000}"/>
    <cellStyle name="输出 4" xfId="2796" xr:uid="{00000000-0005-0000-0000-0000BA0A0000}"/>
    <cellStyle name="输出 4 2" xfId="2797" xr:uid="{00000000-0005-0000-0000-0000BB0A0000}"/>
    <cellStyle name="输出 4 2 2" xfId="5142" xr:uid="{00000000-0005-0000-0000-0000BA0A0000}"/>
    <cellStyle name="输出 4 3" xfId="2798" xr:uid="{00000000-0005-0000-0000-0000BC0A0000}"/>
    <cellStyle name="输出 4 3 2" xfId="5143" xr:uid="{00000000-0005-0000-0000-0000BB0A0000}"/>
    <cellStyle name="输出 4 4" xfId="2799" xr:uid="{00000000-0005-0000-0000-0000BD0A0000}"/>
    <cellStyle name="输出 4 4 2" xfId="5144" xr:uid="{00000000-0005-0000-0000-0000BC0A0000}"/>
    <cellStyle name="输出 4 5" xfId="2800" xr:uid="{00000000-0005-0000-0000-0000BE0A0000}"/>
    <cellStyle name="输出 4 5 2" xfId="5145" xr:uid="{00000000-0005-0000-0000-0000BD0A0000}"/>
    <cellStyle name="输出 4 6" xfId="5141" xr:uid="{00000000-0005-0000-0000-0000B90A0000}"/>
    <cellStyle name="输出 5" xfId="2801" xr:uid="{00000000-0005-0000-0000-0000BF0A0000}"/>
    <cellStyle name="输出 5 2" xfId="2802" xr:uid="{00000000-0005-0000-0000-0000C00A0000}"/>
    <cellStyle name="输出 5 2 2" xfId="5147" xr:uid="{00000000-0005-0000-0000-0000BF0A0000}"/>
    <cellStyle name="输出 5 3" xfId="2803" xr:uid="{00000000-0005-0000-0000-0000C10A0000}"/>
    <cellStyle name="输出 5 3 2" xfId="5148" xr:uid="{00000000-0005-0000-0000-0000C00A0000}"/>
    <cellStyle name="输出 5 4" xfId="2804" xr:uid="{00000000-0005-0000-0000-0000C20A0000}"/>
    <cellStyle name="输出 5 4 2" xfId="5149" xr:uid="{00000000-0005-0000-0000-0000C10A0000}"/>
    <cellStyle name="输出 5 5" xfId="2805" xr:uid="{00000000-0005-0000-0000-0000C30A0000}"/>
    <cellStyle name="输出 5 5 2" xfId="5150" xr:uid="{00000000-0005-0000-0000-0000C20A0000}"/>
    <cellStyle name="输出 5 6" xfId="5146" xr:uid="{00000000-0005-0000-0000-0000BE0A0000}"/>
    <cellStyle name="输出 6" xfId="2806" xr:uid="{00000000-0005-0000-0000-0000C40A0000}"/>
    <cellStyle name="输出 6 2" xfId="2807" xr:uid="{00000000-0005-0000-0000-0000C50A0000}"/>
    <cellStyle name="输出 6 2 2" xfId="5152" xr:uid="{00000000-0005-0000-0000-0000C40A0000}"/>
    <cellStyle name="输出 6 3" xfId="2808" xr:uid="{00000000-0005-0000-0000-0000C60A0000}"/>
    <cellStyle name="输出 6 3 2" xfId="5153" xr:uid="{00000000-0005-0000-0000-0000C50A0000}"/>
    <cellStyle name="输出 6 4" xfId="2809" xr:uid="{00000000-0005-0000-0000-0000C70A0000}"/>
    <cellStyle name="输出 6 4 2" xfId="5154" xr:uid="{00000000-0005-0000-0000-0000C60A0000}"/>
    <cellStyle name="输出 6 5" xfId="2810" xr:uid="{00000000-0005-0000-0000-0000C80A0000}"/>
    <cellStyle name="输出 6 5 2" xfId="5155" xr:uid="{00000000-0005-0000-0000-0000C70A0000}"/>
    <cellStyle name="输出 6 6" xfId="5151" xr:uid="{00000000-0005-0000-0000-0000C30A0000}"/>
    <cellStyle name="输出 7" xfId="2811" xr:uid="{00000000-0005-0000-0000-0000C90A0000}"/>
    <cellStyle name="输出 7 2" xfId="2812" xr:uid="{00000000-0005-0000-0000-0000CA0A0000}"/>
    <cellStyle name="输出 7 2 2" xfId="5157" xr:uid="{00000000-0005-0000-0000-0000C90A0000}"/>
    <cellStyle name="输出 7 3" xfId="2813" xr:uid="{00000000-0005-0000-0000-0000CB0A0000}"/>
    <cellStyle name="输出 7 3 2" xfId="5158" xr:uid="{00000000-0005-0000-0000-0000CA0A0000}"/>
    <cellStyle name="输出 7 4" xfId="2814" xr:uid="{00000000-0005-0000-0000-0000CC0A0000}"/>
    <cellStyle name="输出 7 4 2" xfId="5159" xr:uid="{00000000-0005-0000-0000-0000CB0A0000}"/>
    <cellStyle name="输出 7 5" xfId="2815" xr:uid="{00000000-0005-0000-0000-0000CD0A0000}"/>
    <cellStyle name="输出 7 5 2" xfId="5160" xr:uid="{00000000-0005-0000-0000-0000CC0A0000}"/>
    <cellStyle name="输出 7 6" xfId="5156" xr:uid="{00000000-0005-0000-0000-0000C80A0000}"/>
    <cellStyle name="输出 8" xfId="2816" xr:uid="{00000000-0005-0000-0000-0000CE0A0000}"/>
    <cellStyle name="输出 8 2" xfId="2817" xr:uid="{00000000-0005-0000-0000-0000CF0A0000}"/>
    <cellStyle name="输出 8 2 2" xfId="5162" xr:uid="{00000000-0005-0000-0000-0000CE0A0000}"/>
    <cellStyle name="输出 8 3" xfId="2818" xr:uid="{00000000-0005-0000-0000-0000D00A0000}"/>
    <cellStyle name="输出 8 3 2" xfId="5163" xr:uid="{00000000-0005-0000-0000-0000CF0A0000}"/>
    <cellStyle name="输出 8 4" xfId="2819" xr:uid="{00000000-0005-0000-0000-0000D10A0000}"/>
    <cellStyle name="输出 8 4 2" xfId="5164" xr:uid="{00000000-0005-0000-0000-0000D00A0000}"/>
    <cellStyle name="输出 8 5" xfId="2820" xr:uid="{00000000-0005-0000-0000-0000D20A0000}"/>
    <cellStyle name="输出 8 5 2" xfId="5165" xr:uid="{00000000-0005-0000-0000-0000D10A0000}"/>
    <cellStyle name="输出 8 6" xfId="5161" xr:uid="{00000000-0005-0000-0000-0000CD0A0000}"/>
    <cellStyle name="输出 9" xfId="2821" xr:uid="{00000000-0005-0000-0000-0000D30A0000}"/>
    <cellStyle name="输出 9 2" xfId="2822" xr:uid="{00000000-0005-0000-0000-0000D40A0000}"/>
    <cellStyle name="输出 9 2 2" xfId="5167" xr:uid="{00000000-0005-0000-0000-0000D30A0000}"/>
    <cellStyle name="输出 9 3" xfId="2823" xr:uid="{00000000-0005-0000-0000-0000D50A0000}"/>
    <cellStyle name="输出 9 3 2" xfId="5168" xr:uid="{00000000-0005-0000-0000-0000D40A0000}"/>
    <cellStyle name="输出 9 4" xfId="2824" xr:uid="{00000000-0005-0000-0000-0000D60A0000}"/>
    <cellStyle name="输出 9 4 2" xfId="5169" xr:uid="{00000000-0005-0000-0000-0000D50A0000}"/>
    <cellStyle name="输出 9 5" xfId="2825" xr:uid="{00000000-0005-0000-0000-0000D70A0000}"/>
    <cellStyle name="输出 9 5 2" xfId="5170" xr:uid="{00000000-0005-0000-0000-0000D60A0000}"/>
    <cellStyle name="输出 9 6" xfId="5166" xr:uid="{00000000-0005-0000-0000-0000D20A0000}"/>
    <cellStyle name="숫자" xfId="287" xr:uid="{00000000-0005-0000-0000-0000D80A0000}"/>
    <cellStyle name="숫자 10" xfId="2826" xr:uid="{00000000-0005-0000-0000-0000D90A0000}"/>
    <cellStyle name="숫자 10 2" xfId="5171" xr:uid="{00000000-0005-0000-0000-0000D80A0000}"/>
    <cellStyle name="숫자 11" xfId="2827" xr:uid="{00000000-0005-0000-0000-0000DA0A0000}"/>
    <cellStyle name="숫자 11 2" xfId="5172" xr:uid="{00000000-0005-0000-0000-0000D90A0000}"/>
    <cellStyle name="숫자 12" xfId="2828" xr:uid="{00000000-0005-0000-0000-0000DB0A0000}"/>
    <cellStyle name="숫자 12 2" xfId="5173" xr:uid="{00000000-0005-0000-0000-0000DA0A0000}"/>
    <cellStyle name="숫자 13" xfId="2829" xr:uid="{00000000-0005-0000-0000-0000DC0A0000}"/>
    <cellStyle name="숫자 13 2" xfId="5174" xr:uid="{00000000-0005-0000-0000-0000DB0A0000}"/>
    <cellStyle name="숫자 14" xfId="3538" xr:uid="{00000000-0005-0000-0000-0000D70A0000}"/>
    <cellStyle name="숫자 2" xfId="2830" xr:uid="{00000000-0005-0000-0000-0000DD0A0000}"/>
    <cellStyle name="숫자 2 2" xfId="2831" xr:uid="{00000000-0005-0000-0000-0000DE0A0000}"/>
    <cellStyle name="숫자 2 2 2" xfId="5176" xr:uid="{00000000-0005-0000-0000-0000DD0A0000}"/>
    <cellStyle name="숫자 2 3" xfId="2832" xr:uid="{00000000-0005-0000-0000-0000DF0A0000}"/>
    <cellStyle name="숫자 2 3 2" xfId="5177" xr:uid="{00000000-0005-0000-0000-0000DE0A0000}"/>
    <cellStyle name="숫자 2 4" xfId="2833" xr:uid="{00000000-0005-0000-0000-0000E00A0000}"/>
    <cellStyle name="숫자 2 4 2" xfId="5178" xr:uid="{00000000-0005-0000-0000-0000DF0A0000}"/>
    <cellStyle name="숫자 2 5" xfId="2834" xr:uid="{00000000-0005-0000-0000-0000E10A0000}"/>
    <cellStyle name="숫자 2 5 2" xfId="5179" xr:uid="{00000000-0005-0000-0000-0000E00A0000}"/>
    <cellStyle name="숫자 2 6" xfId="5175" xr:uid="{00000000-0005-0000-0000-0000DC0A0000}"/>
    <cellStyle name="숫자 3" xfId="2835" xr:uid="{00000000-0005-0000-0000-0000E20A0000}"/>
    <cellStyle name="숫자 3 2" xfId="2836" xr:uid="{00000000-0005-0000-0000-0000E30A0000}"/>
    <cellStyle name="숫자 3 2 2" xfId="5181" xr:uid="{00000000-0005-0000-0000-0000E20A0000}"/>
    <cellStyle name="숫자 3 3" xfId="2837" xr:uid="{00000000-0005-0000-0000-0000E40A0000}"/>
    <cellStyle name="숫자 3 3 2" xfId="5182" xr:uid="{00000000-0005-0000-0000-0000E30A0000}"/>
    <cellStyle name="숫자 3 4" xfId="2838" xr:uid="{00000000-0005-0000-0000-0000E50A0000}"/>
    <cellStyle name="숫자 3 4 2" xfId="5183" xr:uid="{00000000-0005-0000-0000-0000E40A0000}"/>
    <cellStyle name="숫자 3 5" xfId="2839" xr:uid="{00000000-0005-0000-0000-0000E60A0000}"/>
    <cellStyle name="숫자 3 5 2" xfId="5184" xr:uid="{00000000-0005-0000-0000-0000E50A0000}"/>
    <cellStyle name="숫자 3 6" xfId="5180" xr:uid="{00000000-0005-0000-0000-0000E10A0000}"/>
    <cellStyle name="숫자 4" xfId="2840" xr:uid="{00000000-0005-0000-0000-0000E70A0000}"/>
    <cellStyle name="숫자 4 2" xfId="2841" xr:uid="{00000000-0005-0000-0000-0000E80A0000}"/>
    <cellStyle name="숫자 4 2 2" xfId="5186" xr:uid="{00000000-0005-0000-0000-0000E70A0000}"/>
    <cellStyle name="숫자 4 3" xfId="2842" xr:uid="{00000000-0005-0000-0000-0000E90A0000}"/>
    <cellStyle name="숫자 4 3 2" xfId="5187" xr:uid="{00000000-0005-0000-0000-0000E80A0000}"/>
    <cellStyle name="숫자 4 4" xfId="2843" xr:uid="{00000000-0005-0000-0000-0000EA0A0000}"/>
    <cellStyle name="숫자 4 4 2" xfId="5188" xr:uid="{00000000-0005-0000-0000-0000E90A0000}"/>
    <cellStyle name="숫자 4 5" xfId="2844" xr:uid="{00000000-0005-0000-0000-0000EB0A0000}"/>
    <cellStyle name="숫자 4 5 2" xfId="5189" xr:uid="{00000000-0005-0000-0000-0000EA0A0000}"/>
    <cellStyle name="숫자 4 6" xfId="5185" xr:uid="{00000000-0005-0000-0000-0000E60A0000}"/>
    <cellStyle name="숫자 5" xfId="2845" xr:uid="{00000000-0005-0000-0000-0000EC0A0000}"/>
    <cellStyle name="숫자 5 2" xfId="2846" xr:uid="{00000000-0005-0000-0000-0000ED0A0000}"/>
    <cellStyle name="숫자 5 2 2" xfId="5191" xr:uid="{00000000-0005-0000-0000-0000EC0A0000}"/>
    <cellStyle name="숫자 5 3" xfId="2847" xr:uid="{00000000-0005-0000-0000-0000EE0A0000}"/>
    <cellStyle name="숫자 5 3 2" xfId="5192" xr:uid="{00000000-0005-0000-0000-0000ED0A0000}"/>
    <cellStyle name="숫자 5 4" xfId="2848" xr:uid="{00000000-0005-0000-0000-0000EF0A0000}"/>
    <cellStyle name="숫자 5 4 2" xfId="5193" xr:uid="{00000000-0005-0000-0000-0000EE0A0000}"/>
    <cellStyle name="숫자 5 5" xfId="2849" xr:uid="{00000000-0005-0000-0000-0000F00A0000}"/>
    <cellStyle name="숫자 5 5 2" xfId="5194" xr:uid="{00000000-0005-0000-0000-0000EF0A0000}"/>
    <cellStyle name="숫자 5 6" xfId="5190" xr:uid="{00000000-0005-0000-0000-0000EB0A0000}"/>
    <cellStyle name="숫자 6" xfId="2850" xr:uid="{00000000-0005-0000-0000-0000F10A0000}"/>
    <cellStyle name="숫자 6 2" xfId="2851" xr:uid="{00000000-0005-0000-0000-0000F20A0000}"/>
    <cellStyle name="숫자 6 2 2" xfId="5196" xr:uid="{00000000-0005-0000-0000-0000F10A0000}"/>
    <cellStyle name="숫자 6 3" xfId="2852" xr:uid="{00000000-0005-0000-0000-0000F30A0000}"/>
    <cellStyle name="숫자 6 3 2" xfId="5197" xr:uid="{00000000-0005-0000-0000-0000F20A0000}"/>
    <cellStyle name="숫자 6 4" xfId="2853" xr:uid="{00000000-0005-0000-0000-0000F40A0000}"/>
    <cellStyle name="숫자 6 4 2" xfId="5198" xr:uid="{00000000-0005-0000-0000-0000F30A0000}"/>
    <cellStyle name="숫자 6 5" xfId="2854" xr:uid="{00000000-0005-0000-0000-0000F50A0000}"/>
    <cellStyle name="숫자 6 5 2" xfId="5199" xr:uid="{00000000-0005-0000-0000-0000F40A0000}"/>
    <cellStyle name="숫자 6 6" xfId="5195" xr:uid="{00000000-0005-0000-0000-0000F00A0000}"/>
    <cellStyle name="숫자 7" xfId="2855" xr:uid="{00000000-0005-0000-0000-0000F60A0000}"/>
    <cellStyle name="숫자 7 2" xfId="2856" xr:uid="{00000000-0005-0000-0000-0000F70A0000}"/>
    <cellStyle name="숫자 7 2 2" xfId="5201" xr:uid="{00000000-0005-0000-0000-0000F60A0000}"/>
    <cellStyle name="숫자 7 3" xfId="2857" xr:uid="{00000000-0005-0000-0000-0000F80A0000}"/>
    <cellStyle name="숫자 7 3 2" xfId="5202" xr:uid="{00000000-0005-0000-0000-0000F70A0000}"/>
    <cellStyle name="숫자 7 4" xfId="2858" xr:uid="{00000000-0005-0000-0000-0000F90A0000}"/>
    <cellStyle name="숫자 7 4 2" xfId="5203" xr:uid="{00000000-0005-0000-0000-0000F80A0000}"/>
    <cellStyle name="숫자 7 5" xfId="2859" xr:uid="{00000000-0005-0000-0000-0000FA0A0000}"/>
    <cellStyle name="숫자 7 5 2" xfId="5204" xr:uid="{00000000-0005-0000-0000-0000F90A0000}"/>
    <cellStyle name="숫자 7 6" xfId="5200" xr:uid="{00000000-0005-0000-0000-0000F50A0000}"/>
    <cellStyle name="숫자 8" xfId="2860" xr:uid="{00000000-0005-0000-0000-0000FB0A0000}"/>
    <cellStyle name="숫자 8 2" xfId="2861" xr:uid="{00000000-0005-0000-0000-0000FC0A0000}"/>
    <cellStyle name="숫자 8 2 2" xfId="5206" xr:uid="{00000000-0005-0000-0000-0000FB0A0000}"/>
    <cellStyle name="숫자 8 3" xfId="2862" xr:uid="{00000000-0005-0000-0000-0000FD0A0000}"/>
    <cellStyle name="숫자 8 3 2" xfId="5207" xr:uid="{00000000-0005-0000-0000-0000FC0A0000}"/>
    <cellStyle name="숫자 8 4" xfId="2863" xr:uid="{00000000-0005-0000-0000-0000FE0A0000}"/>
    <cellStyle name="숫자 8 4 2" xfId="5208" xr:uid="{00000000-0005-0000-0000-0000FD0A0000}"/>
    <cellStyle name="숫자 8 5" xfId="2864" xr:uid="{00000000-0005-0000-0000-0000FF0A0000}"/>
    <cellStyle name="숫자 8 5 2" xfId="5209" xr:uid="{00000000-0005-0000-0000-0000FE0A0000}"/>
    <cellStyle name="숫자 8 6" xfId="5205" xr:uid="{00000000-0005-0000-0000-0000FA0A0000}"/>
    <cellStyle name="숫자 9" xfId="2865" xr:uid="{00000000-0005-0000-0000-0000000B0000}"/>
    <cellStyle name="숫자 9 2" xfId="2866" xr:uid="{00000000-0005-0000-0000-0000010B0000}"/>
    <cellStyle name="숫자 9 2 2" xfId="5211" xr:uid="{00000000-0005-0000-0000-0000000B0000}"/>
    <cellStyle name="숫자 9 3" xfId="2867" xr:uid="{00000000-0005-0000-0000-0000020B0000}"/>
    <cellStyle name="숫자 9 3 2" xfId="5212" xr:uid="{00000000-0005-0000-0000-0000010B0000}"/>
    <cellStyle name="숫자 9 4" xfId="2868" xr:uid="{00000000-0005-0000-0000-0000030B0000}"/>
    <cellStyle name="숫자 9 4 2" xfId="5213" xr:uid="{00000000-0005-0000-0000-0000020B0000}"/>
    <cellStyle name="숫자 9 5" xfId="2869" xr:uid="{00000000-0005-0000-0000-0000040B0000}"/>
    <cellStyle name="숫자 9 5 2" xfId="5214" xr:uid="{00000000-0005-0000-0000-0000030B0000}"/>
    <cellStyle name="숫자 9 6" xfId="5210" xr:uid="{00000000-0005-0000-0000-0000FF0A0000}"/>
    <cellStyle name="숫자(R)" xfId="2870" xr:uid="{00000000-0005-0000-0000-0000050B0000}"/>
    <cellStyle name="숫자_1_임금인상" xfId="2871" xr:uid="{00000000-0005-0000-0000-0000060B0000}"/>
    <cellStyle name="쉼표 [0]" xfId="5734" builtinId="6"/>
    <cellStyle name="쉼표 [0] 10" xfId="2872" xr:uid="{00000000-0005-0000-0000-0000080B0000}"/>
    <cellStyle name="쉼표 [0] 10 2" xfId="2873" xr:uid="{00000000-0005-0000-0000-0000090B0000}"/>
    <cellStyle name="쉼표 [0] 10 2 2" xfId="5216" xr:uid="{00000000-0005-0000-0000-0000070B0000}"/>
    <cellStyle name="쉼표 [0] 10 3" xfId="2874" xr:uid="{00000000-0005-0000-0000-00000A0B0000}"/>
    <cellStyle name="쉼표 [0] 10 3 2" xfId="5217" xr:uid="{00000000-0005-0000-0000-0000080B0000}"/>
    <cellStyle name="쉼표 [0] 10 4" xfId="5215" xr:uid="{00000000-0005-0000-0000-0000060B0000}"/>
    <cellStyle name="쉼표 [0] 11" xfId="2875" xr:uid="{00000000-0005-0000-0000-00000B0B0000}"/>
    <cellStyle name="쉼표 [0] 11 2" xfId="5218" xr:uid="{00000000-0005-0000-0000-0000090B0000}"/>
    <cellStyle name="쉼표 [0] 12" xfId="2876" xr:uid="{00000000-0005-0000-0000-00000C0B0000}"/>
    <cellStyle name="쉼표 [0] 12 2" xfId="5219" xr:uid="{00000000-0005-0000-0000-00000A0B0000}"/>
    <cellStyle name="쉼표 [0] 13" xfId="3532" xr:uid="{F25F877B-E4B7-4C48-B332-27A0A7E5594A}"/>
    <cellStyle name="쉼표 [0] 2" xfId="288" xr:uid="{00000000-0005-0000-0000-00000D0B0000}"/>
    <cellStyle name="쉼표 [0] 2 2" xfId="2877" xr:uid="{00000000-0005-0000-0000-00000E0B0000}"/>
    <cellStyle name="쉼표 [0] 2 2 2" xfId="2878" xr:uid="{00000000-0005-0000-0000-00000F0B0000}"/>
    <cellStyle name="쉼표 [0] 2 2 2 2" xfId="5221" xr:uid="{00000000-0005-0000-0000-00000D0B0000}"/>
    <cellStyle name="쉼표 [0] 2 2 3" xfId="2879" xr:uid="{00000000-0005-0000-0000-0000100B0000}"/>
    <cellStyle name="쉼표 [0] 2 2 3 2" xfId="5222" xr:uid="{00000000-0005-0000-0000-00000E0B0000}"/>
    <cellStyle name="쉼표 [0] 2 2 4" xfId="5220" xr:uid="{00000000-0005-0000-0000-00000C0B0000}"/>
    <cellStyle name="쉼표 [0] 2 3" xfId="2880" xr:uid="{00000000-0005-0000-0000-0000110B0000}"/>
    <cellStyle name="쉼표 [0] 2 3 2" xfId="2881" xr:uid="{00000000-0005-0000-0000-0000120B0000}"/>
    <cellStyle name="쉼표 [0] 2 3 2 2" xfId="5224" xr:uid="{00000000-0005-0000-0000-0000100B0000}"/>
    <cellStyle name="쉼표 [0] 2 3 3" xfId="5223" xr:uid="{00000000-0005-0000-0000-00000F0B0000}"/>
    <cellStyle name="쉼표 [0] 2 4" xfId="2882" xr:uid="{00000000-0005-0000-0000-0000130B0000}"/>
    <cellStyle name="쉼표 [0] 2 4 2" xfId="5225" xr:uid="{00000000-0005-0000-0000-0000110B0000}"/>
    <cellStyle name="쉼표 [0] 2 5" xfId="2883" xr:uid="{00000000-0005-0000-0000-0000140B0000}"/>
    <cellStyle name="쉼표 [0] 2 5 2" xfId="5226" xr:uid="{00000000-0005-0000-0000-0000120B0000}"/>
    <cellStyle name="쉼표 [0] 2 6" xfId="2884" xr:uid="{00000000-0005-0000-0000-0000150B0000}"/>
    <cellStyle name="쉼표 [0] 2 6 2" xfId="5227" xr:uid="{00000000-0005-0000-0000-0000130B0000}"/>
    <cellStyle name="쉼표 [0] 2 7" xfId="2885" xr:uid="{00000000-0005-0000-0000-0000160B0000}"/>
    <cellStyle name="쉼표 [0] 2 7 2" xfId="5228" xr:uid="{00000000-0005-0000-0000-0000140B0000}"/>
    <cellStyle name="쉼표 [0] 2 8" xfId="3539" xr:uid="{00000000-0005-0000-0000-00000B0B0000}"/>
    <cellStyle name="쉼표 [0] 2_110905_이범래(임직원 연봉 현황 등)_작성양식" xfId="2886" xr:uid="{00000000-0005-0000-0000-0000170B0000}"/>
    <cellStyle name="쉼표 [0] 3" xfId="289" xr:uid="{00000000-0005-0000-0000-0000180B0000}"/>
    <cellStyle name="쉼표 [0] 3 2" xfId="290" xr:uid="{00000000-0005-0000-0000-0000190B0000}"/>
    <cellStyle name="쉼표 [0] 3 2 2" xfId="3541" xr:uid="{00000000-0005-0000-0000-0000170B0000}"/>
    <cellStyle name="쉼표 [0] 3 3" xfId="3540" xr:uid="{00000000-0005-0000-0000-0000160B0000}"/>
    <cellStyle name="쉼표 [0] 4" xfId="291" xr:uid="{00000000-0005-0000-0000-00001A0B0000}"/>
    <cellStyle name="쉼표 [0] 4 2" xfId="292" xr:uid="{00000000-0005-0000-0000-00001B0B0000}"/>
    <cellStyle name="쉼표 [0] 4 2 2" xfId="3543" xr:uid="{00000000-0005-0000-0000-0000190B0000}"/>
    <cellStyle name="쉼표 [0] 4 3" xfId="2887" xr:uid="{00000000-0005-0000-0000-00001C0B0000}"/>
    <cellStyle name="쉼표 [0] 4 3 2" xfId="5229" xr:uid="{00000000-0005-0000-0000-00001A0B0000}"/>
    <cellStyle name="쉼표 [0] 4 4" xfId="2888" xr:uid="{00000000-0005-0000-0000-00001D0B0000}"/>
    <cellStyle name="쉼표 [0] 4 4 2" xfId="5230" xr:uid="{00000000-0005-0000-0000-00001B0B0000}"/>
    <cellStyle name="쉼표 [0] 4 5" xfId="2889" xr:uid="{00000000-0005-0000-0000-00001E0B0000}"/>
    <cellStyle name="쉼표 [0] 4 5 2" xfId="5231" xr:uid="{00000000-0005-0000-0000-00001C0B0000}"/>
    <cellStyle name="쉼표 [0] 4 6" xfId="3542" xr:uid="{00000000-0005-0000-0000-0000180B0000}"/>
    <cellStyle name="쉼표 [0] 5" xfId="293" xr:uid="{00000000-0005-0000-0000-00001F0B0000}"/>
    <cellStyle name="쉼표 [0] 5 2" xfId="3544" xr:uid="{00000000-0005-0000-0000-00001D0B0000}"/>
    <cellStyle name="쉼표 [0] 6" xfId="294" xr:uid="{00000000-0005-0000-0000-0000200B0000}"/>
    <cellStyle name="쉼표 [0] 6 2" xfId="2890" xr:uid="{00000000-0005-0000-0000-0000210B0000}"/>
    <cellStyle name="쉼표 [0] 6 2 2" xfId="5232" xr:uid="{00000000-0005-0000-0000-00001F0B0000}"/>
    <cellStyle name="쉼표 [0] 6 3" xfId="3545" xr:uid="{00000000-0005-0000-0000-00001E0B0000}"/>
    <cellStyle name="쉼표 [0] 7" xfId="2891" xr:uid="{00000000-0005-0000-0000-0000220B0000}"/>
    <cellStyle name="쉼표 [0] 7 2" xfId="2892" xr:uid="{00000000-0005-0000-0000-0000230B0000}"/>
    <cellStyle name="쉼표 [0] 7 2 2" xfId="5234" xr:uid="{00000000-0005-0000-0000-0000210B0000}"/>
    <cellStyle name="쉼표 [0] 7 3" xfId="5233" xr:uid="{00000000-0005-0000-0000-0000200B0000}"/>
    <cellStyle name="쉼표 [0] 8" xfId="2893" xr:uid="{00000000-0005-0000-0000-0000240B0000}"/>
    <cellStyle name="쉼표 [0] 8 2" xfId="5235" xr:uid="{00000000-0005-0000-0000-0000220B0000}"/>
    <cellStyle name="쉼표 [0] 9" xfId="2894" xr:uid="{00000000-0005-0000-0000-0000250B0000}"/>
    <cellStyle name="쉼표 [0] 9 2" xfId="5236" xr:uid="{00000000-0005-0000-0000-0000230B0000}"/>
    <cellStyle name="쉼표 2" xfId="2895" xr:uid="{00000000-0005-0000-0000-0000270B0000}"/>
    <cellStyle name="쉼표 2 2" xfId="5237" xr:uid="{00000000-0005-0000-0000-0000240B0000}"/>
    <cellStyle name="스타일 1" xfId="295" xr:uid="{00000000-0005-0000-0000-0000280B0000}"/>
    <cellStyle name="스타일 1 2" xfId="2896" xr:uid="{00000000-0005-0000-0000-0000290B0000}"/>
    <cellStyle name="스타일 10" xfId="2897" xr:uid="{00000000-0005-0000-0000-00002A0B0000}"/>
    <cellStyle name="스타일 11" xfId="2898" xr:uid="{00000000-0005-0000-0000-00002B0B0000}"/>
    <cellStyle name="스타일 12" xfId="2899" xr:uid="{00000000-0005-0000-0000-00002C0B0000}"/>
    <cellStyle name="스타일 13" xfId="2900" xr:uid="{00000000-0005-0000-0000-00002D0B0000}"/>
    <cellStyle name="스타일 14" xfId="2901" xr:uid="{00000000-0005-0000-0000-00002E0B0000}"/>
    <cellStyle name="스타일 15" xfId="2902" xr:uid="{00000000-0005-0000-0000-00002F0B0000}"/>
    <cellStyle name="스타일 16" xfId="2903" xr:uid="{00000000-0005-0000-0000-0000300B0000}"/>
    <cellStyle name="스타일 17" xfId="2904" xr:uid="{00000000-0005-0000-0000-0000310B0000}"/>
    <cellStyle name="스타일 18" xfId="2905" xr:uid="{00000000-0005-0000-0000-0000320B0000}"/>
    <cellStyle name="스타일 19" xfId="2906" xr:uid="{00000000-0005-0000-0000-0000330B0000}"/>
    <cellStyle name="스타일 2" xfId="296" xr:uid="{00000000-0005-0000-0000-0000340B0000}"/>
    <cellStyle name="스타일 20" xfId="2907" xr:uid="{00000000-0005-0000-0000-0000350B0000}"/>
    <cellStyle name="스타일 21" xfId="2908" xr:uid="{00000000-0005-0000-0000-0000360B0000}"/>
    <cellStyle name="스타일 3" xfId="297" xr:uid="{00000000-0005-0000-0000-0000370B0000}"/>
    <cellStyle name="스타일 4" xfId="2909" xr:uid="{00000000-0005-0000-0000-0000380B0000}"/>
    <cellStyle name="스타일 5" xfId="2910" xr:uid="{00000000-0005-0000-0000-0000390B0000}"/>
    <cellStyle name="스타일 6" xfId="2911" xr:uid="{00000000-0005-0000-0000-00003A0B0000}"/>
    <cellStyle name="스타일 7" xfId="2912" xr:uid="{00000000-0005-0000-0000-00003B0B0000}"/>
    <cellStyle name="스타일 8" xfId="2913" xr:uid="{00000000-0005-0000-0000-00003C0B0000}"/>
    <cellStyle name="스타일 9" xfId="2914" xr:uid="{00000000-0005-0000-0000-00003D0B0000}"/>
    <cellStyle name="식" xfId="2915" xr:uid="{00000000-0005-0000-0000-00003E0B0000}"/>
    <cellStyle name="식_평가지표.영업점의견 - 영남본부" xfId="2916" xr:uid="{00000000-0005-0000-0000-00003F0B0000}"/>
    <cellStyle name="신협" xfId="2917" xr:uid="{00000000-0005-0000-0000-0000400B0000}"/>
    <cellStyle name="십억단위" xfId="2918" xr:uid="{00000000-0005-0000-0000-0000410B0000}"/>
    <cellStyle name="안건회계법인" xfId="298" xr:uid="{00000000-0005-0000-0000-0000420B0000}"/>
    <cellStyle name="액제" xfId="2919" xr:uid="{00000000-0005-0000-0000-0000430B0000}"/>
    <cellStyle name="앰플" xfId="2920" xr:uid="{00000000-0005-0000-0000-0000440B0000}"/>
    <cellStyle name="연결된 셀 2" xfId="2921" xr:uid="{00000000-0005-0000-0000-0000450B0000}"/>
    <cellStyle name="연고" xfId="2922" xr:uid="{00000000-0005-0000-0000-0000460B0000}"/>
    <cellStyle name="열어본 하이퍼링크" xfId="2923" xr:uid="{00000000-0005-0000-0000-0000470B0000}"/>
    <cellStyle name="요약 2" xfId="2924" xr:uid="{00000000-0005-0000-0000-0000480B0000}"/>
    <cellStyle name="요약 2 10" xfId="2925" xr:uid="{00000000-0005-0000-0000-0000490B0000}"/>
    <cellStyle name="요약 2 10 2" xfId="2926" xr:uid="{00000000-0005-0000-0000-00004A0B0000}"/>
    <cellStyle name="요약 2 10 2 2" xfId="5240" xr:uid="{00000000-0005-0000-0000-0000470B0000}"/>
    <cellStyle name="요약 2 10 3" xfId="2927" xr:uid="{00000000-0005-0000-0000-00004B0B0000}"/>
    <cellStyle name="요약 2 10 3 2" xfId="5241" xr:uid="{00000000-0005-0000-0000-0000480B0000}"/>
    <cellStyle name="요약 2 10 4" xfId="2928" xr:uid="{00000000-0005-0000-0000-00004C0B0000}"/>
    <cellStyle name="요약 2 10 4 2" xfId="5242" xr:uid="{00000000-0005-0000-0000-0000490B0000}"/>
    <cellStyle name="요약 2 10 5" xfId="2929" xr:uid="{00000000-0005-0000-0000-00004D0B0000}"/>
    <cellStyle name="요약 2 10 5 2" xfId="5243" xr:uid="{00000000-0005-0000-0000-00004A0B0000}"/>
    <cellStyle name="요약 2 10 6" xfId="5239" xr:uid="{00000000-0005-0000-0000-0000460B0000}"/>
    <cellStyle name="요약 2 11" xfId="2930" xr:uid="{00000000-0005-0000-0000-00004E0B0000}"/>
    <cellStyle name="요약 2 11 2" xfId="2931" xr:uid="{00000000-0005-0000-0000-00004F0B0000}"/>
    <cellStyle name="요약 2 11 2 2" xfId="5245" xr:uid="{00000000-0005-0000-0000-00004C0B0000}"/>
    <cellStyle name="요약 2 11 3" xfId="2932" xr:uid="{00000000-0005-0000-0000-0000500B0000}"/>
    <cellStyle name="요약 2 11 3 2" xfId="5246" xr:uid="{00000000-0005-0000-0000-00004D0B0000}"/>
    <cellStyle name="요약 2 11 4" xfId="2933" xr:uid="{00000000-0005-0000-0000-0000510B0000}"/>
    <cellStyle name="요약 2 11 4 2" xfId="5247" xr:uid="{00000000-0005-0000-0000-00004E0B0000}"/>
    <cellStyle name="요약 2 11 5" xfId="2934" xr:uid="{00000000-0005-0000-0000-0000520B0000}"/>
    <cellStyle name="요약 2 11 5 2" xfId="5248" xr:uid="{00000000-0005-0000-0000-00004F0B0000}"/>
    <cellStyle name="요약 2 11 6" xfId="5244" xr:uid="{00000000-0005-0000-0000-00004B0B0000}"/>
    <cellStyle name="요약 2 12" xfId="2935" xr:uid="{00000000-0005-0000-0000-0000530B0000}"/>
    <cellStyle name="요약 2 12 2" xfId="2936" xr:uid="{00000000-0005-0000-0000-0000540B0000}"/>
    <cellStyle name="요약 2 12 2 2" xfId="5250" xr:uid="{00000000-0005-0000-0000-0000510B0000}"/>
    <cellStyle name="요약 2 12 3" xfId="2937" xr:uid="{00000000-0005-0000-0000-0000550B0000}"/>
    <cellStyle name="요약 2 12 3 2" xfId="5251" xr:uid="{00000000-0005-0000-0000-0000520B0000}"/>
    <cellStyle name="요약 2 12 4" xfId="2938" xr:uid="{00000000-0005-0000-0000-0000560B0000}"/>
    <cellStyle name="요약 2 12 4 2" xfId="5252" xr:uid="{00000000-0005-0000-0000-0000530B0000}"/>
    <cellStyle name="요약 2 12 5" xfId="2939" xr:uid="{00000000-0005-0000-0000-0000570B0000}"/>
    <cellStyle name="요약 2 12 5 2" xfId="5253" xr:uid="{00000000-0005-0000-0000-0000540B0000}"/>
    <cellStyle name="요약 2 12 6" xfId="5249" xr:uid="{00000000-0005-0000-0000-0000500B0000}"/>
    <cellStyle name="요약 2 13" xfId="2940" xr:uid="{00000000-0005-0000-0000-0000580B0000}"/>
    <cellStyle name="요약 2 13 2" xfId="5254" xr:uid="{00000000-0005-0000-0000-0000550B0000}"/>
    <cellStyle name="요약 2 14" xfId="2941" xr:uid="{00000000-0005-0000-0000-0000590B0000}"/>
    <cellStyle name="요약 2 14 2" xfId="5255" xr:uid="{00000000-0005-0000-0000-0000560B0000}"/>
    <cellStyle name="요약 2 15" xfId="2942" xr:uid="{00000000-0005-0000-0000-00005A0B0000}"/>
    <cellStyle name="요약 2 15 2" xfId="5256" xr:uid="{00000000-0005-0000-0000-0000570B0000}"/>
    <cellStyle name="요약 2 16" xfId="2943" xr:uid="{00000000-0005-0000-0000-00005B0B0000}"/>
    <cellStyle name="요약 2 16 2" xfId="5257" xr:uid="{00000000-0005-0000-0000-0000580B0000}"/>
    <cellStyle name="요약 2 17" xfId="5238" xr:uid="{00000000-0005-0000-0000-0000450B0000}"/>
    <cellStyle name="요약 2 2" xfId="2944" xr:uid="{00000000-0005-0000-0000-00005C0B0000}"/>
    <cellStyle name="요약 2 2 2" xfId="2945" xr:uid="{00000000-0005-0000-0000-00005D0B0000}"/>
    <cellStyle name="요약 2 2 2 2" xfId="5259" xr:uid="{00000000-0005-0000-0000-00005A0B0000}"/>
    <cellStyle name="요약 2 2 3" xfId="2946" xr:uid="{00000000-0005-0000-0000-00005E0B0000}"/>
    <cellStyle name="요약 2 2 3 2" xfId="5260" xr:uid="{00000000-0005-0000-0000-00005B0B0000}"/>
    <cellStyle name="요약 2 2 4" xfId="2947" xr:uid="{00000000-0005-0000-0000-00005F0B0000}"/>
    <cellStyle name="요약 2 2 4 2" xfId="5261" xr:uid="{00000000-0005-0000-0000-00005C0B0000}"/>
    <cellStyle name="요약 2 2 5" xfId="2948" xr:uid="{00000000-0005-0000-0000-0000600B0000}"/>
    <cellStyle name="요약 2 2 5 2" xfId="5262" xr:uid="{00000000-0005-0000-0000-00005D0B0000}"/>
    <cellStyle name="요약 2 2 6" xfId="5258" xr:uid="{00000000-0005-0000-0000-0000590B0000}"/>
    <cellStyle name="요약 2 3" xfId="2949" xr:uid="{00000000-0005-0000-0000-0000610B0000}"/>
    <cellStyle name="요약 2 3 2" xfId="2950" xr:uid="{00000000-0005-0000-0000-0000620B0000}"/>
    <cellStyle name="요약 2 3 2 2" xfId="5264" xr:uid="{00000000-0005-0000-0000-00005F0B0000}"/>
    <cellStyle name="요약 2 3 3" xfId="2951" xr:uid="{00000000-0005-0000-0000-0000630B0000}"/>
    <cellStyle name="요약 2 3 3 2" xfId="5265" xr:uid="{00000000-0005-0000-0000-0000600B0000}"/>
    <cellStyle name="요약 2 3 4" xfId="2952" xr:uid="{00000000-0005-0000-0000-0000640B0000}"/>
    <cellStyle name="요약 2 3 4 2" xfId="5266" xr:uid="{00000000-0005-0000-0000-0000610B0000}"/>
    <cellStyle name="요약 2 3 5" xfId="2953" xr:uid="{00000000-0005-0000-0000-0000650B0000}"/>
    <cellStyle name="요약 2 3 5 2" xfId="5267" xr:uid="{00000000-0005-0000-0000-0000620B0000}"/>
    <cellStyle name="요약 2 3 6" xfId="5263" xr:uid="{00000000-0005-0000-0000-00005E0B0000}"/>
    <cellStyle name="요약 2 4" xfId="2954" xr:uid="{00000000-0005-0000-0000-0000660B0000}"/>
    <cellStyle name="요약 2 4 2" xfId="2955" xr:uid="{00000000-0005-0000-0000-0000670B0000}"/>
    <cellStyle name="요약 2 4 2 2" xfId="5269" xr:uid="{00000000-0005-0000-0000-0000640B0000}"/>
    <cellStyle name="요약 2 4 3" xfId="2956" xr:uid="{00000000-0005-0000-0000-0000680B0000}"/>
    <cellStyle name="요약 2 4 3 2" xfId="5270" xr:uid="{00000000-0005-0000-0000-0000650B0000}"/>
    <cellStyle name="요약 2 4 4" xfId="2957" xr:uid="{00000000-0005-0000-0000-0000690B0000}"/>
    <cellStyle name="요약 2 4 4 2" xfId="5271" xr:uid="{00000000-0005-0000-0000-0000660B0000}"/>
    <cellStyle name="요약 2 4 5" xfId="2958" xr:uid="{00000000-0005-0000-0000-00006A0B0000}"/>
    <cellStyle name="요약 2 4 5 2" xfId="5272" xr:uid="{00000000-0005-0000-0000-0000670B0000}"/>
    <cellStyle name="요약 2 4 6" xfId="5268" xr:uid="{00000000-0005-0000-0000-0000630B0000}"/>
    <cellStyle name="요약 2 5" xfId="2959" xr:uid="{00000000-0005-0000-0000-00006B0B0000}"/>
    <cellStyle name="요약 2 5 2" xfId="2960" xr:uid="{00000000-0005-0000-0000-00006C0B0000}"/>
    <cellStyle name="요약 2 5 2 2" xfId="5274" xr:uid="{00000000-0005-0000-0000-0000690B0000}"/>
    <cellStyle name="요약 2 5 3" xfId="2961" xr:uid="{00000000-0005-0000-0000-00006D0B0000}"/>
    <cellStyle name="요약 2 5 3 2" xfId="5275" xr:uid="{00000000-0005-0000-0000-00006A0B0000}"/>
    <cellStyle name="요약 2 5 4" xfId="2962" xr:uid="{00000000-0005-0000-0000-00006E0B0000}"/>
    <cellStyle name="요약 2 5 4 2" xfId="5276" xr:uid="{00000000-0005-0000-0000-00006B0B0000}"/>
    <cellStyle name="요약 2 5 5" xfId="2963" xr:uid="{00000000-0005-0000-0000-00006F0B0000}"/>
    <cellStyle name="요약 2 5 5 2" xfId="5277" xr:uid="{00000000-0005-0000-0000-00006C0B0000}"/>
    <cellStyle name="요약 2 5 6" xfId="5273" xr:uid="{00000000-0005-0000-0000-0000680B0000}"/>
    <cellStyle name="요약 2 6" xfId="2964" xr:uid="{00000000-0005-0000-0000-0000700B0000}"/>
    <cellStyle name="요약 2 6 2" xfId="2965" xr:uid="{00000000-0005-0000-0000-0000710B0000}"/>
    <cellStyle name="요약 2 6 2 2" xfId="5279" xr:uid="{00000000-0005-0000-0000-00006E0B0000}"/>
    <cellStyle name="요약 2 6 3" xfId="2966" xr:uid="{00000000-0005-0000-0000-0000720B0000}"/>
    <cellStyle name="요약 2 6 3 2" xfId="5280" xr:uid="{00000000-0005-0000-0000-00006F0B0000}"/>
    <cellStyle name="요약 2 6 4" xfId="2967" xr:uid="{00000000-0005-0000-0000-0000730B0000}"/>
    <cellStyle name="요약 2 6 4 2" xfId="5281" xr:uid="{00000000-0005-0000-0000-0000700B0000}"/>
    <cellStyle name="요약 2 6 5" xfId="2968" xr:uid="{00000000-0005-0000-0000-0000740B0000}"/>
    <cellStyle name="요약 2 6 5 2" xfId="5282" xr:uid="{00000000-0005-0000-0000-0000710B0000}"/>
    <cellStyle name="요약 2 6 6" xfId="5278" xr:uid="{00000000-0005-0000-0000-00006D0B0000}"/>
    <cellStyle name="요약 2 7" xfId="2969" xr:uid="{00000000-0005-0000-0000-0000750B0000}"/>
    <cellStyle name="요약 2 7 2" xfId="2970" xr:uid="{00000000-0005-0000-0000-0000760B0000}"/>
    <cellStyle name="요약 2 7 2 2" xfId="5284" xr:uid="{00000000-0005-0000-0000-0000730B0000}"/>
    <cellStyle name="요약 2 7 3" xfId="2971" xr:uid="{00000000-0005-0000-0000-0000770B0000}"/>
    <cellStyle name="요약 2 7 3 2" xfId="5285" xr:uid="{00000000-0005-0000-0000-0000740B0000}"/>
    <cellStyle name="요약 2 7 4" xfId="2972" xr:uid="{00000000-0005-0000-0000-0000780B0000}"/>
    <cellStyle name="요약 2 7 4 2" xfId="5286" xr:uid="{00000000-0005-0000-0000-0000750B0000}"/>
    <cellStyle name="요약 2 7 5" xfId="2973" xr:uid="{00000000-0005-0000-0000-0000790B0000}"/>
    <cellStyle name="요약 2 7 5 2" xfId="5287" xr:uid="{00000000-0005-0000-0000-0000760B0000}"/>
    <cellStyle name="요약 2 7 6" xfId="5283" xr:uid="{00000000-0005-0000-0000-0000720B0000}"/>
    <cellStyle name="요약 2 8" xfId="2974" xr:uid="{00000000-0005-0000-0000-00007A0B0000}"/>
    <cellStyle name="요약 2 8 2" xfId="2975" xr:uid="{00000000-0005-0000-0000-00007B0B0000}"/>
    <cellStyle name="요약 2 8 2 2" xfId="5289" xr:uid="{00000000-0005-0000-0000-0000780B0000}"/>
    <cellStyle name="요약 2 8 3" xfId="2976" xr:uid="{00000000-0005-0000-0000-00007C0B0000}"/>
    <cellStyle name="요약 2 8 3 2" xfId="5290" xr:uid="{00000000-0005-0000-0000-0000790B0000}"/>
    <cellStyle name="요약 2 8 4" xfId="2977" xr:uid="{00000000-0005-0000-0000-00007D0B0000}"/>
    <cellStyle name="요약 2 8 4 2" xfId="5291" xr:uid="{00000000-0005-0000-0000-00007A0B0000}"/>
    <cellStyle name="요약 2 8 5" xfId="2978" xr:uid="{00000000-0005-0000-0000-00007E0B0000}"/>
    <cellStyle name="요약 2 8 5 2" xfId="5292" xr:uid="{00000000-0005-0000-0000-00007B0B0000}"/>
    <cellStyle name="요약 2 8 6" xfId="5288" xr:uid="{00000000-0005-0000-0000-0000770B0000}"/>
    <cellStyle name="요약 2 9" xfId="2979" xr:uid="{00000000-0005-0000-0000-00007F0B0000}"/>
    <cellStyle name="요약 2 9 2" xfId="2980" xr:uid="{00000000-0005-0000-0000-0000800B0000}"/>
    <cellStyle name="요약 2 9 2 2" xfId="5294" xr:uid="{00000000-0005-0000-0000-00007D0B0000}"/>
    <cellStyle name="요약 2 9 3" xfId="2981" xr:uid="{00000000-0005-0000-0000-0000810B0000}"/>
    <cellStyle name="요약 2 9 3 2" xfId="5295" xr:uid="{00000000-0005-0000-0000-00007E0B0000}"/>
    <cellStyle name="요약 2 9 4" xfId="2982" xr:uid="{00000000-0005-0000-0000-0000820B0000}"/>
    <cellStyle name="요약 2 9 4 2" xfId="5296" xr:uid="{00000000-0005-0000-0000-00007F0B0000}"/>
    <cellStyle name="요약 2 9 5" xfId="2983" xr:uid="{00000000-0005-0000-0000-0000830B0000}"/>
    <cellStyle name="요약 2 9 5 2" xfId="5297" xr:uid="{00000000-0005-0000-0000-0000800B0000}"/>
    <cellStyle name="요약 2 9 6" xfId="5293" xr:uid="{00000000-0005-0000-0000-00007C0B0000}"/>
    <cellStyle name="원" xfId="299" xr:uid="{00000000-0005-0000-0000-0000840B0000}"/>
    <cellStyle name="원_20081104144257984사업(분기반기)보고서수기작성작업파일(200806기준)" xfId="2984" xr:uid="{00000000-0005-0000-0000-0000850B0000}"/>
    <cellStyle name="원_Book1" xfId="2985" xr:uid="{00000000-0005-0000-0000-0000860B0000}"/>
    <cellStyle name="원_IFRS CoA Template_GR_F3_V27_081028_코딩" xfId="2986" xr:uid="{00000000-0005-0000-0000-0000870B0000}"/>
    <cellStyle name="원_NCF6BB2F" xfId="2987" xr:uid="{00000000-0005-0000-0000-0000880B0000}"/>
    <cellStyle name="원_손익계산서(05년6월)_2" xfId="300" xr:uid="{00000000-0005-0000-0000-0000890B0000}"/>
    <cellStyle name="원_은행-통합계정과목코드 매핑(IFRS 20081107) v1.4" xfId="2988" xr:uid="{00000000-0005-0000-0000-00008A0B0000}"/>
    <cellStyle name="원통화" xfId="301" xr:uid="{00000000-0005-0000-0000-00008B0B0000}"/>
    <cellStyle name="유입" xfId="2989" xr:uid="{00000000-0005-0000-0000-00008C0B0000}"/>
    <cellStyle name="유입 10" xfId="2990" xr:uid="{00000000-0005-0000-0000-00008D0B0000}"/>
    <cellStyle name="유입 10 2" xfId="2991" xr:uid="{00000000-0005-0000-0000-00008E0B0000}"/>
    <cellStyle name="유입 10 2 2" xfId="5300" xr:uid="{00000000-0005-0000-0000-00008B0B0000}"/>
    <cellStyle name="유입 10 3" xfId="2992" xr:uid="{00000000-0005-0000-0000-00008F0B0000}"/>
    <cellStyle name="유입 10 3 2" xfId="5301" xr:uid="{00000000-0005-0000-0000-00008C0B0000}"/>
    <cellStyle name="유입 10 4" xfId="2993" xr:uid="{00000000-0005-0000-0000-0000900B0000}"/>
    <cellStyle name="유입 10 4 2" xfId="5302" xr:uid="{00000000-0005-0000-0000-00008D0B0000}"/>
    <cellStyle name="유입 10 5" xfId="2994" xr:uid="{00000000-0005-0000-0000-0000910B0000}"/>
    <cellStyle name="유입 10 5 2" xfId="5303" xr:uid="{00000000-0005-0000-0000-00008E0B0000}"/>
    <cellStyle name="유입 10 6" xfId="5299" xr:uid="{00000000-0005-0000-0000-00008A0B0000}"/>
    <cellStyle name="유입 11" xfId="2995" xr:uid="{00000000-0005-0000-0000-0000920B0000}"/>
    <cellStyle name="유입 11 2" xfId="2996" xr:uid="{00000000-0005-0000-0000-0000930B0000}"/>
    <cellStyle name="유입 11 2 2" xfId="5305" xr:uid="{00000000-0005-0000-0000-0000900B0000}"/>
    <cellStyle name="유입 11 3" xfId="2997" xr:uid="{00000000-0005-0000-0000-0000940B0000}"/>
    <cellStyle name="유입 11 3 2" xfId="5306" xr:uid="{00000000-0005-0000-0000-0000910B0000}"/>
    <cellStyle name="유입 11 4" xfId="2998" xr:uid="{00000000-0005-0000-0000-0000950B0000}"/>
    <cellStyle name="유입 11 4 2" xfId="5307" xr:uid="{00000000-0005-0000-0000-0000920B0000}"/>
    <cellStyle name="유입 11 5" xfId="2999" xr:uid="{00000000-0005-0000-0000-0000960B0000}"/>
    <cellStyle name="유입 11 5 2" xfId="5308" xr:uid="{00000000-0005-0000-0000-0000930B0000}"/>
    <cellStyle name="유입 11 6" xfId="5304" xr:uid="{00000000-0005-0000-0000-00008F0B0000}"/>
    <cellStyle name="유입 12" xfId="3000" xr:uid="{00000000-0005-0000-0000-0000970B0000}"/>
    <cellStyle name="유입 12 2" xfId="3001" xr:uid="{00000000-0005-0000-0000-0000980B0000}"/>
    <cellStyle name="유입 12 2 2" xfId="5310" xr:uid="{00000000-0005-0000-0000-0000950B0000}"/>
    <cellStyle name="유입 12 3" xfId="3002" xr:uid="{00000000-0005-0000-0000-0000990B0000}"/>
    <cellStyle name="유입 12 3 2" xfId="5311" xr:uid="{00000000-0005-0000-0000-0000960B0000}"/>
    <cellStyle name="유입 12 4" xfId="3003" xr:uid="{00000000-0005-0000-0000-00009A0B0000}"/>
    <cellStyle name="유입 12 4 2" xfId="5312" xr:uid="{00000000-0005-0000-0000-0000970B0000}"/>
    <cellStyle name="유입 12 5" xfId="3004" xr:uid="{00000000-0005-0000-0000-00009B0B0000}"/>
    <cellStyle name="유입 12 5 2" xfId="5313" xr:uid="{00000000-0005-0000-0000-0000980B0000}"/>
    <cellStyle name="유입 12 6" xfId="5309" xr:uid="{00000000-0005-0000-0000-0000940B0000}"/>
    <cellStyle name="유입 13" xfId="3005" xr:uid="{00000000-0005-0000-0000-00009C0B0000}"/>
    <cellStyle name="유입 13 2" xfId="5314" xr:uid="{00000000-0005-0000-0000-0000990B0000}"/>
    <cellStyle name="유입 14" xfId="3006" xr:uid="{00000000-0005-0000-0000-00009D0B0000}"/>
    <cellStyle name="유입 14 2" xfId="5315" xr:uid="{00000000-0005-0000-0000-00009A0B0000}"/>
    <cellStyle name="유입 15" xfId="3007" xr:uid="{00000000-0005-0000-0000-00009E0B0000}"/>
    <cellStyle name="유입 15 2" xfId="5316" xr:uid="{00000000-0005-0000-0000-00009B0B0000}"/>
    <cellStyle name="유입 16" xfId="3008" xr:uid="{00000000-0005-0000-0000-00009F0B0000}"/>
    <cellStyle name="유입 16 2" xfId="5317" xr:uid="{00000000-0005-0000-0000-00009C0B0000}"/>
    <cellStyle name="유입 17" xfId="5298" xr:uid="{00000000-0005-0000-0000-0000890B0000}"/>
    <cellStyle name="유입 2" xfId="3009" xr:uid="{00000000-0005-0000-0000-0000A00B0000}"/>
    <cellStyle name="유입 2 2" xfId="3010" xr:uid="{00000000-0005-0000-0000-0000A10B0000}"/>
    <cellStyle name="유입 2 2 2" xfId="5319" xr:uid="{00000000-0005-0000-0000-00009E0B0000}"/>
    <cellStyle name="유입 2 3" xfId="3011" xr:uid="{00000000-0005-0000-0000-0000A20B0000}"/>
    <cellStyle name="유입 2 3 2" xfId="5320" xr:uid="{00000000-0005-0000-0000-00009F0B0000}"/>
    <cellStyle name="유입 2 4" xfId="3012" xr:uid="{00000000-0005-0000-0000-0000A30B0000}"/>
    <cellStyle name="유입 2 4 2" xfId="5321" xr:uid="{00000000-0005-0000-0000-0000A00B0000}"/>
    <cellStyle name="유입 2 5" xfId="3013" xr:uid="{00000000-0005-0000-0000-0000A40B0000}"/>
    <cellStyle name="유입 2 5 2" xfId="5322" xr:uid="{00000000-0005-0000-0000-0000A10B0000}"/>
    <cellStyle name="유입 2 6" xfId="5318" xr:uid="{00000000-0005-0000-0000-00009D0B0000}"/>
    <cellStyle name="유입 3" xfId="3014" xr:uid="{00000000-0005-0000-0000-0000A50B0000}"/>
    <cellStyle name="유입 3 2" xfId="3015" xr:uid="{00000000-0005-0000-0000-0000A60B0000}"/>
    <cellStyle name="유입 3 2 2" xfId="5324" xr:uid="{00000000-0005-0000-0000-0000A30B0000}"/>
    <cellStyle name="유입 3 3" xfId="3016" xr:uid="{00000000-0005-0000-0000-0000A70B0000}"/>
    <cellStyle name="유입 3 3 2" xfId="5325" xr:uid="{00000000-0005-0000-0000-0000A40B0000}"/>
    <cellStyle name="유입 3 4" xfId="3017" xr:uid="{00000000-0005-0000-0000-0000A80B0000}"/>
    <cellStyle name="유입 3 4 2" xfId="5326" xr:uid="{00000000-0005-0000-0000-0000A50B0000}"/>
    <cellStyle name="유입 3 5" xfId="3018" xr:uid="{00000000-0005-0000-0000-0000A90B0000}"/>
    <cellStyle name="유입 3 5 2" xfId="5327" xr:uid="{00000000-0005-0000-0000-0000A60B0000}"/>
    <cellStyle name="유입 3 6" xfId="5323" xr:uid="{00000000-0005-0000-0000-0000A20B0000}"/>
    <cellStyle name="유입 4" xfId="3019" xr:uid="{00000000-0005-0000-0000-0000AA0B0000}"/>
    <cellStyle name="유입 4 2" xfId="3020" xr:uid="{00000000-0005-0000-0000-0000AB0B0000}"/>
    <cellStyle name="유입 4 2 2" xfId="5329" xr:uid="{00000000-0005-0000-0000-0000A80B0000}"/>
    <cellStyle name="유입 4 3" xfId="3021" xr:uid="{00000000-0005-0000-0000-0000AC0B0000}"/>
    <cellStyle name="유입 4 3 2" xfId="5330" xr:uid="{00000000-0005-0000-0000-0000A90B0000}"/>
    <cellStyle name="유입 4 4" xfId="3022" xr:uid="{00000000-0005-0000-0000-0000AD0B0000}"/>
    <cellStyle name="유입 4 4 2" xfId="5331" xr:uid="{00000000-0005-0000-0000-0000AA0B0000}"/>
    <cellStyle name="유입 4 5" xfId="3023" xr:uid="{00000000-0005-0000-0000-0000AE0B0000}"/>
    <cellStyle name="유입 4 5 2" xfId="5332" xr:uid="{00000000-0005-0000-0000-0000AB0B0000}"/>
    <cellStyle name="유입 4 6" xfId="5328" xr:uid="{00000000-0005-0000-0000-0000A70B0000}"/>
    <cellStyle name="유입 5" xfId="3024" xr:uid="{00000000-0005-0000-0000-0000AF0B0000}"/>
    <cellStyle name="유입 5 2" xfId="3025" xr:uid="{00000000-0005-0000-0000-0000B00B0000}"/>
    <cellStyle name="유입 5 2 2" xfId="5334" xr:uid="{00000000-0005-0000-0000-0000AD0B0000}"/>
    <cellStyle name="유입 5 3" xfId="3026" xr:uid="{00000000-0005-0000-0000-0000B10B0000}"/>
    <cellStyle name="유입 5 3 2" xfId="5335" xr:uid="{00000000-0005-0000-0000-0000AE0B0000}"/>
    <cellStyle name="유입 5 4" xfId="3027" xr:uid="{00000000-0005-0000-0000-0000B20B0000}"/>
    <cellStyle name="유입 5 4 2" xfId="5336" xr:uid="{00000000-0005-0000-0000-0000AF0B0000}"/>
    <cellStyle name="유입 5 5" xfId="3028" xr:uid="{00000000-0005-0000-0000-0000B30B0000}"/>
    <cellStyle name="유입 5 5 2" xfId="5337" xr:uid="{00000000-0005-0000-0000-0000B00B0000}"/>
    <cellStyle name="유입 5 6" xfId="5333" xr:uid="{00000000-0005-0000-0000-0000AC0B0000}"/>
    <cellStyle name="유입 6" xfId="3029" xr:uid="{00000000-0005-0000-0000-0000B40B0000}"/>
    <cellStyle name="유입 6 2" xfId="3030" xr:uid="{00000000-0005-0000-0000-0000B50B0000}"/>
    <cellStyle name="유입 6 2 2" xfId="5339" xr:uid="{00000000-0005-0000-0000-0000B20B0000}"/>
    <cellStyle name="유입 6 3" xfId="3031" xr:uid="{00000000-0005-0000-0000-0000B60B0000}"/>
    <cellStyle name="유입 6 3 2" xfId="5340" xr:uid="{00000000-0005-0000-0000-0000B30B0000}"/>
    <cellStyle name="유입 6 4" xfId="3032" xr:uid="{00000000-0005-0000-0000-0000B70B0000}"/>
    <cellStyle name="유입 6 4 2" xfId="5341" xr:uid="{00000000-0005-0000-0000-0000B40B0000}"/>
    <cellStyle name="유입 6 5" xfId="3033" xr:uid="{00000000-0005-0000-0000-0000B80B0000}"/>
    <cellStyle name="유입 6 5 2" xfId="5342" xr:uid="{00000000-0005-0000-0000-0000B50B0000}"/>
    <cellStyle name="유입 6 6" xfId="5338" xr:uid="{00000000-0005-0000-0000-0000B10B0000}"/>
    <cellStyle name="유입 7" xfId="3034" xr:uid="{00000000-0005-0000-0000-0000B90B0000}"/>
    <cellStyle name="유입 7 2" xfId="3035" xr:uid="{00000000-0005-0000-0000-0000BA0B0000}"/>
    <cellStyle name="유입 7 2 2" xfId="5344" xr:uid="{00000000-0005-0000-0000-0000B70B0000}"/>
    <cellStyle name="유입 7 3" xfId="3036" xr:uid="{00000000-0005-0000-0000-0000BB0B0000}"/>
    <cellStyle name="유입 7 3 2" xfId="5345" xr:uid="{00000000-0005-0000-0000-0000B80B0000}"/>
    <cellStyle name="유입 7 4" xfId="3037" xr:uid="{00000000-0005-0000-0000-0000BC0B0000}"/>
    <cellStyle name="유입 7 4 2" xfId="5346" xr:uid="{00000000-0005-0000-0000-0000B90B0000}"/>
    <cellStyle name="유입 7 5" xfId="3038" xr:uid="{00000000-0005-0000-0000-0000BD0B0000}"/>
    <cellStyle name="유입 7 5 2" xfId="5347" xr:uid="{00000000-0005-0000-0000-0000BA0B0000}"/>
    <cellStyle name="유입 7 6" xfId="5343" xr:uid="{00000000-0005-0000-0000-0000B60B0000}"/>
    <cellStyle name="유입 8" xfId="3039" xr:uid="{00000000-0005-0000-0000-0000BE0B0000}"/>
    <cellStyle name="유입 8 2" xfId="3040" xr:uid="{00000000-0005-0000-0000-0000BF0B0000}"/>
    <cellStyle name="유입 8 2 2" xfId="5349" xr:uid="{00000000-0005-0000-0000-0000BC0B0000}"/>
    <cellStyle name="유입 8 3" xfId="3041" xr:uid="{00000000-0005-0000-0000-0000C00B0000}"/>
    <cellStyle name="유입 8 3 2" xfId="5350" xr:uid="{00000000-0005-0000-0000-0000BD0B0000}"/>
    <cellStyle name="유입 8 4" xfId="3042" xr:uid="{00000000-0005-0000-0000-0000C10B0000}"/>
    <cellStyle name="유입 8 4 2" xfId="5351" xr:uid="{00000000-0005-0000-0000-0000BE0B0000}"/>
    <cellStyle name="유입 8 5" xfId="3043" xr:uid="{00000000-0005-0000-0000-0000C20B0000}"/>
    <cellStyle name="유입 8 5 2" xfId="5352" xr:uid="{00000000-0005-0000-0000-0000BF0B0000}"/>
    <cellStyle name="유입 8 6" xfId="5348" xr:uid="{00000000-0005-0000-0000-0000BB0B0000}"/>
    <cellStyle name="유입 9" xfId="3044" xr:uid="{00000000-0005-0000-0000-0000C30B0000}"/>
    <cellStyle name="유입 9 2" xfId="3045" xr:uid="{00000000-0005-0000-0000-0000C40B0000}"/>
    <cellStyle name="유입 9 2 2" xfId="5354" xr:uid="{00000000-0005-0000-0000-0000C10B0000}"/>
    <cellStyle name="유입 9 3" xfId="3046" xr:uid="{00000000-0005-0000-0000-0000C50B0000}"/>
    <cellStyle name="유입 9 3 2" xfId="5355" xr:uid="{00000000-0005-0000-0000-0000C20B0000}"/>
    <cellStyle name="유입 9 4" xfId="3047" xr:uid="{00000000-0005-0000-0000-0000C60B0000}"/>
    <cellStyle name="유입 9 4 2" xfId="5356" xr:uid="{00000000-0005-0000-0000-0000C30B0000}"/>
    <cellStyle name="유입 9 5" xfId="3048" xr:uid="{00000000-0005-0000-0000-0000C70B0000}"/>
    <cellStyle name="유입 9 5 2" xfId="5357" xr:uid="{00000000-0005-0000-0000-0000C40B0000}"/>
    <cellStyle name="유입 9 6" xfId="5353" xr:uid="{00000000-0005-0000-0000-0000C00B0000}"/>
    <cellStyle name="이연사업비" xfId="3049" xr:uid="{00000000-0005-0000-0000-0000C80B0000}"/>
    <cellStyle name="一般_GARMENT STEP FORM HK" xfId="3050" xr:uid="{00000000-0005-0000-0000-0000C90B0000}"/>
    <cellStyle name="입력 2" xfId="3051" xr:uid="{00000000-0005-0000-0000-0000CA0B0000}"/>
    <cellStyle name="입력 2 10" xfId="3052" xr:uid="{00000000-0005-0000-0000-0000CB0B0000}"/>
    <cellStyle name="입력 2 10 2" xfId="3053" xr:uid="{00000000-0005-0000-0000-0000CC0B0000}"/>
    <cellStyle name="입력 2 10 2 2" xfId="5360" xr:uid="{00000000-0005-0000-0000-0000C90B0000}"/>
    <cellStyle name="입력 2 10 3" xfId="3054" xr:uid="{00000000-0005-0000-0000-0000CD0B0000}"/>
    <cellStyle name="입력 2 10 3 2" xfId="5361" xr:uid="{00000000-0005-0000-0000-0000CA0B0000}"/>
    <cellStyle name="입력 2 10 4" xfId="3055" xr:uid="{00000000-0005-0000-0000-0000CE0B0000}"/>
    <cellStyle name="입력 2 10 4 2" xfId="5362" xr:uid="{00000000-0005-0000-0000-0000CB0B0000}"/>
    <cellStyle name="입력 2 10 5" xfId="3056" xr:uid="{00000000-0005-0000-0000-0000CF0B0000}"/>
    <cellStyle name="입력 2 10 5 2" xfId="5363" xr:uid="{00000000-0005-0000-0000-0000CC0B0000}"/>
    <cellStyle name="입력 2 10 6" xfId="5359" xr:uid="{00000000-0005-0000-0000-0000C80B0000}"/>
    <cellStyle name="입력 2 11" xfId="3057" xr:uid="{00000000-0005-0000-0000-0000D00B0000}"/>
    <cellStyle name="입력 2 11 2" xfId="3058" xr:uid="{00000000-0005-0000-0000-0000D10B0000}"/>
    <cellStyle name="입력 2 11 2 2" xfId="5365" xr:uid="{00000000-0005-0000-0000-0000CE0B0000}"/>
    <cellStyle name="입력 2 11 3" xfId="3059" xr:uid="{00000000-0005-0000-0000-0000D20B0000}"/>
    <cellStyle name="입력 2 11 3 2" xfId="5366" xr:uid="{00000000-0005-0000-0000-0000CF0B0000}"/>
    <cellStyle name="입력 2 11 4" xfId="3060" xr:uid="{00000000-0005-0000-0000-0000D30B0000}"/>
    <cellStyle name="입력 2 11 4 2" xfId="5367" xr:uid="{00000000-0005-0000-0000-0000D00B0000}"/>
    <cellStyle name="입력 2 11 5" xfId="3061" xr:uid="{00000000-0005-0000-0000-0000D40B0000}"/>
    <cellStyle name="입력 2 11 5 2" xfId="5368" xr:uid="{00000000-0005-0000-0000-0000D10B0000}"/>
    <cellStyle name="입력 2 11 6" xfId="5364" xr:uid="{00000000-0005-0000-0000-0000CD0B0000}"/>
    <cellStyle name="입력 2 12" xfId="3062" xr:uid="{00000000-0005-0000-0000-0000D50B0000}"/>
    <cellStyle name="입력 2 12 2" xfId="3063" xr:uid="{00000000-0005-0000-0000-0000D60B0000}"/>
    <cellStyle name="입력 2 12 2 2" xfId="5370" xr:uid="{00000000-0005-0000-0000-0000D30B0000}"/>
    <cellStyle name="입력 2 12 3" xfId="3064" xr:uid="{00000000-0005-0000-0000-0000D70B0000}"/>
    <cellStyle name="입력 2 12 3 2" xfId="5371" xr:uid="{00000000-0005-0000-0000-0000D40B0000}"/>
    <cellStyle name="입력 2 12 4" xfId="3065" xr:uid="{00000000-0005-0000-0000-0000D80B0000}"/>
    <cellStyle name="입력 2 12 4 2" xfId="5372" xr:uid="{00000000-0005-0000-0000-0000D50B0000}"/>
    <cellStyle name="입력 2 12 5" xfId="3066" xr:uid="{00000000-0005-0000-0000-0000D90B0000}"/>
    <cellStyle name="입력 2 12 5 2" xfId="5373" xr:uid="{00000000-0005-0000-0000-0000D60B0000}"/>
    <cellStyle name="입력 2 12 6" xfId="5369" xr:uid="{00000000-0005-0000-0000-0000D20B0000}"/>
    <cellStyle name="입력 2 13" xfId="3067" xr:uid="{00000000-0005-0000-0000-0000DA0B0000}"/>
    <cellStyle name="입력 2 13 2" xfId="5374" xr:uid="{00000000-0005-0000-0000-0000D70B0000}"/>
    <cellStyle name="입력 2 14" xfId="3068" xr:uid="{00000000-0005-0000-0000-0000DB0B0000}"/>
    <cellStyle name="입력 2 14 2" xfId="5375" xr:uid="{00000000-0005-0000-0000-0000D80B0000}"/>
    <cellStyle name="입력 2 15" xfId="3069" xr:uid="{00000000-0005-0000-0000-0000DC0B0000}"/>
    <cellStyle name="입력 2 15 2" xfId="5376" xr:uid="{00000000-0005-0000-0000-0000D90B0000}"/>
    <cellStyle name="입력 2 16" xfId="3070" xr:uid="{00000000-0005-0000-0000-0000DD0B0000}"/>
    <cellStyle name="입력 2 16 2" xfId="5377" xr:uid="{00000000-0005-0000-0000-0000DA0B0000}"/>
    <cellStyle name="입력 2 17" xfId="5358" xr:uid="{00000000-0005-0000-0000-0000C70B0000}"/>
    <cellStyle name="입력 2 2" xfId="3071" xr:uid="{00000000-0005-0000-0000-0000DE0B0000}"/>
    <cellStyle name="입력 2 2 2" xfId="3072" xr:uid="{00000000-0005-0000-0000-0000DF0B0000}"/>
    <cellStyle name="입력 2 2 2 2" xfId="5379" xr:uid="{00000000-0005-0000-0000-0000DC0B0000}"/>
    <cellStyle name="입력 2 2 3" xfId="3073" xr:uid="{00000000-0005-0000-0000-0000E00B0000}"/>
    <cellStyle name="입력 2 2 3 2" xfId="5380" xr:uid="{00000000-0005-0000-0000-0000DD0B0000}"/>
    <cellStyle name="입력 2 2 4" xfId="3074" xr:uid="{00000000-0005-0000-0000-0000E10B0000}"/>
    <cellStyle name="입력 2 2 4 2" xfId="5381" xr:uid="{00000000-0005-0000-0000-0000DE0B0000}"/>
    <cellStyle name="입력 2 2 5" xfId="3075" xr:uid="{00000000-0005-0000-0000-0000E20B0000}"/>
    <cellStyle name="입력 2 2 5 2" xfId="5382" xr:uid="{00000000-0005-0000-0000-0000DF0B0000}"/>
    <cellStyle name="입력 2 2 6" xfId="5378" xr:uid="{00000000-0005-0000-0000-0000DB0B0000}"/>
    <cellStyle name="입력 2 3" xfId="3076" xr:uid="{00000000-0005-0000-0000-0000E30B0000}"/>
    <cellStyle name="입력 2 3 2" xfId="3077" xr:uid="{00000000-0005-0000-0000-0000E40B0000}"/>
    <cellStyle name="입력 2 3 2 2" xfId="5384" xr:uid="{00000000-0005-0000-0000-0000E10B0000}"/>
    <cellStyle name="입력 2 3 3" xfId="3078" xr:uid="{00000000-0005-0000-0000-0000E50B0000}"/>
    <cellStyle name="입력 2 3 3 2" xfId="5385" xr:uid="{00000000-0005-0000-0000-0000E20B0000}"/>
    <cellStyle name="입력 2 3 4" xfId="3079" xr:uid="{00000000-0005-0000-0000-0000E60B0000}"/>
    <cellStyle name="입력 2 3 4 2" xfId="5386" xr:uid="{00000000-0005-0000-0000-0000E30B0000}"/>
    <cellStyle name="입력 2 3 5" xfId="3080" xr:uid="{00000000-0005-0000-0000-0000E70B0000}"/>
    <cellStyle name="입력 2 3 5 2" xfId="5387" xr:uid="{00000000-0005-0000-0000-0000E40B0000}"/>
    <cellStyle name="입력 2 3 6" xfId="5383" xr:uid="{00000000-0005-0000-0000-0000E00B0000}"/>
    <cellStyle name="입력 2 4" xfId="3081" xr:uid="{00000000-0005-0000-0000-0000E80B0000}"/>
    <cellStyle name="입력 2 4 2" xfId="3082" xr:uid="{00000000-0005-0000-0000-0000E90B0000}"/>
    <cellStyle name="입력 2 4 2 2" xfId="5389" xr:uid="{00000000-0005-0000-0000-0000E60B0000}"/>
    <cellStyle name="입력 2 4 3" xfId="3083" xr:uid="{00000000-0005-0000-0000-0000EA0B0000}"/>
    <cellStyle name="입력 2 4 3 2" xfId="5390" xr:uid="{00000000-0005-0000-0000-0000E70B0000}"/>
    <cellStyle name="입력 2 4 4" xfId="3084" xr:uid="{00000000-0005-0000-0000-0000EB0B0000}"/>
    <cellStyle name="입력 2 4 4 2" xfId="5391" xr:uid="{00000000-0005-0000-0000-0000E80B0000}"/>
    <cellStyle name="입력 2 4 5" xfId="3085" xr:uid="{00000000-0005-0000-0000-0000EC0B0000}"/>
    <cellStyle name="입력 2 4 5 2" xfId="5392" xr:uid="{00000000-0005-0000-0000-0000E90B0000}"/>
    <cellStyle name="입력 2 4 6" xfId="5388" xr:uid="{00000000-0005-0000-0000-0000E50B0000}"/>
    <cellStyle name="입력 2 5" xfId="3086" xr:uid="{00000000-0005-0000-0000-0000ED0B0000}"/>
    <cellStyle name="입력 2 5 2" xfId="3087" xr:uid="{00000000-0005-0000-0000-0000EE0B0000}"/>
    <cellStyle name="입력 2 5 2 2" xfId="5394" xr:uid="{00000000-0005-0000-0000-0000EB0B0000}"/>
    <cellStyle name="입력 2 5 3" xfId="3088" xr:uid="{00000000-0005-0000-0000-0000EF0B0000}"/>
    <cellStyle name="입력 2 5 3 2" xfId="5395" xr:uid="{00000000-0005-0000-0000-0000EC0B0000}"/>
    <cellStyle name="입력 2 5 4" xfId="3089" xr:uid="{00000000-0005-0000-0000-0000F00B0000}"/>
    <cellStyle name="입력 2 5 4 2" xfId="5396" xr:uid="{00000000-0005-0000-0000-0000ED0B0000}"/>
    <cellStyle name="입력 2 5 5" xfId="3090" xr:uid="{00000000-0005-0000-0000-0000F10B0000}"/>
    <cellStyle name="입력 2 5 5 2" xfId="5397" xr:uid="{00000000-0005-0000-0000-0000EE0B0000}"/>
    <cellStyle name="입력 2 5 6" xfId="5393" xr:uid="{00000000-0005-0000-0000-0000EA0B0000}"/>
    <cellStyle name="입력 2 6" xfId="3091" xr:uid="{00000000-0005-0000-0000-0000F20B0000}"/>
    <cellStyle name="입력 2 6 2" xfId="3092" xr:uid="{00000000-0005-0000-0000-0000F30B0000}"/>
    <cellStyle name="입력 2 6 2 2" xfId="5399" xr:uid="{00000000-0005-0000-0000-0000F00B0000}"/>
    <cellStyle name="입력 2 6 3" xfId="3093" xr:uid="{00000000-0005-0000-0000-0000F40B0000}"/>
    <cellStyle name="입력 2 6 3 2" xfId="5400" xr:uid="{00000000-0005-0000-0000-0000F10B0000}"/>
    <cellStyle name="입력 2 6 4" xfId="3094" xr:uid="{00000000-0005-0000-0000-0000F50B0000}"/>
    <cellStyle name="입력 2 6 4 2" xfId="5401" xr:uid="{00000000-0005-0000-0000-0000F20B0000}"/>
    <cellStyle name="입력 2 6 5" xfId="3095" xr:uid="{00000000-0005-0000-0000-0000F60B0000}"/>
    <cellStyle name="입력 2 6 5 2" xfId="5402" xr:uid="{00000000-0005-0000-0000-0000F30B0000}"/>
    <cellStyle name="입력 2 6 6" xfId="5398" xr:uid="{00000000-0005-0000-0000-0000EF0B0000}"/>
    <cellStyle name="입력 2 7" xfId="3096" xr:uid="{00000000-0005-0000-0000-0000F70B0000}"/>
    <cellStyle name="입력 2 7 2" xfId="3097" xr:uid="{00000000-0005-0000-0000-0000F80B0000}"/>
    <cellStyle name="입력 2 7 2 2" xfId="5404" xr:uid="{00000000-0005-0000-0000-0000F50B0000}"/>
    <cellStyle name="입력 2 7 3" xfId="3098" xr:uid="{00000000-0005-0000-0000-0000F90B0000}"/>
    <cellStyle name="입력 2 7 3 2" xfId="5405" xr:uid="{00000000-0005-0000-0000-0000F60B0000}"/>
    <cellStyle name="입력 2 7 4" xfId="3099" xr:uid="{00000000-0005-0000-0000-0000FA0B0000}"/>
    <cellStyle name="입력 2 7 4 2" xfId="5406" xr:uid="{00000000-0005-0000-0000-0000F70B0000}"/>
    <cellStyle name="입력 2 7 5" xfId="3100" xr:uid="{00000000-0005-0000-0000-0000FB0B0000}"/>
    <cellStyle name="입력 2 7 5 2" xfId="5407" xr:uid="{00000000-0005-0000-0000-0000F80B0000}"/>
    <cellStyle name="입력 2 7 6" xfId="5403" xr:uid="{00000000-0005-0000-0000-0000F40B0000}"/>
    <cellStyle name="입력 2 8" xfId="3101" xr:uid="{00000000-0005-0000-0000-0000FC0B0000}"/>
    <cellStyle name="입력 2 8 2" xfId="3102" xr:uid="{00000000-0005-0000-0000-0000FD0B0000}"/>
    <cellStyle name="입력 2 8 2 2" xfId="5409" xr:uid="{00000000-0005-0000-0000-0000FA0B0000}"/>
    <cellStyle name="입력 2 8 3" xfId="3103" xr:uid="{00000000-0005-0000-0000-0000FE0B0000}"/>
    <cellStyle name="입력 2 8 3 2" xfId="5410" xr:uid="{00000000-0005-0000-0000-0000FB0B0000}"/>
    <cellStyle name="입력 2 8 4" xfId="3104" xr:uid="{00000000-0005-0000-0000-0000FF0B0000}"/>
    <cellStyle name="입력 2 8 4 2" xfId="5411" xr:uid="{00000000-0005-0000-0000-0000FC0B0000}"/>
    <cellStyle name="입력 2 8 5" xfId="3105" xr:uid="{00000000-0005-0000-0000-0000000C0000}"/>
    <cellStyle name="입력 2 8 5 2" xfId="5412" xr:uid="{00000000-0005-0000-0000-0000FD0B0000}"/>
    <cellStyle name="입력 2 8 6" xfId="5408" xr:uid="{00000000-0005-0000-0000-0000F90B0000}"/>
    <cellStyle name="입력 2 9" xfId="3106" xr:uid="{00000000-0005-0000-0000-0000010C0000}"/>
    <cellStyle name="입력 2 9 2" xfId="3107" xr:uid="{00000000-0005-0000-0000-0000020C0000}"/>
    <cellStyle name="입력 2 9 2 2" xfId="5414" xr:uid="{00000000-0005-0000-0000-0000FF0B0000}"/>
    <cellStyle name="입력 2 9 3" xfId="3108" xr:uid="{00000000-0005-0000-0000-0000030C0000}"/>
    <cellStyle name="입력 2 9 3 2" xfId="5415" xr:uid="{00000000-0005-0000-0000-0000000C0000}"/>
    <cellStyle name="입력 2 9 4" xfId="3109" xr:uid="{00000000-0005-0000-0000-0000040C0000}"/>
    <cellStyle name="입력 2 9 4 2" xfId="5416" xr:uid="{00000000-0005-0000-0000-0000010C0000}"/>
    <cellStyle name="입력 2 9 5" xfId="3110" xr:uid="{00000000-0005-0000-0000-0000050C0000}"/>
    <cellStyle name="입력 2 9 5 2" xfId="5417" xr:uid="{00000000-0005-0000-0000-0000020C0000}"/>
    <cellStyle name="입력 2 9 6" xfId="5413" xr:uid="{00000000-0005-0000-0000-0000FE0B0000}"/>
    <cellStyle name="자리수" xfId="302" xr:uid="{00000000-0005-0000-0000-0000060C0000}"/>
    <cellStyle name="자리수 2" xfId="3111" xr:uid="{00000000-0005-0000-0000-0000070C0000}"/>
    <cellStyle name="자리수0" xfId="303" xr:uid="{00000000-0005-0000-0000-0000080C0000}"/>
    <cellStyle name="자리수0 2" xfId="3112" xr:uid="{00000000-0005-0000-0000-0000090C0000}"/>
    <cellStyle name="작업일수" xfId="3113" xr:uid="{00000000-0005-0000-0000-00000A0C0000}"/>
    <cellStyle name="전체" xfId="3114" xr:uid="{00000000-0005-0000-0000-00000B0C0000}"/>
    <cellStyle name="정" xfId="3115" xr:uid="{00000000-0005-0000-0000-00000C0C0000}"/>
    <cellStyle name="제놀" xfId="3116" xr:uid="{00000000-0005-0000-0000-00000D0C0000}"/>
    <cellStyle name="제목 1 2" xfId="3117" xr:uid="{00000000-0005-0000-0000-00000E0C0000}"/>
    <cellStyle name="제목 2 2" xfId="3118" xr:uid="{00000000-0005-0000-0000-00000F0C0000}"/>
    <cellStyle name="제목 3 2" xfId="3119" xr:uid="{00000000-0005-0000-0000-0000100C0000}"/>
    <cellStyle name="제목 4 2" xfId="3120" xr:uid="{00000000-0005-0000-0000-0000110C0000}"/>
    <cellStyle name="제목 5" xfId="3121" xr:uid="{00000000-0005-0000-0000-0000120C0000}"/>
    <cellStyle name="제목1" xfId="304" xr:uid="{00000000-0005-0000-0000-0000130C0000}"/>
    <cellStyle name="제목2" xfId="305" xr:uid="{00000000-0005-0000-0000-0000140C0000}"/>
    <cellStyle name="제조번호" xfId="3122" xr:uid="{00000000-0005-0000-0000-0000150C0000}"/>
    <cellStyle name="제조번호 10" xfId="3123" xr:uid="{00000000-0005-0000-0000-0000160C0000}"/>
    <cellStyle name="제조번호 10 2" xfId="5419" xr:uid="{00000000-0005-0000-0000-0000130C0000}"/>
    <cellStyle name="제조번호 11" xfId="3124" xr:uid="{00000000-0005-0000-0000-0000170C0000}"/>
    <cellStyle name="제조번호 11 2" xfId="5420" xr:uid="{00000000-0005-0000-0000-0000140C0000}"/>
    <cellStyle name="제조번호 12" xfId="3125" xr:uid="{00000000-0005-0000-0000-0000180C0000}"/>
    <cellStyle name="제조번호 12 2" xfId="5421" xr:uid="{00000000-0005-0000-0000-0000150C0000}"/>
    <cellStyle name="제조번호 13" xfId="3126" xr:uid="{00000000-0005-0000-0000-0000190C0000}"/>
    <cellStyle name="제조번호 13 2" xfId="5422" xr:uid="{00000000-0005-0000-0000-0000160C0000}"/>
    <cellStyle name="제조번호 14" xfId="5418" xr:uid="{00000000-0005-0000-0000-0000120C0000}"/>
    <cellStyle name="제조번호 2" xfId="3127" xr:uid="{00000000-0005-0000-0000-00001A0C0000}"/>
    <cellStyle name="제조번호 2 2" xfId="3128" xr:uid="{00000000-0005-0000-0000-00001B0C0000}"/>
    <cellStyle name="제조번호 2 2 2" xfId="5424" xr:uid="{00000000-0005-0000-0000-0000180C0000}"/>
    <cellStyle name="제조번호 2 3" xfId="3129" xr:uid="{00000000-0005-0000-0000-00001C0C0000}"/>
    <cellStyle name="제조번호 2 3 2" xfId="5425" xr:uid="{00000000-0005-0000-0000-0000190C0000}"/>
    <cellStyle name="제조번호 2 4" xfId="3130" xr:uid="{00000000-0005-0000-0000-00001D0C0000}"/>
    <cellStyle name="제조번호 2 4 2" xfId="5426" xr:uid="{00000000-0005-0000-0000-00001A0C0000}"/>
    <cellStyle name="제조번호 2 5" xfId="3131" xr:uid="{00000000-0005-0000-0000-00001E0C0000}"/>
    <cellStyle name="제조번호 2 5 2" xfId="5427" xr:uid="{00000000-0005-0000-0000-00001B0C0000}"/>
    <cellStyle name="제조번호 2 6" xfId="5423" xr:uid="{00000000-0005-0000-0000-0000170C0000}"/>
    <cellStyle name="제조번호 3" xfId="3132" xr:uid="{00000000-0005-0000-0000-00001F0C0000}"/>
    <cellStyle name="제조번호 3 2" xfId="3133" xr:uid="{00000000-0005-0000-0000-0000200C0000}"/>
    <cellStyle name="제조번호 3 2 2" xfId="5429" xr:uid="{00000000-0005-0000-0000-00001D0C0000}"/>
    <cellStyle name="제조번호 3 3" xfId="3134" xr:uid="{00000000-0005-0000-0000-0000210C0000}"/>
    <cellStyle name="제조번호 3 3 2" xfId="5430" xr:uid="{00000000-0005-0000-0000-00001E0C0000}"/>
    <cellStyle name="제조번호 3 4" xfId="3135" xr:uid="{00000000-0005-0000-0000-0000220C0000}"/>
    <cellStyle name="제조번호 3 4 2" xfId="5431" xr:uid="{00000000-0005-0000-0000-00001F0C0000}"/>
    <cellStyle name="제조번호 3 5" xfId="3136" xr:uid="{00000000-0005-0000-0000-0000230C0000}"/>
    <cellStyle name="제조번호 3 5 2" xfId="5432" xr:uid="{00000000-0005-0000-0000-0000200C0000}"/>
    <cellStyle name="제조번호 3 6" xfId="5428" xr:uid="{00000000-0005-0000-0000-00001C0C0000}"/>
    <cellStyle name="제조번호 4" xfId="3137" xr:uid="{00000000-0005-0000-0000-0000240C0000}"/>
    <cellStyle name="제조번호 4 2" xfId="3138" xr:uid="{00000000-0005-0000-0000-0000250C0000}"/>
    <cellStyle name="제조번호 4 2 2" xfId="5434" xr:uid="{00000000-0005-0000-0000-0000220C0000}"/>
    <cellStyle name="제조번호 4 3" xfId="3139" xr:uid="{00000000-0005-0000-0000-0000260C0000}"/>
    <cellStyle name="제조번호 4 3 2" xfId="5435" xr:uid="{00000000-0005-0000-0000-0000230C0000}"/>
    <cellStyle name="제조번호 4 4" xfId="3140" xr:uid="{00000000-0005-0000-0000-0000270C0000}"/>
    <cellStyle name="제조번호 4 4 2" xfId="5436" xr:uid="{00000000-0005-0000-0000-0000240C0000}"/>
    <cellStyle name="제조번호 4 5" xfId="3141" xr:uid="{00000000-0005-0000-0000-0000280C0000}"/>
    <cellStyle name="제조번호 4 5 2" xfId="5437" xr:uid="{00000000-0005-0000-0000-0000250C0000}"/>
    <cellStyle name="제조번호 4 6" xfId="5433" xr:uid="{00000000-0005-0000-0000-0000210C0000}"/>
    <cellStyle name="제조번호 5" xfId="3142" xr:uid="{00000000-0005-0000-0000-0000290C0000}"/>
    <cellStyle name="제조번호 5 2" xfId="3143" xr:uid="{00000000-0005-0000-0000-00002A0C0000}"/>
    <cellStyle name="제조번호 5 2 2" xfId="5439" xr:uid="{00000000-0005-0000-0000-0000270C0000}"/>
    <cellStyle name="제조번호 5 3" xfId="3144" xr:uid="{00000000-0005-0000-0000-00002B0C0000}"/>
    <cellStyle name="제조번호 5 3 2" xfId="5440" xr:uid="{00000000-0005-0000-0000-0000280C0000}"/>
    <cellStyle name="제조번호 5 4" xfId="3145" xr:uid="{00000000-0005-0000-0000-00002C0C0000}"/>
    <cellStyle name="제조번호 5 4 2" xfId="5441" xr:uid="{00000000-0005-0000-0000-0000290C0000}"/>
    <cellStyle name="제조번호 5 5" xfId="3146" xr:uid="{00000000-0005-0000-0000-00002D0C0000}"/>
    <cellStyle name="제조번호 5 5 2" xfId="5442" xr:uid="{00000000-0005-0000-0000-00002A0C0000}"/>
    <cellStyle name="제조번호 5 6" xfId="5438" xr:uid="{00000000-0005-0000-0000-0000260C0000}"/>
    <cellStyle name="제조번호 6" xfId="3147" xr:uid="{00000000-0005-0000-0000-00002E0C0000}"/>
    <cellStyle name="제조번호 6 2" xfId="3148" xr:uid="{00000000-0005-0000-0000-00002F0C0000}"/>
    <cellStyle name="제조번호 6 2 2" xfId="5444" xr:uid="{00000000-0005-0000-0000-00002C0C0000}"/>
    <cellStyle name="제조번호 6 3" xfId="3149" xr:uid="{00000000-0005-0000-0000-0000300C0000}"/>
    <cellStyle name="제조번호 6 3 2" xfId="5445" xr:uid="{00000000-0005-0000-0000-00002D0C0000}"/>
    <cellStyle name="제조번호 6 4" xfId="3150" xr:uid="{00000000-0005-0000-0000-0000310C0000}"/>
    <cellStyle name="제조번호 6 4 2" xfId="5446" xr:uid="{00000000-0005-0000-0000-00002E0C0000}"/>
    <cellStyle name="제조번호 6 5" xfId="3151" xr:uid="{00000000-0005-0000-0000-0000320C0000}"/>
    <cellStyle name="제조번호 6 5 2" xfId="5447" xr:uid="{00000000-0005-0000-0000-00002F0C0000}"/>
    <cellStyle name="제조번호 6 6" xfId="5443" xr:uid="{00000000-0005-0000-0000-00002B0C0000}"/>
    <cellStyle name="제조번호 7" xfId="3152" xr:uid="{00000000-0005-0000-0000-0000330C0000}"/>
    <cellStyle name="제조번호 7 2" xfId="3153" xr:uid="{00000000-0005-0000-0000-0000340C0000}"/>
    <cellStyle name="제조번호 7 2 2" xfId="5449" xr:uid="{00000000-0005-0000-0000-0000310C0000}"/>
    <cellStyle name="제조번호 7 3" xfId="3154" xr:uid="{00000000-0005-0000-0000-0000350C0000}"/>
    <cellStyle name="제조번호 7 3 2" xfId="5450" xr:uid="{00000000-0005-0000-0000-0000320C0000}"/>
    <cellStyle name="제조번호 7 4" xfId="3155" xr:uid="{00000000-0005-0000-0000-0000360C0000}"/>
    <cellStyle name="제조번호 7 4 2" xfId="5451" xr:uid="{00000000-0005-0000-0000-0000330C0000}"/>
    <cellStyle name="제조번호 7 5" xfId="3156" xr:uid="{00000000-0005-0000-0000-0000370C0000}"/>
    <cellStyle name="제조번호 7 5 2" xfId="5452" xr:uid="{00000000-0005-0000-0000-0000340C0000}"/>
    <cellStyle name="제조번호 7 6" xfId="5448" xr:uid="{00000000-0005-0000-0000-0000300C0000}"/>
    <cellStyle name="제조번호 8" xfId="3157" xr:uid="{00000000-0005-0000-0000-0000380C0000}"/>
    <cellStyle name="제조번호 8 2" xfId="3158" xr:uid="{00000000-0005-0000-0000-0000390C0000}"/>
    <cellStyle name="제조번호 8 2 2" xfId="5454" xr:uid="{00000000-0005-0000-0000-0000360C0000}"/>
    <cellStyle name="제조번호 8 3" xfId="3159" xr:uid="{00000000-0005-0000-0000-00003A0C0000}"/>
    <cellStyle name="제조번호 8 3 2" xfId="5455" xr:uid="{00000000-0005-0000-0000-0000370C0000}"/>
    <cellStyle name="제조번호 8 4" xfId="3160" xr:uid="{00000000-0005-0000-0000-00003B0C0000}"/>
    <cellStyle name="제조번호 8 4 2" xfId="5456" xr:uid="{00000000-0005-0000-0000-0000380C0000}"/>
    <cellStyle name="제조번호 8 5" xfId="3161" xr:uid="{00000000-0005-0000-0000-00003C0C0000}"/>
    <cellStyle name="제조번호 8 5 2" xfId="5457" xr:uid="{00000000-0005-0000-0000-0000390C0000}"/>
    <cellStyle name="제조번호 8 6" xfId="5453" xr:uid="{00000000-0005-0000-0000-0000350C0000}"/>
    <cellStyle name="제조번호 9" xfId="3162" xr:uid="{00000000-0005-0000-0000-00003D0C0000}"/>
    <cellStyle name="제조번호 9 2" xfId="3163" xr:uid="{00000000-0005-0000-0000-00003E0C0000}"/>
    <cellStyle name="제조번호 9 2 2" xfId="5459" xr:uid="{00000000-0005-0000-0000-00003B0C0000}"/>
    <cellStyle name="제조번호 9 3" xfId="3164" xr:uid="{00000000-0005-0000-0000-00003F0C0000}"/>
    <cellStyle name="제조번호 9 3 2" xfId="5460" xr:uid="{00000000-0005-0000-0000-00003C0C0000}"/>
    <cellStyle name="제조번호 9 4" xfId="3165" xr:uid="{00000000-0005-0000-0000-0000400C0000}"/>
    <cellStyle name="제조번호 9 4 2" xfId="5461" xr:uid="{00000000-0005-0000-0000-00003D0C0000}"/>
    <cellStyle name="제조번호 9 5" xfId="3166" xr:uid="{00000000-0005-0000-0000-0000410C0000}"/>
    <cellStyle name="제조번호 9 5 2" xfId="5462" xr:uid="{00000000-0005-0000-0000-00003E0C0000}"/>
    <cellStyle name="제조번호 9 6" xfId="5458" xr:uid="{00000000-0005-0000-0000-00003A0C0000}"/>
    <cellStyle name="좋은양식" xfId="306" xr:uid="{00000000-0005-0000-0000-0000420C0000}"/>
    <cellStyle name="좋음 2" xfId="3167" xr:uid="{00000000-0005-0000-0000-0000430C0000}"/>
    <cellStyle name="注释" xfId="3168" xr:uid="{00000000-0005-0000-0000-0000440C0000}"/>
    <cellStyle name="注释 10" xfId="3169" xr:uid="{00000000-0005-0000-0000-0000450C0000}"/>
    <cellStyle name="注释 10 2" xfId="3170" xr:uid="{00000000-0005-0000-0000-0000460C0000}"/>
    <cellStyle name="注释 10 2 2" xfId="5465" xr:uid="{00000000-0005-0000-0000-0000430C0000}"/>
    <cellStyle name="注释 10 3" xfId="3171" xr:uid="{00000000-0005-0000-0000-0000470C0000}"/>
    <cellStyle name="注释 10 3 2" xfId="5466" xr:uid="{00000000-0005-0000-0000-0000440C0000}"/>
    <cellStyle name="注释 10 4" xfId="3172" xr:uid="{00000000-0005-0000-0000-0000480C0000}"/>
    <cellStyle name="注释 10 4 2" xfId="5467" xr:uid="{00000000-0005-0000-0000-0000450C0000}"/>
    <cellStyle name="注释 10 5" xfId="3173" xr:uid="{00000000-0005-0000-0000-0000490C0000}"/>
    <cellStyle name="注释 10 5 2" xfId="5468" xr:uid="{00000000-0005-0000-0000-0000460C0000}"/>
    <cellStyle name="注释 10 6" xfId="5464" xr:uid="{00000000-0005-0000-0000-0000420C0000}"/>
    <cellStyle name="注释 11" xfId="3174" xr:uid="{00000000-0005-0000-0000-00004A0C0000}"/>
    <cellStyle name="注释 11 2" xfId="3175" xr:uid="{00000000-0005-0000-0000-00004B0C0000}"/>
    <cellStyle name="注释 11 2 2" xfId="5470" xr:uid="{00000000-0005-0000-0000-0000480C0000}"/>
    <cellStyle name="注释 11 3" xfId="3176" xr:uid="{00000000-0005-0000-0000-00004C0C0000}"/>
    <cellStyle name="注释 11 3 2" xfId="5471" xr:uid="{00000000-0005-0000-0000-0000490C0000}"/>
    <cellStyle name="注释 11 4" xfId="3177" xr:uid="{00000000-0005-0000-0000-00004D0C0000}"/>
    <cellStyle name="注释 11 4 2" xfId="5472" xr:uid="{00000000-0005-0000-0000-00004A0C0000}"/>
    <cellStyle name="注释 11 5" xfId="3178" xr:uid="{00000000-0005-0000-0000-00004E0C0000}"/>
    <cellStyle name="注释 11 5 2" xfId="5473" xr:uid="{00000000-0005-0000-0000-00004B0C0000}"/>
    <cellStyle name="注释 11 6" xfId="5469" xr:uid="{00000000-0005-0000-0000-0000470C0000}"/>
    <cellStyle name="注释 12" xfId="3179" xr:uid="{00000000-0005-0000-0000-00004F0C0000}"/>
    <cellStyle name="注释 12 2" xfId="3180" xr:uid="{00000000-0005-0000-0000-0000500C0000}"/>
    <cellStyle name="注释 12 2 2" xfId="5475" xr:uid="{00000000-0005-0000-0000-00004D0C0000}"/>
    <cellStyle name="注释 12 3" xfId="3181" xr:uid="{00000000-0005-0000-0000-0000510C0000}"/>
    <cellStyle name="注释 12 3 2" xfId="5476" xr:uid="{00000000-0005-0000-0000-00004E0C0000}"/>
    <cellStyle name="注释 12 4" xfId="3182" xr:uid="{00000000-0005-0000-0000-0000520C0000}"/>
    <cellStyle name="注释 12 4 2" xfId="5477" xr:uid="{00000000-0005-0000-0000-00004F0C0000}"/>
    <cellStyle name="注释 12 5" xfId="3183" xr:uid="{00000000-0005-0000-0000-0000530C0000}"/>
    <cellStyle name="注释 12 5 2" xfId="5478" xr:uid="{00000000-0005-0000-0000-0000500C0000}"/>
    <cellStyle name="注释 12 6" xfId="5474" xr:uid="{00000000-0005-0000-0000-00004C0C0000}"/>
    <cellStyle name="注释 13" xfId="3184" xr:uid="{00000000-0005-0000-0000-0000540C0000}"/>
    <cellStyle name="注释 13 2" xfId="5479" xr:uid="{00000000-0005-0000-0000-0000510C0000}"/>
    <cellStyle name="注释 14" xfId="3185" xr:uid="{00000000-0005-0000-0000-0000550C0000}"/>
    <cellStyle name="注释 14 2" xfId="5480" xr:uid="{00000000-0005-0000-0000-0000520C0000}"/>
    <cellStyle name="注释 15" xfId="3186" xr:uid="{00000000-0005-0000-0000-0000560C0000}"/>
    <cellStyle name="注释 15 2" xfId="5481" xr:uid="{00000000-0005-0000-0000-0000530C0000}"/>
    <cellStyle name="注释 16" xfId="3187" xr:uid="{00000000-0005-0000-0000-0000570C0000}"/>
    <cellStyle name="注释 16 2" xfId="5482" xr:uid="{00000000-0005-0000-0000-0000540C0000}"/>
    <cellStyle name="注释 17" xfId="5463" xr:uid="{00000000-0005-0000-0000-0000410C0000}"/>
    <cellStyle name="注释 2" xfId="3188" xr:uid="{00000000-0005-0000-0000-0000580C0000}"/>
    <cellStyle name="注释 2 2" xfId="3189" xr:uid="{00000000-0005-0000-0000-0000590C0000}"/>
    <cellStyle name="注释 2 2 2" xfId="5484" xr:uid="{00000000-0005-0000-0000-0000560C0000}"/>
    <cellStyle name="注释 2 3" xfId="3190" xr:uid="{00000000-0005-0000-0000-00005A0C0000}"/>
    <cellStyle name="注释 2 3 2" xfId="5485" xr:uid="{00000000-0005-0000-0000-0000570C0000}"/>
    <cellStyle name="注释 2 4" xfId="3191" xr:uid="{00000000-0005-0000-0000-00005B0C0000}"/>
    <cellStyle name="注释 2 4 2" xfId="5486" xr:uid="{00000000-0005-0000-0000-0000580C0000}"/>
    <cellStyle name="注释 2 5" xfId="3192" xr:uid="{00000000-0005-0000-0000-00005C0C0000}"/>
    <cellStyle name="注释 2 5 2" xfId="5487" xr:uid="{00000000-0005-0000-0000-0000590C0000}"/>
    <cellStyle name="注释 2 6" xfId="5483" xr:uid="{00000000-0005-0000-0000-0000550C0000}"/>
    <cellStyle name="注释 3" xfId="3193" xr:uid="{00000000-0005-0000-0000-00005D0C0000}"/>
    <cellStyle name="注释 3 2" xfId="3194" xr:uid="{00000000-0005-0000-0000-00005E0C0000}"/>
    <cellStyle name="注释 3 2 2" xfId="5489" xr:uid="{00000000-0005-0000-0000-00005B0C0000}"/>
    <cellStyle name="注释 3 3" xfId="3195" xr:uid="{00000000-0005-0000-0000-00005F0C0000}"/>
    <cellStyle name="注释 3 3 2" xfId="5490" xr:uid="{00000000-0005-0000-0000-00005C0C0000}"/>
    <cellStyle name="注释 3 4" xfId="3196" xr:uid="{00000000-0005-0000-0000-0000600C0000}"/>
    <cellStyle name="注释 3 4 2" xfId="5491" xr:uid="{00000000-0005-0000-0000-00005D0C0000}"/>
    <cellStyle name="注释 3 5" xfId="3197" xr:uid="{00000000-0005-0000-0000-0000610C0000}"/>
    <cellStyle name="注释 3 5 2" xfId="5492" xr:uid="{00000000-0005-0000-0000-00005E0C0000}"/>
    <cellStyle name="注释 3 6" xfId="5488" xr:uid="{00000000-0005-0000-0000-00005A0C0000}"/>
    <cellStyle name="注释 4" xfId="3198" xr:uid="{00000000-0005-0000-0000-0000620C0000}"/>
    <cellStyle name="注释 4 2" xfId="3199" xr:uid="{00000000-0005-0000-0000-0000630C0000}"/>
    <cellStyle name="注释 4 2 2" xfId="5494" xr:uid="{00000000-0005-0000-0000-0000600C0000}"/>
    <cellStyle name="注释 4 3" xfId="3200" xr:uid="{00000000-0005-0000-0000-0000640C0000}"/>
    <cellStyle name="注释 4 3 2" xfId="5495" xr:uid="{00000000-0005-0000-0000-0000610C0000}"/>
    <cellStyle name="注释 4 4" xfId="3201" xr:uid="{00000000-0005-0000-0000-0000650C0000}"/>
    <cellStyle name="注释 4 4 2" xfId="5496" xr:uid="{00000000-0005-0000-0000-0000620C0000}"/>
    <cellStyle name="注释 4 5" xfId="3202" xr:uid="{00000000-0005-0000-0000-0000660C0000}"/>
    <cellStyle name="注释 4 5 2" xfId="5497" xr:uid="{00000000-0005-0000-0000-0000630C0000}"/>
    <cellStyle name="注释 4 6" xfId="5493" xr:uid="{00000000-0005-0000-0000-00005F0C0000}"/>
    <cellStyle name="注释 5" xfId="3203" xr:uid="{00000000-0005-0000-0000-0000670C0000}"/>
    <cellStyle name="注释 5 2" xfId="3204" xr:uid="{00000000-0005-0000-0000-0000680C0000}"/>
    <cellStyle name="注释 5 2 2" xfId="5499" xr:uid="{00000000-0005-0000-0000-0000650C0000}"/>
    <cellStyle name="注释 5 3" xfId="3205" xr:uid="{00000000-0005-0000-0000-0000690C0000}"/>
    <cellStyle name="注释 5 3 2" xfId="5500" xr:uid="{00000000-0005-0000-0000-0000660C0000}"/>
    <cellStyle name="注释 5 4" xfId="3206" xr:uid="{00000000-0005-0000-0000-00006A0C0000}"/>
    <cellStyle name="注释 5 4 2" xfId="5501" xr:uid="{00000000-0005-0000-0000-0000670C0000}"/>
    <cellStyle name="注释 5 5" xfId="3207" xr:uid="{00000000-0005-0000-0000-00006B0C0000}"/>
    <cellStyle name="注释 5 5 2" xfId="5502" xr:uid="{00000000-0005-0000-0000-0000680C0000}"/>
    <cellStyle name="注释 5 6" xfId="5498" xr:uid="{00000000-0005-0000-0000-0000640C0000}"/>
    <cellStyle name="注释 6" xfId="3208" xr:uid="{00000000-0005-0000-0000-00006C0C0000}"/>
    <cellStyle name="注释 6 2" xfId="3209" xr:uid="{00000000-0005-0000-0000-00006D0C0000}"/>
    <cellStyle name="注释 6 2 2" xfId="5504" xr:uid="{00000000-0005-0000-0000-00006A0C0000}"/>
    <cellStyle name="注释 6 3" xfId="3210" xr:uid="{00000000-0005-0000-0000-00006E0C0000}"/>
    <cellStyle name="注释 6 3 2" xfId="5505" xr:uid="{00000000-0005-0000-0000-00006B0C0000}"/>
    <cellStyle name="注释 6 4" xfId="3211" xr:uid="{00000000-0005-0000-0000-00006F0C0000}"/>
    <cellStyle name="注释 6 4 2" xfId="5506" xr:uid="{00000000-0005-0000-0000-00006C0C0000}"/>
    <cellStyle name="注释 6 5" xfId="3212" xr:uid="{00000000-0005-0000-0000-0000700C0000}"/>
    <cellStyle name="注释 6 5 2" xfId="5507" xr:uid="{00000000-0005-0000-0000-00006D0C0000}"/>
    <cellStyle name="注释 6 6" xfId="5503" xr:uid="{00000000-0005-0000-0000-0000690C0000}"/>
    <cellStyle name="注释 7" xfId="3213" xr:uid="{00000000-0005-0000-0000-0000710C0000}"/>
    <cellStyle name="注释 7 2" xfId="3214" xr:uid="{00000000-0005-0000-0000-0000720C0000}"/>
    <cellStyle name="注释 7 2 2" xfId="5509" xr:uid="{00000000-0005-0000-0000-00006F0C0000}"/>
    <cellStyle name="注释 7 3" xfId="3215" xr:uid="{00000000-0005-0000-0000-0000730C0000}"/>
    <cellStyle name="注释 7 3 2" xfId="5510" xr:uid="{00000000-0005-0000-0000-0000700C0000}"/>
    <cellStyle name="注释 7 4" xfId="3216" xr:uid="{00000000-0005-0000-0000-0000740C0000}"/>
    <cellStyle name="注释 7 4 2" xfId="5511" xr:uid="{00000000-0005-0000-0000-0000710C0000}"/>
    <cellStyle name="注释 7 5" xfId="3217" xr:uid="{00000000-0005-0000-0000-0000750C0000}"/>
    <cellStyle name="注释 7 5 2" xfId="5512" xr:uid="{00000000-0005-0000-0000-0000720C0000}"/>
    <cellStyle name="注释 7 6" xfId="5508" xr:uid="{00000000-0005-0000-0000-00006E0C0000}"/>
    <cellStyle name="注释 8" xfId="3218" xr:uid="{00000000-0005-0000-0000-0000760C0000}"/>
    <cellStyle name="注释 8 2" xfId="3219" xr:uid="{00000000-0005-0000-0000-0000770C0000}"/>
    <cellStyle name="注释 8 2 2" xfId="5514" xr:uid="{00000000-0005-0000-0000-0000740C0000}"/>
    <cellStyle name="注释 8 3" xfId="3220" xr:uid="{00000000-0005-0000-0000-0000780C0000}"/>
    <cellStyle name="注释 8 3 2" xfId="5515" xr:uid="{00000000-0005-0000-0000-0000750C0000}"/>
    <cellStyle name="注释 8 4" xfId="3221" xr:uid="{00000000-0005-0000-0000-0000790C0000}"/>
    <cellStyle name="注释 8 4 2" xfId="5516" xr:uid="{00000000-0005-0000-0000-0000760C0000}"/>
    <cellStyle name="注释 8 5" xfId="3222" xr:uid="{00000000-0005-0000-0000-00007A0C0000}"/>
    <cellStyle name="注释 8 5 2" xfId="5517" xr:uid="{00000000-0005-0000-0000-0000770C0000}"/>
    <cellStyle name="注释 8 6" xfId="5513" xr:uid="{00000000-0005-0000-0000-0000730C0000}"/>
    <cellStyle name="注释 9" xfId="3223" xr:uid="{00000000-0005-0000-0000-00007B0C0000}"/>
    <cellStyle name="注释 9 2" xfId="3224" xr:uid="{00000000-0005-0000-0000-00007C0C0000}"/>
    <cellStyle name="注释 9 2 2" xfId="5519" xr:uid="{00000000-0005-0000-0000-0000790C0000}"/>
    <cellStyle name="注释 9 3" xfId="3225" xr:uid="{00000000-0005-0000-0000-00007D0C0000}"/>
    <cellStyle name="注释 9 3 2" xfId="5520" xr:uid="{00000000-0005-0000-0000-00007A0C0000}"/>
    <cellStyle name="注释 9 4" xfId="3226" xr:uid="{00000000-0005-0000-0000-00007E0C0000}"/>
    <cellStyle name="注释 9 4 2" xfId="5521" xr:uid="{00000000-0005-0000-0000-00007B0C0000}"/>
    <cellStyle name="注释 9 5" xfId="3227" xr:uid="{00000000-0005-0000-0000-00007F0C0000}"/>
    <cellStyle name="注释 9 5 2" xfId="5522" xr:uid="{00000000-0005-0000-0000-00007C0C0000}"/>
    <cellStyle name="注释 9 6" xfId="5518" xr:uid="{00000000-0005-0000-0000-0000780C0000}"/>
    <cellStyle name="중앙(표준)" xfId="3228" xr:uid="{00000000-0005-0000-0000-0000800C0000}"/>
    <cellStyle name="즓㉤㿙㑩贚ꍆ㿡㑩贚ꍆ㿑" xfId="3229" xr:uid="{00000000-0005-0000-0000-0000810C0000}"/>
    <cellStyle name="증감" xfId="3230" xr:uid="{00000000-0005-0000-0000-0000820C0000}"/>
    <cellStyle name="지정되지 않음" xfId="307" xr:uid="{00000000-0005-0000-0000-0000830C0000}"/>
    <cellStyle name="差" xfId="3231" xr:uid="{00000000-0005-0000-0000-0000840C0000}"/>
    <cellStyle name="差_★분기별 전직원 총급여20080707_01" xfId="3232" xr:uid="{00000000-0005-0000-0000-0000850C0000}"/>
    <cellStyle name="差_01_퇴충(06월)제출_20080708" xfId="3233" xr:uid="{00000000-0005-0000-0000-0000860C0000}"/>
    <cellStyle name="差_06월 인건비성 경비 집행액 요청제공(2008.07.01)" xfId="3234" xr:uid="{00000000-0005-0000-0000-0000870C0000}"/>
    <cellStyle name="钎霖_惫寇bal" xfId="3235" xr:uid="{00000000-0005-0000-0000-0000880C0000}"/>
    <cellStyle name="千分位[0]_GARMENT STEP FORM HK" xfId="3236" xr:uid="{00000000-0005-0000-0000-0000890C0000}"/>
    <cellStyle name="千分位_GARMENT STEP FORM HK" xfId="3237" xr:uid="{00000000-0005-0000-0000-00008A0C0000}"/>
    <cellStyle name="千位分隔[0]_Sheet1" xfId="3238" xr:uid="{00000000-0005-0000-0000-00008B0C0000}"/>
    <cellStyle name="출력 2" xfId="3239" xr:uid="{00000000-0005-0000-0000-00008C0C0000}"/>
    <cellStyle name="출력 2 10" xfId="3240" xr:uid="{00000000-0005-0000-0000-00008D0C0000}"/>
    <cellStyle name="출력 2 10 2" xfId="3241" xr:uid="{00000000-0005-0000-0000-00008E0C0000}"/>
    <cellStyle name="출력 2 10 2 2" xfId="5525" xr:uid="{00000000-0005-0000-0000-00008B0C0000}"/>
    <cellStyle name="출력 2 10 3" xfId="3242" xr:uid="{00000000-0005-0000-0000-00008F0C0000}"/>
    <cellStyle name="출력 2 10 3 2" xfId="5526" xr:uid="{00000000-0005-0000-0000-00008C0C0000}"/>
    <cellStyle name="출력 2 10 4" xfId="3243" xr:uid="{00000000-0005-0000-0000-0000900C0000}"/>
    <cellStyle name="출력 2 10 4 2" xfId="5527" xr:uid="{00000000-0005-0000-0000-00008D0C0000}"/>
    <cellStyle name="출력 2 10 5" xfId="3244" xr:uid="{00000000-0005-0000-0000-0000910C0000}"/>
    <cellStyle name="출력 2 10 5 2" xfId="5528" xr:uid="{00000000-0005-0000-0000-00008E0C0000}"/>
    <cellStyle name="출력 2 10 6" xfId="5524" xr:uid="{00000000-0005-0000-0000-00008A0C0000}"/>
    <cellStyle name="출력 2 11" xfId="3245" xr:uid="{00000000-0005-0000-0000-0000920C0000}"/>
    <cellStyle name="출력 2 11 2" xfId="3246" xr:uid="{00000000-0005-0000-0000-0000930C0000}"/>
    <cellStyle name="출력 2 11 2 2" xfId="5530" xr:uid="{00000000-0005-0000-0000-0000900C0000}"/>
    <cellStyle name="출력 2 11 3" xfId="3247" xr:uid="{00000000-0005-0000-0000-0000940C0000}"/>
    <cellStyle name="출력 2 11 3 2" xfId="5531" xr:uid="{00000000-0005-0000-0000-0000910C0000}"/>
    <cellStyle name="출력 2 11 4" xfId="3248" xr:uid="{00000000-0005-0000-0000-0000950C0000}"/>
    <cellStyle name="출력 2 11 4 2" xfId="5532" xr:uid="{00000000-0005-0000-0000-0000920C0000}"/>
    <cellStyle name="출력 2 11 5" xfId="3249" xr:uid="{00000000-0005-0000-0000-0000960C0000}"/>
    <cellStyle name="출력 2 11 5 2" xfId="5533" xr:uid="{00000000-0005-0000-0000-0000930C0000}"/>
    <cellStyle name="출력 2 11 6" xfId="5529" xr:uid="{00000000-0005-0000-0000-00008F0C0000}"/>
    <cellStyle name="출력 2 12" xfId="3250" xr:uid="{00000000-0005-0000-0000-0000970C0000}"/>
    <cellStyle name="출력 2 12 2" xfId="3251" xr:uid="{00000000-0005-0000-0000-0000980C0000}"/>
    <cellStyle name="출력 2 12 2 2" xfId="5535" xr:uid="{00000000-0005-0000-0000-0000950C0000}"/>
    <cellStyle name="출력 2 12 3" xfId="3252" xr:uid="{00000000-0005-0000-0000-0000990C0000}"/>
    <cellStyle name="출력 2 12 3 2" xfId="5536" xr:uid="{00000000-0005-0000-0000-0000960C0000}"/>
    <cellStyle name="출력 2 12 4" xfId="3253" xr:uid="{00000000-0005-0000-0000-00009A0C0000}"/>
    <cellStyle name="출력 2 12 4 2" xfId="5537" xr:uid="{00000000-0005-0000-0000-0000970C0000}"/>
    <cellStyle name="출력 2 12 5" xfId="3254" xr:uid="{00000000-0005-0000-0000-00009B0C0000}"/>
    <cellStyle name="출력 2 12 5 2" xfId="5538" xr:uid="{00000000-0005-0000-0000-0000980C0000}"/>
    <cellStyle name="출력 2 12 6" xfId="5534" xr:uid="{00000000-0005-0000-0000-0000940C0000}"/>
    <cellStyle name="출력 2 13" xfId="3255" xr:uid="{00000000-0005-0000-0000-00009C0C0000}"/>
    <cellStyle name="출력 2 13 2" xfId="5539" xr:uid="{00000000-0005-0000-0000-0000990C0000}"/>
    <cellStyle name="출력 2 14" xfId="3256" xr:uid="{00000000-0005-0000-0000-00009D0C0000}"/>
    <cellStyle name="출력 2 14 2" xfId="5540" xr:uid="{00000000-0005-0000-0000-00009A0C0000}"/>
    <cellStyle name="출력 2 15" xfId="3257" xr:uid="{00000000-0005-0000-0000-00009E0C0000}"/>
    <cellStyle name="출력 2 15 2" xfId="5541" xr:uid="{00000000-0005-0000-0000-00009B0C0000}"/>
    <cellStyle name="출력 2 16" xfId="3258" xr:uid="{00000000-0005-0000-0000-00009F0C0000}"/>
    <cellStyle name="출력 2 16 2" xfId="5542" xr:uid="{00000000-0005-0000-0000-00009C0C0000}"/>
    <cellStyle name="출력 2 17" xfId="5523" xr:uid="{00000000-0005-0000-0000-0000890C0000}"/>
    <cellStyle name="출력 2 2" xfId="3259" xr:uid="{00000000-0005-0000-0000-0000A00C0000}"/>
    <cellStyle name="출력 2 2 2" xfId="3260" xr:uid="{00000000-0005-0000-0000-0000A10C0000}"/>
    <cellStyle name="출력 2 2 2 2" xfId="5544" xr:uid="{00000000-0005-0000-0000-00009E0C0000}"/>
    <cellStyle name="출력 2 2 3" xfId="3261" xr:uid="{00000000-0005-0000-0000-0000A20C0000}"/>
    <cellStyle name="출력 2 2 3 2" xfId="5545" xr:uid="{00000000-0005-0000-0000-00009F0C0000}"/>
    <cellStyle name="출력 2 2 4" xfId="3262" xr:uid="{00000000-0005-0000-0000-0000A30C0000}"/>
    <cellStyle name="출력 2 2 4 2" xfId="5546" xr:uid="{00000000-0005-0000-0000-0000A00C0000}"/>
    <cellStyle name="출력 2 2 5" xfId="3263" xr:uid="{00000000-0005-0000-0000-0000A40C0000}"/>
    <cellStyle name="출력 2 2 5 2" xfId="5547" xr:uid="{00000000-0005-0000-0000-0000A10C0000}"/>
    <cellStyle name="출력 2 2 6" xfId="5543" xr:uid="{00000000-0005-0000-0000-00009D0C0000}"/>
    <cellStyle name="출력 2 3" xfId="3264" xr:uid="{00000000-0005-0000-0000-0000A50C0000}"/>
    <cellStyle name="출력 2 3 2" xfId="3265" xr:uid="{00000000-0005-0000-0000-0000A60C0000}"/>
    <cellStyle name="출력 2 3 2 2" xfId="5549" xr:uid="{00000000-0005-0000-0000-0000A30C0000}"/>
    <cellStyle name="출력 2 3 3" xfId="3266" xr:uid="{00000000-0005-0000-0000-0000A70C0000}"/>
    <cellStyle name="출력 2 3 3 2" xfId="5550" xr:uid="{00000000-0005-0000-0000-0000A40C0000}"/>
    <cellStyle name="출력 2 3 4" xfId="3267" xr:uid="{00000000-0005-0000-0000-0000A80C0000}"/>
    <cellStyle name="출력 2 3 4 2" xfId="5551" xr:uid="{00000000-0005-0000-0000-0000A50C0000}"/>
    <cellStyle name="출력 2 3 5" xfId="3268" xr:uid="{00000000-0005-0000-0000-0000A90C0000}"/>
    <cellStyle name="출력 2 3 5 2" xfId="5552" xr:uid="{00000000-0005-0000-0000-0000A60C0000}"/>
    <cellStyle name="출력 2 3 6" xfId="5548" xr:uid="{00000000-0005-0000-0000-0000A20C0000}"/>
    <cellStyle name="출력 2 4" xfId="3269" xr:uid="{00000000-0005-0000-0000-0000AA0C0000}"/>
    <cellStyle name="출력 2 4 2" xfId="3270" xr:uid="{00000000-0005-0000-0000-0000AB0C0000}"/>
    <cellStyle name="출력 2 4 2 2" xfId="5554" xr:uid="{00000000-0005-0000-0000-0000A80C0000}"/>
    <cellStyle name="출력 2 4 3" xfId="3271" xr:uid="{00000000-0005-0000-0000-0000AC0C0000}"/>
    <cellStyle name="출력 2 4 3 2" xfId="5555" xr:uid="{00000000-0005-0000-0000-0000A90C0000}"/>
    <cellStyle name="출력 2 4 4" xfId="3272" xr:uid="{00000000-0005-0000-0000-0000AD0C0000}"/>
    <cellStyle name="출력 2 4 4 2" xfId="5556" xr:uid="{00000000-0005-0000-0000-0000AA0C0000}"/>
    <cellStyle name="출력 2 4 5" xfId="3273" xr:uid="{00000000-0005-0000-0000-0000AE0C0000}"/>
    <cellStyle name="출력 2 4 5 2" xfId="5557" xr:uid="{00000000-0005-0000-0000-0000AB0C0000}"/>
    <cellStyle name="출력 2 4 6" xfId="5553" xr:uid="{00000000-0005-0000-0000-0000A70C0000}"/>
    <cellStyle name="출력 2 5" xfId="3274" xr:uid="{00000000-0005-0000-0000-0000AF0C0000}"/>
    <cellStyle name="출력 2 5 2" xfId="3275" xr:uid="{00000000-0005-0000-0000-0000B00C0000}"/>
    <cellStyle name="출력 2 5 2 2" xfId="5559" xr:uid="{00000000-0005-0000-0000-0000AD0C0000}"/>
    <cellStyle name="출력 2 5 3" xfId="3276" xr:uid="{00000000-0005-0000-0000-0000B10C0000}"/>
    <cellStyle name="출력 2 5 3 2" xfId="5560" xr:uid="{00000000-0005-0000-0000-0000AE0C0000}"/>
    <cellStyle name="출력 2 5 4" xfId="3277" xr:uid="{00000000-0005-0000-0000-0000B20C0000}"/>
    <cellStyle name="출력 2 5 4 2" xfId="5561" xr:uid="{00000000-0005-0000-0000-0000AF0C0000}"/>
    <cellStyle name="출력 2 5 5" xfId="3278" xr:uid="{00000000-0005-0000-0000-0000B30C0000}"/>
    <cellStyle name="출력 2 5 5 2" xfId="5562" xr:uid="{00000000-0005-0000-0000-0000B00C0000}"/>
    <cellStyle name="출력 2 5 6" xfId="5558" xr:uid="{00000000-0005-0000-0000-0000AC0C0000}"/>
    <cellStyle name="출력 2 6" xfId="3279" xr:uid="{00000000-0005-0000-0000-0000B40C0000}"/>
    <cellStyle name="출력 2 6 2" xfId="3280" xr:uid="{00000000-0005-0000-0000-0000B50C0000}"/>
    <cellStyle name="출력 2 6 2 2" xfId="5564" xr:uid="{00000000-0005-0000-0000-0000B20C0000}"/>
    <cellStyle name="출력 2 6 3" xfId="3281" xr:uid="{00000000-0005-0000-0000-0000B60C0000}"/>
    <cellStyle name="출력 2 6 3 2" xfId="5565" xr:uid="{00000000-0005-0000-0000-0000B30C0000}"/>
    <cellStyle name="출력 2 6 4" xfId="3282" xr:uid="{00000000-0005-0000-0000-0000B70C0000}"/>
    <cellStyle name="출력 2 6 4 2" xfId="5566" xr:uid="{00000000-0005-0000-0000-0000B40C0000}"/>
    <cellStyle name="출력 2 6 5" xfId="3283" xr:uid="{00000000-0005-0000-0000-0000B80C0000}"/>
    <cellStyle name="출력 2 6 5 2" xfId="5567" xr:uid="{00000000-0005-0000-0000-0000B50C0000}"/>
    <cellStyle name="출력 2 6 6" xfId="5563" xr:uid="{00000000-0005-0000-0000-0000B10C0000}"/>
    <cellStyle name="출력 2 7" xfId="3284" xr:uid="{00000000-0005-0000-0000-0000B90C0000}"/>
    <cellStyle name="출력 2 7 2" xfId="3285" xr:uid="{00000000-0005-0000-0000-0000BA0C0000}"/>
    <cellStyle name="출력 2 7 2 2" xfId="5569" xr:uid="{00000000-0005-0000-0000-0000B70C0000}"/>
    <cellStyle name="출력 2 7 3" xfId="3286" xr:uid="{00000000-0005-0000-0000-0000BB0C0000}"/>
    <cellStyle name="출력 2 7 3 2" xfId="5570" xr:uid="{00000000-0005-0000-0000-0000B80C0000}"/>
    <cellStyle name="출력 2 7 4" xfId="3287" xr:uid="{00000000-0005-0000-0000-0000BC0C0000}"/>
    <cellStyle name="출력 2 7 4 2" xfId="5571" xr:uid="{00000000-0005-0000-0000-0000B90C0000}"/>
    <cellStyle name="출력 2 7 5" xfId="3288" xr:uid="{00000000-0005-0000-0000-0000BD0C0000}"/>
    <cellStyle name="출력 2 7 5 2" xfId="5572" xr:uid="{00000000-0005-0000-0000-0000BA0C0000}"/>
    <cellStyle name="출력 2 7 6" xfId="5568" xr:uid="{00000000-0005-0000-0000-0000B60C0000}"/>
    <cellStyle name="출력 2 8" xfId="3289" xr:uid="{00000000-0005-0000-0000-0000BE0C0000}"/>
    <cellStyle name="출력 2 8 2" xfId="3290" xr:uid="{00000000-0005-0000-0000-0000BF0C0000}"/>
    <cellStyle name="출력 2 8 2 2" xfId="5574" xr:uid="{00000000-0005-0000-0000-0000BC0C0000}"/>
    <cellStyle name="출력 2 8 3" xfId="3291" xr:uid="{00000000-0005-0000-0000-0000C00C0000}"/>
    <cellStyle name="출력 2 8 3 2" xfId="5575" xr:uid="{00000000-0005-0000-0000-0000BD0C0000}"/>
    <cellStyle name="출력 2 8 4" xfId="3292" xr:uid="{00000000-0005-0000-0000-0000C10C0000}"/>
    <cellStyle name="출력 2 8 4 2" xfId="5576" xr:uid="{00000000-0005-0000-0000-0000BE0C0000}"/>
    <cellStyle name="출력 2 8 5" xfId="3293" xr:uid="{00000000-0005-0000-0000-0000C20C0000}"/>
    <cellStyle name="출력 2 8 5 2" xfId="5577" xr:uid="{00000000-0005-0000-0000-0000BF0C0000}"/>
    <cellStyle name="출력 2 8 6" xfId="5573" xr:uid="{00000000-0005-0000-0000-0000BB0C0000}"/>
    <cellStyle name="출력 2 9" xfId="3294" xr:uid="{00000000-0005-0000-0000-0000C30C0000}"/>
    <cellStyle name="출력 2 9 2" xfId="3295" xr:uid="{00000000-0005-0000-0000-0000C40C0000}"/>
    <cellStyle name="출력 2 9 2 2" xfId="5579" xr:uid="{00000000-0005-0000-0000-0000C10C0000}"/>
    <cellStyle name="출력 2 9 3" xfId="3296" xr:uid="{00000000-0005-0000-0000-0000C50C0000}"/>
    <cellStyle name="출력 2 9 3 2" xfId="5580" xr:uid="{00000000-0005-0000-0000-0000C20C0000}"/>
    <cellStyle name="출력 2 9 4" xfId="3297" xr:uid="{00000000-0005-0000-0000-0000C60C0000}"/>
    <cellStyle name="출력 2 9 4 2" xfId="5581" xr:uid="{00000000-0005-0000-0000-0000C30C0000}"/>
    <cellStyle name="출력 2 9 5" xfId="3298" xr:uid="{00000000-0005-0000-0000-0000C70C0000}"/>
    <cellStyle name="출력 2 9 5 2" xfId="5582" xr:uid="{00000000-0005-0000-0000-0000C40C0000}"/>
    <cellStyle name="출력 2 9 6" xfId="5578" xr:uid="{00000000-0005-0000-0000-0000C00C0000}"/>
    <cellStyle name="캅셀" xfId="3299" xr:uid="{00000000-0005-0000-0000-0000C80C0000}"/>
    <cellStyle name="콤Book" xfId="3300" xr:uid="{00000000-0005-0000-0000-0000C90C0000}"/>
    <cellStyle name="콤_x0001_CompObj" xfId="3301" xr:uid="{00000000-0005-0000-0000-0000CA0C0000}"/>
    <cellStyle name="콤냡?&lt;_x000f_$??: `1_1" xfId="308" xr:uid="{00000000-0005-0000-0000-0000CB0C0000}"/>
    <cellStyle name="콤냡?&lt;_x000f_$??:_x0009_`1_1" xfId="309" xr:uid="{00000000-0005-0000-0000-0000CC0C0000}"/>
    <cellStyle name="콤마 [0]" xfId="3302" xr:uid="{00000000-0005-0000-0000-0000CD0C0000}"/>
    <cellStyle name="콤마 [0]laroux_1" xfId="3303" xr:uid="{00000000-0005-0000-0000-0000CE0C0000}"/>
    <cellStyle name="콤마[0]" xfId="3304" xr:uid="{00000000-0005-0000-0000-0000CF0C0000}"/>
    <cellStyle name="콤마_   " xfId="3305" xr:uid="{00000000-0005-0000-0000-0000D00C0000}"/>
    <cellStyle name="콥막 [0]" xfId="3306" xr:uid="{00000000-0005-0000-0000-0000D10C0000}"/>
    <cellStyle name="콥막 [0] 2" xfId="5583" xr:uid="{00000000-0005-0000-0000-0000CE0C0000}"/>
    <cellStyle name="큰제목" xfId="3307" xr:uid="{00000000-0005-0000-0000-0000D20C0000}"/>
    <cellStyle name="테두리(실선)" xfId="3308" xr:uid="{00000000-0005-0000-0000-0000D30C0000}"/>
    <cellStyle name="통" xfId="3309" xr:uid="{00000000-0005-0000-0000-0000D40C0000}"/>
    <cellStyle name="통_5860 위험회피회계손익검토" xfId="3310" xr:uid="{00000000-0005-0000-0000-0000D50C0000}"/>
    <cellStyle name="통_5860 위험회피회계손익검토(0706)" xfId="3311" xr:uid="{00000000-0005-0000-0000-0000D60C0000}"/>
    <cellStyle name="통_617733 외화사채 공정가액위험회피손익 검토" xfId="3312" xr:uid="{00000000-0005-0000-0000-0000D70C0000}"/>
    <cellStyle name="통_현금흐름표자료" xfId="3313" xr:uid="{00000000-0005-0000-0000-0000D80C0000}"/>
    <cellStyle name="통T" xfId="310" xr:uid="{00000000-0005-0000-0000-0000D90C0000}"/>
    <cellStyle name="通貨 [0.00]_BOND SELL LIST" xfId="3314" xr:uid="{00000000-0005-0000-0000-0000DA0C0000}"/>
    <cellStyle name="통화 [0ဠ_Model mix1_원가 " xfId="3315" xr:uid="{00000000-0005-0000-0000-0000DB0C0000}"/>
    <cellStyle name="通貨_BOND SELL LIST" xfId="3316" xr:uid="{00000000-0005-0000-0000-0000DC0C0000}"/>
    <cellStyle name="통화H$2" xfId="3317" xr:uid="{00000000-0005-0000-0000-0000DD0C0000}"/>
    <cellStyle name="톶확 [0]" xfId="3318" xr:uid="{00000000-0005-0000-0000-0000DE0C0000}"/>
    <cellStyle name="톶확 [0] 2" xfId="5584" xr:uid="{00000000-0005-0000-0000-0000DB0C0000}"/>
    <cellStyle name="트럭" xfId="311" xr:uid="{00000000-0005-0000-0000-0000DF0C0000}"/>
    <cellStyle name="퍼센트" xfId="312" xr:uid="{00000000-0005-0000-0000-0000E00C0000}"/>
    <cellStyle name="퍼센트 2" xfId="3319" xr:uid="{00000000-0005-0000-0000-0000E10C0000}"/>
    <cellStyle name="평" xfId="3320" xr:uid="{00000000-0005-0000-0000-0000E20C0000}"/>
    <cellStyle name="평_평가지표.영업점의견 - 영남본부" xfId="3321" xr:uid="{00000000-0005-0000-0000-0000E30C0000}"/>
    <cellStyle name="標?_laroux" xfId="3322" xr:uid="{00000000-0005-0000-0000-0000E40C0000}"/>
    <cellStyle name="标题" xfId="3323" xr:uid="{00000000-0005-0000-0000-0000E50C0000}"/>
    <cellStyle name="标题 1" xfId="3324" xr:uid="{00000000-0005-0000-0000-0000E60C0000}"/>
    <cellStyle name="标题 2" xfId="3325" xr:uid="{00000000-0005-0000-0000-0000E70C0000}"/>
    <cellStyle name="标题 3" xfId="3326" xr:uid="{00000000-0005-0000-0000-0000E80C0000}"/>
    <cellStyle name="标题 4" xfId="3327" xr:uid="{00000000-0005-0000-0000-0000E90C0000}"/>
    <cellStyle name="标题_★분기별 전직원 총급여20080707_01" xfId="3328" xr:uid="{00000000-0005-0000-0000-0000EA0C0000}"/>
    <cellStyle name="표준" xfId="0" builtinId="0"/>
    <cellStyle name="표준 10" xfId="313" xr:uid="{00000000-0005-0000-0000-0000EC0C0000}"/>
    <cellStyle name="표준 10 2" xfId="314" xr:uid="{00000000-0005-0000-0000-0000ED0C0000}"/>
    <cellStyle name="표준 10 2 2" xfId="3329" xr:uid="{00000000-0005-0000-0000-0000EE0C0000}"/>
    <cellStyle name="표준 10 9" xfId="3528" xr:uid="{00000000-0005-0000-0000-0000EF0C0000}"/>
    <cellStyle name="표준 11" xfId="3330" xr:uid="{00000000-0005-0000-0000-0000F00C0000}"/>
    <cellStyle name="표준 12" xfId="315" xr:uid="{00000000-0005-0000-0000-0000F10C0000}"/>
    <cellStyle name="표준 12 2" xfId="316" xr:uid="{00000000-0005-0000-0000-0000F20C0000}"/>
    <cellStyle name="표준 13" xfId="3331" xr:uid="{00000000-0005-0000-0000-0000F30C0000}"/>
    <cellStyle name="표준 14" xfId="3332" xr:uid="{00000000-0005-0000-0000-0000F40C0000}"/>
    <cellStyle name="표준 15" xfId="3333" xr:uid="{00000000-0005-0000-0000-0000F50C0000}"/>
    <cellStyle name="표준 16" xfId="3334" xr:uid="{00000000-0005-0000-0000-0000F60C0000}"/>
    <cellStyle name="표준 17" xfId="3335" xr:uid="{00000000-0005-0000-0000-0000F70C0000}"/>
    <cellStyle name="표준 18" xfId="3336" xr:uid="{00000000-0005-0000-0000-0000F80C0000}"/>
    <cellStyle name="표준 19" xfId="3337" xr:uid="{00000000-0005-0000-0000-0000F90C0000}"/>
    <cellStyle name="표준 2" xfId="317" xr:uid="{00000000-0005-0000-0000-0000FA0C0000}"/>
    <cellStyle name="표준 2 10" xfId="3338" xr:uid="{00000000-0005-0000-0000-0000FB0C0000}"/>
    <cellStyle name="표준 2 10 2" xfId="318" xr:uid="{00000000-0005-0000-0000-0000FC0C0000}"/>
    <cellStyle name="표준 2 2" xfId="319" xr:uid="{00000000-0005-0000-0000-0000FD0C0000}"/>
    <cellStyle name="표준 2 2 10" xfId="3339" xr:uid="{00000000-0005-0000-0000-0000FE0C0000}"/>
    <cellStyle name="표준 2 2 2" xfId="3340" xr:uid="{00000000-0005-0000-0000-0000FF0C0000}"/>
    <cellStyle name="표준 2 2 2 2" xfId="3341" xr:uid="{00000000-0005-0000-0000-0000000D0000}"/>
    <cellStyle name="표준 2 2 3" xfId="3342" xr:uid="{00000000-0005-0000-0000-0000010D0000}"/>
    <cellStyle name="표준 2 2 4" xfId="3343" xr:uid="{00000000-0005-0000-0000-0000020D0000}"/>
    <cellStyle name="표준 2 2 5" xfId="3344" xr:uid="{00000000-0005-0000-0000-0000030D0000}"/>
    <cellStyle name="표준 2 2 6" xfId="3345" xr:uid="{00000000-0005-0000-0000-0000040D0000}"/>
    <cellStyle name="표준 2 2 7" xfId="3530" xr:uid="{B7510241-6609-4C1E-8095-01184B31DAE7}"/>
    <cellStyle name="표준 2 3" xfId="320" xr:uid="{00000000-0005-0000-0000-0000050D0000}"/>
    <cellStyle name="표준 2 3 2" xfId="3346" xr:uid="{00000000-0005-0000-0000-0000060D0000}"/>
    <cellStyle name="표준 2 3 6" xfId="5729" xr:uid="{40B035A3-C381-4DBF-B98E-6162421054D1}"/>
    <cellStyle name="표준 2 4" xfId="3347" xr:uid="{00000000-0005-0000-0000-0000070D0000}"/>
    <cellStyle name="표준 2 5" xfId="3348" xr:uid="{00000000-0005-0000-0000-0000080D0000}"/>
    <cellStyle name="표준 2_▶(경평,송부용) 9월 ROAA 관리업체" xfId="3349" xr:uid="{00000000-0005-0000-0000-0000090D0000}"/>
    <cellStyle name="표준 20" xfId="3350" xr:uid="{00000000-0005-0000-0000-00000A0D0000}"/>
    <cellStyle name="표준 20 2" xfId="3351" xr:uid="{00000000-0005-0000-0000-00000B0D0000}"/>
    <cellStyle name="표준 20 3" xfId="3352" xr:uid="{00000000-0005-0000-0000-00000C0D0000}"/>
    <cellStyle name="표준 20 3 2" xfId="5586" xr:uid="{00000000-0005-0000-0000-0000080D0000}"/>
    <cellStyle name="표준 20 4" xfId="3353" xr:uid="{00000000-0005-0000-0000-00000D0D0000}"/>
    <cellStyle name="표준 20 4 2" xfId="5587" xr:uid="{00000000-0005-0000-0000-0000090D0000}"/>
    <cellStyle name="표준 20 5" xfId="3354" xr:uid="{00000000-0005-0000-0000-00000E0D0000}"/>
    <cellStyle name="표준 20 5 2" xfId="5588" xr:uid="{00000000-0005-0000-0000-00000A0D0000}"/>
    <cellStyle name="표준 20 6" xfId="3355" xr:uid="{00000000-0005-0000-0000-00000F0D0000}"/>
    <cellStyle name="표준 20 6 2" xfId="5589" xr:uid="{00000000-0005-0000-0000-00000B0D0000}"/>
    <cellStyle name="표준 20 7" xfId="3356" xr:uid="{00000000-0005-0000-0000-0000100D0000}"/>
    <cellStyle name="표준 20 7 2" xfId="5590" xr:uid="{00000000-0005-0000-0000-00000C0D0000}"/>
    <cellStyle name="표준 20 8" xfId="3357" xr:uid="{00000000-0005-0000-0000-0000110D0000}"/>
    <cellStyle name="표준 20 8 2" xfId="5591" xr:uid="{00000000-0005-0000-0000-00000D0D0000}"/>
    <cellStyle name="표준 20 9" xfId="5585" xr:uid="{00000000-0005-0000-0000-0000060D0000}"/>
    <cellStyle name="표준 21" xfId="3358" xr:uid="{00000000-0005-0000-0000-0000120D0000}"/>
    <cellStyle name="표준 21 2" xfId="3359" xr:uid="{00000000-0005-0000-0000-0000130D0000}"/>
    <cellStyle name="표준 21 2 2" xfId="5593" xr:uid="{00000000-0005-0000-0000-00000F0D0000}"/>
    <cellStyle name="표준 21 3" xfId="3360" xr:uid="{00000000-0005-0000-0000-0000140D0000}"/>
    <cellStyle name="표준 21 3 2" xfId="5594" xr:uid="{00000000-0005-0000-0000-0000100D0000}"/>
    <cellStyle name="표준 21 4" xfId="3361" xr:uid="{00000000-0005-0000-0000-0000150D0000}"/>
    <cellStyle name="표준 21 4 2" xfId="5595" xr:uid="{00000000-0005-0000-0000-0000110D0000}"/>
    <cellStyle name="표준 21 5" xfId="3362" xr:uid="{00000000-0005-0000-0000-0000160D0000}"/>
    <cellStyle name="표준 21 5 2" xfId="5596" xr:uid="{00000000-0005-0000-0000-0000120D0000}"/>
    <cellStyle name="표준 21 6" xfId="3363" xr:uid="{00000000-0005-0000-0000-0000170D0000}"/>
    <cellStyle name="표준 21 6 2" xfId="5597" xr:uid="{00000000-0005-0000-0000-0000130D0000}"/>
    <cellStyle name="표준 21 7" xfId="3364" xr:uid="{00000000-0005-0000-0000-0000180D0000}"/>
    <cellStyle name="표준 21 7 2" xfId="5598" xr:uid="{00000000-0005-0000-0000-0000140D0000}"/>
    <cellStyle name="표준 21 8" xfId="5592" xr:uid="{00000000-0005-0000-0000-00000E0D0000}"/>
    <cellStyle name="표준 22" xfId="3365" xr:uid="{00000000-0005-0000-0000-0000190D0000}"/>
    <cellStyle name="표준 22 2" xfId="3366" xr:uid="{00000000-0005-0000-0000-00001A0D0000}"/>
    <cellStyle name="표준 22 2 2" xfId="5600" xr:uid="{00000000-0005-0000-0000-0000160D0000}"/>
    <cellStyle name="표준 22 3" xfId="3367" xr:uid="{00000000-0005-0000-0000-00001B0D0000}"/>
    <cellStyle name="표준 22 3 2" xfId="5601" xr:uid="{00000000-0005-0000-0000-0000170D0000}"/>
    <cellStyle name="표준 22 4" xfId="3368" xr:uid="{00000000-0005-0000-0000-00001C0D0000}"/>
    <cellStyle name="표준 22 4 2" xfId="5602" xr:uid="{00000000-0005-0000-0000-0000180D0000}"/>
    <cellStyle name="표준 22 5" xfId="3369" xr:uid="{00000000-0005-0000-0000-00001D0D0000}"/>
    <cellStyle name="표준 22 5 2" xfId="5603" xr:uid="{00000000-0005-0000-0000-0000190D0000}"/>
    <cellStyle name="표준 22 6" xfId="3370" xr:uid="{00000000-0005-0000-0000-00001E0D0000}"/>
    <cellStyle name="표준 22 6 2" xfId="5604" xr:uid="{00000000-0005-0000-0000-00001A0D0000}"/>
    <cellStyle name="표준 22 7" xfId="3371" xr:uid="{00000000-0005-0000-0000-00001F0D0000}"/>
    <cellStyle name="표준 22 7 2" xfId="5605" xr:uid="{00000000-0005-0000-0000-00001B0D0000}"/>
    <cellStyle name="표준 22 8" xfId="5599" xr:uid="{00000000-0005-0000-0000-0000150D0000}"/>
    <cellStyle name="표준 23" xfId="3372" xr:uid="{00000000-0005-0000-0000-0000200D0000}"/>
    <cellStyle name="표준 23 2" xfId="5606" xr:uid="{00000000-0005-0000-0000-00001C0D0000}"/>
    <cellStyle name="표준 24" xfId="3531" xr:uid="{3C8B9CB0-8145-48F0-9CE8-7D5660EF7DA6}"/>
    <cellStyle name="표준 25" xfId="5728" xr:uid="{67651838-3F2B-4090-A636-500153C513FC}"/>
    <cellStyle name="표준 29_'1104 주담대 종합_110614" xfId="3373" xr:uid="{00000000-0005-0000-0000-0000210D0000}"/>
    <cellStyle name="표준 3" xfId="321" xr:uid="{00000000-0005-0000-0000-0000220D0000}"/>
    <cellStyle name="표준 3 2" xfId="322" xr:uid="{00000000-0005-0000-0000-0000230D0000}"/>
    <cellStyle name="표준 3 3" xfId="3374" xr:uid="{00000000-0005-0000-0000-0000240D0000}"/>
    <cellStyle name="표준 3 3 2" xfId="5607" xr:uid="{00000000-0005-0000-0000-0000200D0000}"/>
    <cellStyle name="표준 3 4" xfId="3375" xr:uid="{00000000-0005-0000-0000-0000250D0000}"/>
    <cellStyle name="표준 3 5" xfId="3376" xr:uid="{00000000-0005-0000-0000-0000260D0000}"/>
    <cellStyle name="표준 4" xfId="323" xr:uid="{00000000-0005-0000-0000-0000270D0000}"/>
    <cellStyle name="표준 4 2" xfId="3377" xr:uid="{00000000-0005-0000-0000-0000280D0000}"/>
    <cellStyle name="표준 4 3" xfId="3378" xr:uid="{00000000-0005-0000-0000-0000290D0000}"/>
    <cellStyle name="표준 4 4" xfId="3379" xr:uid="{00000000-0005-0000-0000-00002A0D0000}"/>
    <cellStyle name="표준 5" xfId="324" xr:uid="{00000000-0005-0000-0000-00002B0D0000}"/>
    <cellStyle name="표준 5 2" xfId="3380" xr:uid="{00000000-0005-0000-0000-00002C0D0000}"/>
    <cellStyle name="표준 5_김종훈,유일호_홍보팀" xfId="3381" xr:uid="{00000000-0005-0000-0000-00002D0D0000}"/>
    <cellStyle name="표준 6" xfId="336" xr:uid="{00000000-0005-0000-0000-00002E0D0000}"/>
    <cellStyle name="표준 6 2" xfId="3382" xr:uid="{00000000-0005-0000-0000-00002F0D0000}"/>
    <cellStyle name="표준 6 3" xfId="3383" xr:uid="{00000000-0005-0000-0000-0000300D0000}"/>
    <cellStyle name="표준 6 4" xfId="3384" xr:uid="{00000000-0005-0000-0000-0000310D0000}"/>
    <cellStyle name="표준 6 5" xfId="3385" xr:uid="{00000000-0005-0000-0000-0000320D0000}"/>
    <cellStyle name="표준 6_(양식) 이성남, 조영택 의원" xfId="3386" xr:uid="{00000000-0005-0000-0000-0000330D0000}"/>
    <cellStyle name="표준 7" xfId="3387" xr:uid="{00000000-0005-0000-0000-0000340D0000}"/>
    <cellStyle name="표준 8" xfId="3388" xr:uid="{00000000-0005-0000-0000-0000350D0000}"/>
    <cellStyle name="표준 8 2" xfId="3389" xr:uid="{00000000-0005-0000-0000-0000360D0000}"/>
    <cellStyle name="표준 9" xfId="3390" xr:uid="{00000000-0005-0000-0000-0000370D0000}"/>
    <cellStyle name="표준 9 2" xfId="3391" xr:uid="{00000000-0005-0000-0000-0000380D0000}"/>
    <cellStyle name="표준(중앙)" xfId="3392" xr:uid="{00000000-0005-0000-0000-0000390D0000}"/>
    <cellStyle name="標準_~8975555" xfId="3393" xr:uid="{00000000-0005-0000-0000-00003B0D0000}"/>
    <cellStyle name="표준_1_나(재무제표) 2" xfId="334" xr:uid="{00000000-0005-0000-0000-00003C0D0000}"/>
    <cellStyle name="표준_2가_재무제표(040227)" xfId="335" xr:uid="{00000000-0005-0000-0000-00003D0D0000}"/>
    <cellStyle name="標準_Akia(F）-8" xfId="325" xr:uid="{00000000-0005-0000-0000-0000400D0000}"/>
    <cellStyle name="표준_대주주보고서신설양식_최종" xfId="5731" xr:uid="{4BEF62A6-47D7-4BCD-8554-A470966A63A3}"/>
    <cellStyle name="표준_신규양식_여전실(수정12.6)" xfId="326" xr:uid="{00000000-0005-0000-0000-0000440D0000}"/>
    <cellStyle name="표준_업무보고서 개정 B2400" xfId="5732" xr:uid="{9C58443A-FD00-41DC-8D16-C7FA640D965E}"/>
    <cellStyle name="표준_업무보고서 개정 B2601 B2607 2" xfId="3529" xr:uid="{00000000-0005-0000-0000-0000470D0000}"/>
    <cellStyle name="표준_업무보고서 목차(2007.11월개정) 수정1" xfId="327" xr:uid="{00000000-0005-0000-0000-0000480D0000}"/>
    <cellStyle name="표준_업무보고서개정양식-자금조달등" xfId="5730" xr:uid="{717D7FB1-EF08-48A7-818C-815D93BA9A1A}"/>
    <cellStyle name="표준1" xfId="3394" xr:uid="{00000000-0005-0000-0000-00004D0D0000}"/>
    <cellStyle name="하이퍼링크" xfId="5733" builtinId="8"/>
    <cellStyle name="하이퍼링크 2" xfId="328" xr:uid="{00000000-0005-0000-0000-00004E0D0000}"/>
    <cellStyle name="합산" xfId="329" xr:uid="{00000000-0005-0000-0000-00004F0D0000}"/>
    <cellStyle name="桁?切り [0.00]_FLCCHECKTOKYO(0106)" xfId="3395" xr:uid="{00000000-0005-0000-0000-0000500D0000}"/>
    <cellStyle name="桁?切り_FLCCHECKTOKYO(0106)" xfId="3396" xr:uid="{00000000-0005-0000-0000-0000510D0000}"/>
    <cellStyle name="桁区切り [0.00]_FLCCHECKTOKYO(0106)" xfId="3397" xr:uid="{00000000-0005-0000-0000-0000520D0000}"/>
    <cellStyle name="桁区切り_Hitachi M Report 0527 Fax Cover" xfId="330" xr:uid="{00000000-0005-0000-0000-0000530D0000}"/>
    <cellStyle name="解释性文本" xfId="3398" xr:uid="{00000000-0005-0000-0000-0000540D0000}"/>
    <cellStyle name="헤딩" xfId="3399" xr:uid="{00000000-0005-0000-0000-0000550D0000}"/>
    <cellStyle name="好" xfId="3400" xr:uid="{00000000-0005-0000-0000-0000560D0000}"/>
    <cellStyle name="好_★분기별 전직원 총급여20080707_01" xfId="3401" xr:uid="{00000000-0005-0000-0000-0000570D0000}"/>
    <cellStyle name="好_01_퇴충(06월)제출_20080708" xfId="3402" xr:uid="{00000000-0005-0000-0000-0000580D0000}"/>
    <cellStyle name="好_06월 인건비성 경비 집행액 요청제공(2008.07.01)" xfId="3403" xr:uid="{00000000-0005-0000-0000-0000590D0000}"/>
    <cellStyle name="貨幣 [0]_GARMENT STEP FORM HK" xfId="3404" xr:uid="{00000000-0005-0000-0000-00005A0D0000}"/>
    <cellStyle name="貨幣_GARMENT STEP FORM HK" xfId="3405" xr:uid="{00000000-0005-0000-0000-00005B0D0000}"/>
    <cellStyle name="화폐기호" xfId="331" xr:uid="{00000000-0005-0000-0000-00005C0D0000}"/>
    <cellStyle name="화폐기호 2" xfId="3406" xr:uid="{00000000-0005-0000-0000-00005D0D0000}"/>
    <cellStyle name="화폐기호0" xfId="332" xr:uid="{00000000-0005-0000-0000-00005E0D0000}"/>
    <cellStyle name="화폐기호0 2" xfId="3407" xr:uid="{00000000-0005-0000-0000-00005F0D0000}"/>
    <cellStyle name="확인" xfId="333" xr:uid="{00000000-0005-0000-0000-0000600D0000}"/>
    <cellStyle name="회색테두리" xfId="3408" xr:uid="{00000000-0005-0000-0000-0000610D0000}"/>
    <cellStyle name="회색테두리 10" xfId="3409" xr:uid="{00000000-0005-0000-0000-0000620D0000}"/>
    <cellStyle name="회색테두리 10 2" xfId="3410" xr:uid="{00000000-0005-0000-0000-0000630D0000}"/>
    <cellStyle name="회색테두리 10 2 2" xfId="5610" xr:uid="{00000000-0005-0000-0000-0000500D0000}"/>
    <cellStyle name="회색테두리 10 3" xfId="3411" xr:uid="{00000000-0005-0000-0000-0000640D0000}"/>
    <cellStyle name="회색테두리 10 3 2" xfId="5611" xr:uid="{00000000-0005-0000-0000-0000510D0000}"/>
    <cellStyle name="회색테두리 10 4" xfId="3412" xr:uid="{00000000-0005-0000-0000-0000650D0000}"/>
    <cellStyle name="회색테두리 10 4 2" xfId="5612" xr:uid="{00000000-0005-0000-0000-0000520D0000}"/>
    <cellStyle name="회색테두리 10 5" xfId="3413" xr:uid="{00000000-0005-0000-0000-0000660D0000}"/>
    <cellStyle name="회색테두리 10 5 2" xfId="5613" xr:uid="{00000000-0005-0000-0000-0000530D0000}"/>
    <cellStyle name="회색테두리 10 6" xfId="5609" xr:uid="{00000000-0005-0000-0000-00004F0D0000}"/>
    <cellStyle name="회색테두리 11" xfId="3414" xr:uid="{00000000-0005-0000-0000-0000670D0000}"/>
    <cellStyle name="회색테두리 11 2" xfId="3415" xr:uid="{00000000-0005-0000-0000-0000680D0000}"/>
    <cellStyle name="회색테두리 11 2 2" xfId="5615" xr:uid="{00000000-0005-0000-0000-0000550D0000}"/>
    <cellStyle name="회색테두리 11 3" xfId="3416" xr:uid="{00000000-0005-0000-0000-0000690D0000}"/>
    <cellStyle name="회색테두리 11 3 2" xfId="5616" xr:uid="{00000000-0005-0000-0000-0000560D0000}"/>
    <cellStyle name="회색테두리 11 4" xfId="3417" xr:uid="{00000000-0005-0000-0000-00006A0D0000}"/>
    <cellStyle name="회색테두리 11 4 2" xfId="5617" xr:uid="{00000000-0005-0000-0000-0000570D0000}"/>
    <cellStyle name="회색테두리 11 5" xfId="3418" xr:uid="{00000000-0005-0000-0000-00006B0D0000}"/>
    <cellStyle name="회색테두리 11 5 2" xfId="5618" xr:uid="{00000000-0005-0000-0000-0000580D0000}"/>
    <cellStyle name="회색테두리 11 6" xfId="5614" xr:uid="{00000000-0005-0000-0000-0000540D0000}"/>
    <cellStyle name="회색테두리 12" xfId="3419" xr:uid="{00000000-0005-0000-0000-00006C0D0000}"/>
    <cellStyle name="회색테두리 12 2" xfId="3420" xr:uid="{00000000-0005-0000-0000-00006D0D0000}"/>
    <cellStyle name="회색테두리 12 2 2" xfId="5620" xr:uid="{00000000-0005-0000-0000-00005A0D0000}"/>
    <cellStyle name="회색테두리 12 3" xfId="3421" xr:uid="{00000000-0005-0000-0000-00006E0D0000}"/>
    <cellStyle name="회색테두리 12 3 2" xfId="5621" xr:uid="{00000000-0005-0000-0000-00005B0D0000}"/>
    <cellStyle name="회색테두리 12 4" xfId="3422" xr:uid="{00000000-0005-0000-0000-00006F0D0000}"/>
    <cellStyle name="회색테두리 12 4 2" xfId="5622" xr:uid="{00000000-0005-0000-0000-00005C0D0000}"/>
    <cellStyle name="회색테두리 12 5" xfId="3423" xr:uid="{00000000-0005-0000-0000-0000700D0000}"/>
    <cellStyle name="회색테두리 12 5 2" xfId="5623" xr:uid="{00000000-0005-0000-0000-00005D0D0000}"/>
    <cellStyle name="회색테두리 12 6" xfId="5619" xr:uid="{00000000-0005-0000-0000-0000590D0000}"/>
    <cellStyle name="회색테두리 13" xfId="3424" xr:uid="{00000000-0005-0000-0000-0000710D0000}"/>
    <cellStyle name="회색테두리 13 2" xfId="5624" xr:uid="{00000000-0005-0000-0000-00005E0D0000}"/>
    <cellStyle name="회색테두리 14" xfId="3425" xr:uid="{00000000-0005-0000-0000-0000720D0000}"/>
    <cellStyle name="회색테두리 14 2" xfId="5625" xr:uid="{00000000-0005-0000-0000-00005F0D0000}"/>
    <cellStyle name="회색테두리 15" xfId="3426" xr:uid="{00000000-0005-0000-0000-0000730D0000}"/>
    <cellStyle name="회색테두리 15 2" xfId="5626" xr:uid="{00000000-0005-0000-0000-0000600D0000}"/>
    <cellStyle name="회색테두리 16" xfId="3427" xr:uid="{00000000-0005-0000-0000-0000740D0000}"/>
    <cellStyle name="회색테두리 16 2" xfId="5627" xr:uid="{00000000-0005-0000-0000-0000610D0000}"/>
    <cellStyle name="회색테두리 17" xfId="5608" xr:uid="{00000000-0005-0000-0000-00004E0D0000}"/>
    <cellStyle name="회색테두리 2" xfId="3428" xr:uid="{00000000-0005-0000-0000-0000750D0000}"/>
    <cellStyle name="회색테두리 2 2" xfId="3429" xr:uid="{00000000-0005-0000-0000-0000760D0000}"/>
    <cellStyle name="회색테두리 2 2 2" xfId="5629" xr:uid="{00000000-0005-0000-0000-0000630D0000}"/>
    <cellStyle name="회색테두리 2 3" xfId="3430" xr:uid="{00000000-0005-0000-0000-0000770D0000}"/>
    <cellStyle name="회색테두리 2 3 2" xfId="5630" xr:uid="{00000000-0005-0000-0000-0000640D0000}"/>
    <cellStyle name="회색테두리 2 4" xfId="3431" xr:uid="{00000000-0005-0000-0000-0000780D0000}"/>
    <cellStyle name="회색테두리 2 4 2" xfId="5631" xr:uid="{00000000-0005-0000-0000-0000650D0000}"/>
    <cellStyle name="회색테두리 2 5" xfId="3432" xr:uid="{00000000-0005-0000-0000-0000790D0000}"/>
    <cellStyle name="회색테두리 2 5 2" xfId="5632" xr:uid="{00000000-0005-0000-0000-0000660D0000}"/>
    <cellStyle name="회색테두리 2 6" xfId="5628" xr:uid="{00000000-0005-0000-0000-0000620D0000}"/>
    <cellStyle name="회색테두리 3" xfId="3433" xr:uid="{00000000-0005-0000-0000-00007A0D0000}"/>
    <cellStyle name="회색테두리 3 2" xfId="3434" xr:uid="{00000000-0005-0000-0000-00007B0D0000}"/>
    <cellStyle name="회색테두리 3 2 2" xfId="5634" xr:uid="{00000000-0005-0000-0000-0000680D0000}"/>
    <cellStyle name="회색테두리 3 3" xfId="3435" xr:uid="{00000000-0005-0000-0000-00007C0D0000}"/>
    <cellStyle name="회색테두리 3 3 2" xfId="5635" xr:uid="{00000000-0005-0000-0000-0000690D0000}"/>
    <cellStyle name="회색테두리 3 4" xfId="3436" xr:uid="{00000000-0005-0000-0000-00007D0D0000}"/>
    <cellStyle name="회색테두리 3 4 2" xfId="5636" xr:uid="{00000000-0005-0000-0000-00006A0D0000}"/>
    <cellStyle name="회색테두리 3 5" xfId="3437" xr:uid="{00000000-0005-0000-0000-00007E0D0000}"/>
    <cellStyle name="회색테두리 3 5 2" xfId="5637" xr:uid="{00000000-0005-0000-0000-00006B0D0000}"/>
    <cellStyle name="회색테두리 3 6" xfId="5633" xr:uid="{00000000-0005-0000-0000-0000670D0000}"/>
    <cellStyle name="회색테두리 4" xfId="3438" xr:uid="{00000000-0005-0000-0000-00007F0D0000}"/>
    <cellStyle name="회색테두리 4 2" xfId="3439" xr:uid="{00000000-0005-0000-0000-0000800D0000}"/>
    <cellStyle name="회색테두리 4 2 2" xfId="5639" xr:uid="{00000000-0005-0000-0000-00006D0D0000}"/>
    <cellStyle name="회색테두리 4 3" xfId="3440" xr:uid="{00000000-0005-0000-0000-0000810D0000}"/>
    <cellStyle name="회색테두리 4 3 2" xfId="5640" xr:uid="{00000000-0005-0000-0000-00006E0D0000}"/>
    <cellStyle name="회색테두리 4 4" xfId="3441" xr:uid="{00000000-0005-0000-0000-0000820D0000}"/>
    <cellStyle name="회색테두리 4 4 2" xfId="5641" xr:uid="{00000000-0005-0000-0000-00006F0D0000}"/>
    <cellStyle name="회색테두리 4 5" xfId="3442" xr:uid="{00000000-0005-0000-0000-0000830D0000}"/>
    <cellStyle name="회색테두리 4 5 2" xfId="5642" xr:uid="{00000000-0005-0000-0000-0000700D0000}"/>
    <cellStyle name="회색테두리 4 6" xfId="5638" xr:uid="{00000000-0005-0000-0000-00006C0D0000}"/>
    <cellStyle name="회색테두리 5" xfId="3443" xr:uid="{00000000-0005-0000-0000-0000840D0000}"/>
    <cellStyle name="회색테두리 5 2" xfId="3444" xr:uid="{00000000-0005-0000-0000-0000850D0000}"/>
    <cellStyle name="회색테두리 5 2 2" xfId="5644" xr:uid="{00000000-0005-0000-0000-0000720D0000}"/>
    <cellStyle name="회색테두리 5 3" xfId="3445" xr:uid="{00000000-0005-0000-0000-0000860D0000}"/>
    <cellStyle name="회색테두리 5 3 2" xfId="5645" xr:uid="{00000000-0005-0000-0000-0000730D0000}"/>
    <cellStyle name="회색테두리 5 4" xfId="3446" xr:uid="{00000000-0005-0000-0000-0000870D0000}"/>
    <cellStyle name="회색테두리 5 4 2" xfId="5646" xr:uid="{00000000-0005-0000-0000-0000740D0000}"/>
    <cellStyle name="회색테두리 5 5" xfId="3447" xr:uid="{00000000-0005-0000-0000-0000880D0000}"/>
    <cellStyle name="회색테두리 5 5 2" xfId="5647" xr:uid="{00000000-0005-0000-0000-0000750D0000}"/>
    <cellStyle name="회색테두리 5 6" xfId="5643" xr:uid="{00000000-0005-0000-0000-0000710D0000}"/>
    <cellStyle name="회색테두리 6" xfId="3448" xr:uid="{00000000-0005-0000-0000-0000890D0000}"/>
    <cellStyle name="회색테두리 6 2" xfId="3449" xr:uid="{00000000-0005-0000-0000-00008A0D0000}"/>
    <cellStyle name="회색테두리 6 2 2" xfId="5649" xr:uid="{00000000-0005-0000-0000-0000770D0000}"/>
    <cellStyle name="회색테두리 6 3" xfId="3450" xr:uid="{00000000-0005-0000-0000-00008B0D0000}"/>
    <cellStyle name="회색테두리 6 3 2" xfId="5650" xr:uid="{00000000-0005-0000-0000-0000780D0000}"/>
    <cellStyle name="회색테두리 6 4" xfId="3451" xr:uid="{00000000-0005-0000-0000-00008C0D0000}"/>
    <cellStyle name="회색테두리 6 4 2" xfId="5651" xr:uid="{00000000-0005-0000-0000-0000790D0000}"/>
    <cellStyle name="회색테두리 6 5" xfId="3452" xr:uid="{00000000-0005-0000-0000-00008D0D0000}"/>
    <cellStyle name="회색테두리 6 5 2" xfId="5652" xr:uid="{00000000-0005-0000-0000-00007A0D0000}"/>
    <cellStyle name="회색테두리 6 6" xfId="5648" xr:uid="{00000000-0005-0000-0000-0000760D0000}"/>
    <cellStyle name="회색테두리 7" xfId="3453" xr:uid="{00000000-0005-0000-0000-00008E0D0000}"/>
    <cellStyle name="회색테두리 7 2" xfId="3454" xr:uid="{00000000-0005-0000-0000-00008F0D0000}"/>
    <cellStyle name="회색테두리 7 2 2" xfId="5654" xr:uid="{00000000-0005-0000-0000-00007C0D0000}"/>
    <cellStyle name="회색테두리 7 3" xfId="3455" xr:uid="{00000000-0005-0000-0000-0000900D0000}"/>
    <cellStyle name="회색테두리 7 3 2" xfId="5655" xr:uid="{00000000-0005-0000-0000-00007D0D0000}"/>
    <cellStyle name="회색테두리 7 4" xfId="3456" xr:uid="{00000000-0005-0000-0000-0000910D0000}"/>
    <cellStyle name="회색테두리 7 4 2" xfId="5656" xr:uid="{00000000-0005-0000-0000-00007E0D0000}"/>
    <cellStyle name="회색테두리 7 5" xfId="3457" xr:uid="{00000000-0005-0000-0000-0000920D0000}"/>
    <cellStyle name="회색테두리 7 5 2" xfId="5657" xr:uid="{00000000-0005-0000-0000-00007F0D0000}"/>
    <cellStyle name="회색테두리 7 6" xfId="5653" xr:uid="{00000000-0005-0000-0000-00007B0D0000}"/>
    <cellStyle name="회색테두리 8" xfId="3458" xr:uid="{00000000-0005-0000-0000-0000930D0000}"/>
    <cellStyle name="회색테두리 8 2" xfId="3459" xr:uid="{00000000-0005-0000-0000-0000940D0000}"/>
    <cellStyle name="회색테두리 8 2 2" xfId="5659" xr:uid="{00000000-0005-0000-0000-0000810D0000}"/>
    <cellStyle name="회색테두리 8 3" xfId="3460" xr:uid="{00000000-0005-0000-0000-0000950D0000}"/>
    <cellStyle name="회색테두리 8 3 2" xfId="5660" xr:uid="{00000000-0005-0000-0000-0000820D0000}"/>
    <cellStyle name="회색테두리 8 4" xfId="3461" xr:uid="{00000000-0005-0000-0000-0000960D0000}"/>
    <cellStyle name="회색테두리 8 4 2" xfId="5661" xr:uid="{00000000-0005-0000-0000-0000830D0000}"/>
    <cellStyle name="회색테두리 8 5" xfId="3462" xr:uid="{00000000-0005-0000-0000-0000970D0000}"/>
    <cellStyle name="회색테두리 8 5 2" xfId="5662" xr:uid="{00000000-0005-0000-0000-0000840D0000}"/>
    <cellStyle name="회색테두리 8 6" xfId="5658" xr:uid="{00000000-0005-0000-0000-0000800D0000}"/>
    <cellStyle name="회색테두리 9" xfId="3463" xr:uid="{00000000-0005-0000-0000-0000980D0000}"/>
    <cellStyle name="회색테두리 9 2" xfId="3464" xr:uid="{00000000-0005-0000-0000-0000990D0000}"/>
    <cellStyle name="회색테두리 9 2 2" xfId="5664" xr:uid="{00000000-0005-0000-0000-0000860D0000}"/>
    <cellStyle name="회색테두리 9 3" xfId="3465" xr:uid="{00000000-0005-0000-0000-00009A0D0000}"/>
    <cellStyle name="회색테두리 9 3 2" xfId="5665" xr:uid="{00000000-0005-0000-0000-0000870D0000}"/>
    <cellStyle name="회색테두리 9 4" xfId="3466" xr:uid="{00000000-0005-0000-0000-00009B0D0000}"/>
    <cellStyle name="회색테두리 9 4 2" xfId="5666" xr:uid="{00000000-0005-0000-0000-0000880D0000}"/>
    <cellStyle name="회색테두리 9 5" xfId="3467" xr:uid="{00000000-0005-0000-0000-00009C0D0000}"/>
    <cellStyle name="회색테두리 9 5 2" xfId="5667" xr:uid="{00000000-0005-0000-0000-0000890D0000}"/>
    <cellStyle name="회색테두리 9 6" xfId="5663" xr:uid="{00000000-0005-0000-0000-0000850D0000}"/>
    <cellStyle name="汇总" xfId="3468" xr:uid="{00000000-0005-0000-0000-00009D0D0000}"/>
    <cellStyle name="汇总 10" xfId="3469" xr:uid="{00000000-0005-0000-0000-00009E0D0000}"/>
    <cellStyle name="汇总 10 2" xfId="3470" xr:uid="{00000000-0005-0000-0000-00009F0D0000}"/>
    <cellStyle name="汇总 10 2 2" xfId="5670" xr:uid="{00000000-0005-0000-0000-00008C0D0000}"/>
    <cellStyle name="汇总 10 3" xfId="3471" xr:uid="{00000000-0005-0000-0000-0000A00D0000}"/>
    <cellStyle name="汇总 10 3 2" xfId="5671" xr:uid="{00000000-0005-0000-0000-00008D0D0000}"/>
    <cellStyle name="汇总 10 4" xfId="3472" xr:uid="{00000000-0005-0000-0000-0000A10D0000}"/>
    <cellStyle name="汇总 10 4 2" xfId="5672" xr:uid="{00000000-0005-0000-0000-00008E0D0000}"/>
    <cellStyle name="汇总 10 5" xfId="3473" xr:uid="{00000000-0005-0000-0000-0000A20D0000}"/>
    <cellStyle name="汇总 10 5 2" xfId="5673" xr:uid="{00000000-0005-0000-0000-00008F0D0000}"/>
    <cellStyle name="汇总 10 6" xfId="5669" xr:uid="{00000000-0005-0000-0000-00008B0D0000}"/>
    <cellStyle name="汇总 11" xfId="3474" xr:uid="{00000000-0005-0000-0000-0000A30D0000}"/>
    <cellStyle name="汇总 11 2" xfId="3475" xr:uid="{00000000-0005-0000-0000-0000A40D0000}"/>
    <cellStyle name="汇总 11 2 2" xfId="5675" xr:uid="{00000000-0005-0000-0000-0000910D0000}"/>
    <cellStyle name="汇总 11 3" xfId="3476" xr:uid="{00000000-0005-0000-0000-0000A50D0000}"/>
    <cellStyle name="汇总 11 3 2" xfId="5676" xr:uid="{00000000-0005-0000-0000-0000920D0000}"/>
    <cellStyle name="汇总 11 4" xfId="3477" xr:uid="{00000000-0005-0000-0000-0000A60D0000}"/>
    <cellStyle name="汇总 11 4 2" xfId="5677" xr:uid="{00000000-0005-0000-0000-0000930D0000}"/>
    <cellStyle name="汇总 11 5" xfId="3478" xr:uid="{00000000-0005-0000-0000-0000A70D0000}"/>
    <cellStyle name="汇总 11 5 2" xfId="5678" xr:uid="{00000000-0005-0000-0000-0000940D0000}"/>
    <cellStyle name="汇总 11 6" xfId="5674" xr:uid="{00000000-0005-0000-0000-0000900D0000}"/>
    <cellStyle name="汇总 12" xfId="3479" xr:uid="{00000000-0005-0000-0000-0000A80D0000}"/>
    <cellStyle name="汇总 12 2" xfId="3480" xr:uid="{00000000-0005-0000-0000-0000A90D0000}"/>
    <cellStyle name="汇总 12 2 2" xfId="5680" xr:uid="{00000000-0005-0000-0000-0000960D0000}"/>
    <cellStyle name="汇总 12 3" xfId="3481" xr:uid="{00000000-0005-0000-0000-0000AA0D0000}"/>
    <cellStyle name="汇总 12 3 2" xfId="5681" xr:uid="{00000000-0005-0000-0000-0000970D0000}"/>
    <cellStyle name="汇总 12 4" xfId="3482" xr:uid="{00000000-0005-0000-0000-0000AB0D0000}"/>
    <cellStyle name="汇总 12 4 2" xfId="5682" xr:uid="{00000000-0005-0000-0000-0000980D0000}"/>
    <cellStyle name="汇总 12 5" xfId="3483" xr:uid="{00000000-0005-0000-0000-0000AC0D0000}"/>
    <cellStyle name="汇总 12 5 2" xfId="5683" xr:uid="{00000000-0005-0000-0000-0000990D0000}"/>
    <cellStyle name="汇总 12 6" xfId="5679" xr:uid="{00000000-0005-0000-0000-0000950D0000}"/>
    <cellStyle name="汇总 13" xfId="3484" xr:uid="{00000000-0005-0000-0000-0000AD0D0000}"/>
    <cellStyle name="汇总 13 2" xfId="5684" xr:uid="{00000000-0005-0000-0000-00009A0D0000}"/>
    <cellStyle name="汇总 14" xfId="3485" xr:uid="{00000000-0005-0000-0000-0000AE0D0000}"/>
    <cellStyle name="汇总 14 2" xfId="5685" xr:uid="{00000000-0005-0000-0000-00009B0D0000}"/>
    <cellStyle name="汇总 15" xfId="3486" xr:uid="{00000000-0005-0000-0000-0000AF0D0000}"/>
    <cellStyle name="汇总 15 2" xfId="5686" xr:uid="{00000000-0005-0000-0000-00009C0D0000}"/>
    <cellStyle name="汇总 16" xfId="3487" xr:uid="{00000000-0005-0000-0000-0000B00D0000}"/>
    <cellStyle name="汇总 16 2" xfId="5687" xr:uid="{00000000-0005-0000-0000-00009D0D0000}"/>
    <cellStyle name="汇总 17" xfId="5668" xr:uid="{00000000-0005-0000-0000-00008A0D0000}"/>
    <cellStyle name="汇总 2" xfId="3488" xr:uid="{00000000-0005-0000-0000-0000B10D0000}"/>
    <cellStyle name="汇总 2 2" xfId="3489" xr:uid="{00000000-0005-0000-0000-0000B20D0000}"/>
    <cellStyle name="汇总 2 2 2" xfId="5689" xr:uid="{00000000-0005-0000-0000-00009F0D0000}"/>
    <cellStyle name="汇总 2 3" xfId="3490" xr:uid="{00000000-0005-0000-0000-0000B30D0000}"/>
    <cellStyle name="汇总 2 3 2" xfId="5690" xr:uid="{00000000-0005-0000-0000-0000A00D0000}"/>
    <cellStyle name="汇总 2 4" xfId="3491" xr:uid="{00000000-0005-0000-0000-0000B40D0000}"/>
    <cellStyle name="汇总 2 4 2" xfId="5691" xr:uid="{00000000-0005-0000-0000-0000A10D0000}"/>
    <cellStyle name="汇总 2 5" xfId="3492" xr:uid="{00000000-0005-0000-0000-0000B50D0000}"/>
    <cellStyle name="汇总 2 5 2" xfId="5692" xr:uid="{00000000-0005-0000-0000-0000A20D0000}"/>
    <cellStyle name="汇总 2 6" xfId="5688" xr:uid="{00000000-0005-0000-0000-00009E0D0000}"/>
    <cellStyle name="汇总 3" xfId="3493" xr:uid="{00000000-0005-0000-0000-0000B60D0000}"/>
    <cellStyle name="汇总 3 2" xfId="3494" xr:uid="{00000000-0005-0000-0000-0000B70D0000}"/>
    <cellStyle name="汇总 3 2 2" xfId="5694" xr:uid="{00000000-0005-0000-0000-0000A40D0000}"/>
    <cellStyle name="汇总 3 3" xfId="3495" xr:uid="{00000000-0005-0000-0000-0000B80D0000}"/>
    <cellStyle name="汇总 3 3 2" xfId="5695" xr:uid="{00000000-0005-0000-0000-0000A50D0000}"/>
    <cellStyle name="汇总 3 4" xfId="3496" xr:uid="{00000000-0005-0000-0000-0000B90D0000}"/>
    <cellStyle name="汇总 3 4 2" xfId="5696" xr:uid="{00000000-0005-0000-0000-0000A60D0000}"/>
    <cellStyle name="汇总 3 5" xfId="3497" xr:uid="{00000000-0005-0000-0000-0000BA0D0000}"/>
    <cellStyle name="汇总 3 5 2" xfId="5697" xr:uid="{00000000-0005-0000-0000-0000A70D0000}"/>
    <cellStyle name="汇总 3 6" xfId="5693" xr:uid="{00000000-0005-0000-0000-0000A30D0000}"/>
    <cellStyle name="汇总 4" xfId="3498" xr:uid="{00000000-0005-0000-0000-0000BB0D0000}"/>
    <cellStyle name="汇总 4 2" xfId="3499" xr:uid="{00000000-0005-0000-0000-0000BC0D0000}"/>
    <cellStyle name="汇总 4 2 2" xfId="5699" xr:uid="{00000000-0005-0000-0000-0000A90D0000}"/>
    <cellStyle name="汇总 4 3" xfId="3500" xr:uid="{00000000-0005-0000-0000-0000BD0D0000}"/>
    <cellStyle name="汇总 4 3 2" xfId="5700" xr:uid="{00000000-0005-0000-0000-0000AA0D0000}"/>
    <cellStyle name="汇总 4 4" xfId="3501" xr:uid="{00000000-0005-0000-0000-0000BE0D0000}"/>
    <cellStyle name="汇总 4 4 2" xfId="5701" xr:uid="{00000000-0005-0000-0000-0000AB0D0000}"/>
    <cellStyle name="汇总 4 5" xfId="3502" xr:uid="{00000000-0005-0000-0000-0000BF0D0000}"/>
    <cellStyle name="汇总 4 5 2" xfId="5702" xr:uid="{00000000-0005-0000-0000-0000AC0D0000}"/>
    <cellStyle name="汇总 4 6" xfId="5698" xr:uid="{00000000-0005-0000-0000-0000A80D0000}"/>
    <cellStyle name="汇总 5" xfId="3503" xr:uid="{00000000-0005-0000-0000-0000C00D0000}"/>
    <cellStyle name="汇总 5 2" xfId="3504" xr:uid="{00000000-0005-0000-0000-0000C10D0000}"/>
    <cellStyle name="汇总 5 2 2" xfId="5704" xr:uid="{00000000-0005-0000-0000-0000AE0D0000}"/>
    <cellStyle name="汇总 5 3" xfId="3505" xr:uid="{00000000-0005-0000-0000-0000C20D0000}"/>
    <cellStyle name="汇总 5 3 2" xfId="5705" xr:uid="{00000000-0005-0000-0000-0000AF0D0000}"/>
    <cellStyle name="汇总 5 4" xfId="3506" xr:uid="{00000000-0005-0000-0000-0000C30D0000}"/>
    <cellStyle name="汇总 5 4 2" xfId="5706" xr:uid="{00000000-0005-0000-0000-0000B00D0000}"/>
    <cellStyle name="汇总 5 5" xfId="3507" xr:uid="{00000000-0005-0000-0000-0000C40D0000}"/>
    <cellStyle name="汇总 5 5 2" xfId="5707" xr:uid="{00000000-0005-0000-0000-0000B10D0000}"/>
    <cellStyle name="汇总 5 6" xfId="5703" xr:uid="{00000000-0005-0000-0000-0000AD0D0000}"/>
    <cellStyle name="汇总 6" xfId="3508" xr:uid="{00000000-0005-0000-0000-0000C50D0000}"/>
    <cellStyle name="汇总 6 2" xfId="3509" xr:uid="{00000000-0005-0000-0000-0000C60D0000}"/>
    <cellStyle name="汇总 6 2 2" xfId="5709" xr:uid="{00000000-0005-0000-0000-0000B30D0000}"/>
    <cellStyle name="汇总 6 3" xfId="3510" xr:uid="{00000000-0005-0000-0000-0000C70D0000}"/>
    <cellStyle name="汇总 6 3 2" xfId="5710" xr:uid="{00000000-0005-0000-0000-0000B40D0000}"/>
    <cellStyle name="汇总 6 4" xfId="3511" xr:uid="{00000000-0005-0000-0000-0000C80D0000}"/>
    <cellStyle name="汇总 6 4 2" xfId="5711" xr:uid="{00000000-0005-0000-0000-0000B50D0000}"/>
    <cellStyle name="汇总 6 5" xfId="3512" xr:uid="{00000000-0005-0000-0000-0000C90D0000}"/>
    <cellStyle name="汇总 6 5 2" xfId="5712" xr:uid="{00000000-0005-0000-0000-0000B60D0000}"/>
    <cellStyle name="汇总 6 6" xfId="5708" xr:uid="{00000000-0005-0000-0000-0000B20D0000}"/>
    <cellStyle name="汇总 7" xfId="3513" xr:uid="{00000000-0005-0000-0000-0000CA0D0000}"/>
    <cellStyle name="汇总 7 2" xfId="3514" xr:uid="{00000000-0005-0000-0000-0000CB0D0000}"/>
    <cellStyle name="汇总 7 2 2" xfId="5714" xr:uid="{00000000-0005-0000-0000-0000B80D0000}"/>
    <cellStyle name="汇总 7 3" xfId="3515" xr:uid="{00000000-0005-0000-0000-0000CC0D0000}"/>
    <cellStyle name="汇总 7 3 2" xfId="5715" xr:uid="{00000000-0005-0000-0000-0000B90D0000}"/>
    <cellStyle name="汇总 7 4" xfId="3516" xr:uid="{00000000-0005-0000-0000-0000CD0D0000}"/>
    <cellStyle name="汇总 7 4 2" xfId="5716" xr:uid="{00000000-0005-0000-0000-0000BA0D0000}"/>
    <cellStyle name="汇总 7 5" xfId="3517" xr:uid="{00000000-0005-0000-0000-0000CE0D0000}"/>
    <cellStyle name="汇总 7 5 2" xfId="5717" xr:uid="{00000000-0005-0000-0000-0000BB0D0000}"/>
    <cellStyle name="汇总 7 6" xfId="5713" xr:uid="{00000000-0005-0000-0000-0000B70D0000}"/>
    <cellStyle name="汇总 8" xfId="3518" xr:uid="{00000000-0005-0000-0000-0000CF0D0000}"/>
    <cellStyle name="汇总 8 2" xfId="3519" xr:uid="{00000000-0005-0000-0000-0000D00D0000}"/>
    <cellStyle name="汇总 8 2 2" xfId="5719" xr:uid="{00000000-0005-0000-0000-0000BD0D0000}"/>
    <cellStyle name="汇总 8 3" xfId="3520" xr:uid="{00000000-0005-0000-0000-0000D10D0000}"/>
    <cellStyle name="汇总 8 3 2" xfId="5720" xr:uid="{00000000-0005-0000-0000-0000BE0D0000}"/>
    <cellStyle name="汇总 8 4" xfId="3521" xr:uid="{00000000-0005-0000-0000-0000D20D0000}"/>
    <cellStyle name="汇总 8 4 2" xfId="5721" xr:uid="{00000000-0005-0000-0000-0000BF0D0000}"/>
    <cellStyle name="汇总 8 5" xfId="3522" xr:uid="{00000000-0005-0000-0000-0000D30D0000}"/>
    <cellStyle name="汇总 8 5 2" xfId="5722" xr:uid="{00000000-0005-0000-0000-0000C00D0000}"/>
    <cellStyle name="汇总 8 6" xfId="5718" xr:uid="{00000000-0005-0000-0000-0000BC0D0000}"/>
    <cellStyle name="汇总 9" xfId="3523" xr:uid="{00000000-0005-0000-0000-0000D40D0000}"/>
    <cellStyle name="汇总 9 2" xfId="3524" xr:uid="{00000000-0005-0000-0000-0000D50D0000}"/>
    <cellStyle name="汇总 9 2 2" xfId="5724" xr:uid="{00000000-0005-0000-0000-0000C20D0000}"/>
    <cellStyle name="汇总 9 3" xfId="3525" xr:uid="{00000000-0005-0000-0000-0000D60D0000}"/>
    <cellStyle name="汇总 9 3 2" xfId="5725" xr:uid="{00000000-0005-0000-0000-0000C30D0000}"/>
    <cellStyle name="汇总 9 4" xfId="3526" xr:uid="{00000000-0005-0000-0000-0000D70D0000}"/>
    <cellStyle name="汇总 9 4 2" xfId="5726" xr:uid="{00000000-0005-0000-0000-0000C40D0000}"/>
    <cellStyle name="汇总 9 5" xfId="3527" xr:uid="{00000000-0005-0000-0000-0000D80D0000}"/>
    <cellStyle name="汇总 9 5 2" xfId="5727" xr:uid="{00000000-0005-0000-0000-0000C50D0000}"/>
    <cellStyle name="汇总 9 6" xfId="5723" xr:uid="{00000000-0005-0000-0000-0000C10D0000}"/>
  </cellStyles>
  <dxfs count="1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mruColors>
      <color rgb="FF0000CC"/>
      <color rgb="FF0000FF"/>
      <color rgb="FFFFFF00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externalLink" Target="externalLinks/externalLink2.xml"/><Relationship Id="rId50" Type="http://schemas.openxmlformats.org/officeDocument/2006/relationships/externalLink" Target="externalLinks/externalLink5.xml"/><Relationship Id="rId55" Type="http://schemas.openxmlformats.org/officeDocument/2006/relationships/theme" Target="theme/theme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externalLink" Target="externalLinks/externalLink8.xml"/><Relationship Id="rId58" Type="http://schemas.openxmlformats.org/officeDocument/2006/relationships/calcChain" Target="calcChain.xml"/><Relationship Id="rId5" Type="http://schemas.openxmlformats.org/officeDocument/2006/relationships/worksheet" Target="worksheets/sheet5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externalLink" Target="externalLinks/externalLink3.xml"/><Relationship Id="rId56" Type="http://schemas.openxmlformats.org/officeDocument/2006/relationships/styles" Target="styles.xml"/><Relationship Id="rId8" Type="http://schemas.openxmlformats.org/officeDocument/2006/relationships/worksheet" Target="worksheets/sheet8.xml"/><Relationship Id="rId51" Type="http://schemas.openxmlformats.org/officeDocument/2006/relationships/externalLink" Target="externalLinks/externalLink6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externalLink" Target="externalLinks/externalLink1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externalLink" Target="externalLinks/externalLink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externalLink" Target="externalLinks/externalLink4.xml"/><Relationship Id="rId57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externalLink" Target="externalLinks/externalLink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148076</xdr:colOff>
      <xdr:row>1</xdr:row>
      <xdr:rowOff>22412</xdr:rowOff>
    </xdr:from>
    <xdr:to>
      <xdr:col>6</xdr:col>
      <xdr:colOff>17928</xdr:colOff>
      <xdr:row>3</xdr:row>
      <xdr:rowOff>165368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4E1A8C4B-1F6F-4631-A3E9-1FEB7F030314}"/>
            </a:ext>
          </a:extLst>
        </xdr:cNvPr>
        <xdr:cNvSpPr txBox="1">
          <a:spLocks noChangeArrowheads="1"/>
        </xdr:cNvSpPr>
      </xdr:nvSpPr>
      <xdr:spPr bwMode="auto">
        <a:xfrm>
          <a:off x="148076" y="235324"/>
          <a:ext cx="6290823" cy="568779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576" tIns="18288" rIns="0" bIns="0" anchor="t" upright="1"/>
        <a:lstStyle/>
        <a:p>
          <a:pPr algn="l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작성금융기관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:                                                         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작성기준월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:</a:t>
          </a:r>
        </a:p>
        <a:p>
          <a:pPr algn="l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작성자 소속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:                        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직위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:                            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성명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:                         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전화번호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:</a:t>
          </a:r>
        </a:p>
        <a:p>
          <a:pPr algn="l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확인자 소속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:                        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직위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:                            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성명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:                         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전화번호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: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0</xdr:row>
      <xdr:rowOff>57151</xdr:rowOff>
    </xdr:from>
    <xdr:to>
      <xdr:col>9</xdr:col>
      <xdr:colOff>782411</xdr:colOff>
      <xdr:row>3</xdr:row>
      <xdr:rowOff>97972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9B739E23-0512-4F4F-BFDD-732735E6DE1E}"/>
            </a:ext>
          </a:extLst>
        </xdr:cNvPr>
        <xdr:cNvSpPr txBox="1">
          <a:spLocks noChangeArrowheads="1"/>
        </xdr:cNvSpPr>
      </xdr:nvSpPr>
      <xdr:spPr bwMode="auto">
        <a:xfrm>
          <a:off x="76200" y="57151"/>
          <a:ext cx="7992836" cy="555171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576" tIns="18288" rIns="0" bIns="0" anchor="t" upright="1"/>
        <a:lstStyle/>
        <a:p>
          <a:pPr algn="l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작성금융기관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:                                                                  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작성기준월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: . </a:t>
          </a:r>
        </a:p>
        <a:p>
          <a:pPr algn="l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작성자 소속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:                               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직위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:                              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성명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:                                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전화번호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:    -       -</a:t>
          </a:r>
        </a:p>
        <a:p>
          <a:pPr algn="l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확인자 소속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:                               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직위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:                              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성명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:                                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전화번호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:    -       - 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0</xdr:row>
      <xdr:rowOff>57151</xdr:rowOff>
    </xdr:from>
    <xdr:to>
      <xdr:col>9</xdr:col>
      <xdr:colOff>782411</xdr:colOff>
      <xdr:row>3</xdr:row>
      <xdr:rowOff>97972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1836DF9B-8516-48DC-88E2-A17023E3BCC9}"/>
            </a:ext>
          </a:extLst>
        </xdr:cNvPr>
        <xdr:cNvSpPr txBox="1">
          <a:spLocks noChangeArrowheads="1"/>
        </xdr:cNvSpPr>
      </xdr:nvSpPr>
      <xdr:spPr bwMode="auto">
        <a:xfrm>
          <a:off x="76200" y="57151"/>
          <a:ext cx="8049986" cy="555171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576" tIns="18288" rIns="0" bIns="0" anchor="t" upright="1"/>
        <a:lstStyle/>
        <a:p>
          <a:pPr algn="l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작성금융기관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:                                                                  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작성기준월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: . </a:t>
          </a:r>
        </a:p>
        <a:p>
          <a:pPr algn="l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작성자 소속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:                               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직위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:                              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성명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:                                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전화번호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:    -       -</a:t>
          </a:r>
        </a:p>
        <a:p>
          <a:pPr algn="l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확인자 소속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:                               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직위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:                              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성명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:                                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전화번호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:    -       - 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28576</xdr:colOff>
      <xdr:row>0</xdr:row>
      <xdr:rowOff>28575</xdr:rowOff>
    </xdr:from>
    <xdr:to>
      <xdr:col>10</xdr:col>
      <xdr:colOff>438711</xdr:colOff>
      <xdr:row>3</xdr:row>
      <xdr:rowOff>95250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DE295A4C-E9B2-49E5-91FC-EF96299C2E06}"/>
            </a:ext>
          </a:extLst>
        </xdr:cNvPr>
        <xdr:cNvSpPr txBox="1">
          <a:spLocks noChangeArrowheads="1"/>
        </xdr:cNvSpPr>
      </xdr:nvSpPr>
      <xdr:spPr bwMode="auto">
        <a:xfrm>
          <a:off x="28576" y="28575"/>
          <a:ext cx="9954185" cy="5810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576" tIns="18288" rIns="0" bIns="0" anchor="t" upright="1"/>
        <a:lstStyle/>
        <a:p>
          <a:pPr algn="l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작성금융기관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:                                                                  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작성기준월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:</a:t>
          </a:r>
        </a:p>
        <a:p>
          <a:pPr algn="l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작성자 소속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:                        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직위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:                            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성명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:                         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전화번호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:</a:t>
          </a:r>
        </a:p>
        <a:p>
          <a:pPr algn="l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확인자 소속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:                        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직위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:                            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성명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:                         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전화번호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: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28576</xdr:colOff>
      <xdr:row>0</xdr:row>
      <xdr:rowOff>28575</xdr:rowOff>
    </xdr:from>
    <xdr:to>
      <xdr:col>10</xdr:col>
      <xdr:colOff>438711</xdr:colOff>
      <xdr:row>3</xdr:row>
      <xdr:rowOff>95250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33DCE21D-EF98-47DB-9DE0-04DC5F47A8D9}"/>
            </a:ext>
          </a:extLst>
        </xdr:cNvPr>
        <xdr:cNvSpPr txBox="1">
          <a:spLocks noChangeArrowheads="1"/>
        </xdr:cNvSpPr>
      </xdr:nvSpPr>
      <xdr:spPr bwMode="auto">
        <a:xfrm>
          <a:off x="28576" y="28575"/>
          <a:ext cx="9954185" cy="5810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576" tIns="18288" rIns="0" bIns="0" anchor="t" upright="1"/>
        <a:lstStyle/>
        <a:p>
          <a:pPr algn="l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작성금융기관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:                                                                  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작성기준월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:</a:t>
          </a:r>
        </a:p>
        <a:p>
          <a:pPr algn="l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작성자 소속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:                        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직위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:                            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성명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:                         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전화번호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:</a:t>
          </a:r>
        </a:p>
        <a:p>
          <a:pPr algn="l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확인자 소속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:                        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직위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:                            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성명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:                         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전화번호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: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123825</xdr:colOff>
      <xdr:row>0</xdr:row>
      <xdr:rowOff>95250</xdr:rowOff>
    </xdr:from>
    <xdr:to>
      <xdr:col>11</xdr:col>
      <xdr:colOff>428625</xdr:colOff>
      <xdr:row>3</xdr:row>
      <xdr:rowOff>161925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7464F918-A161-4F22-BCB1-91801A583DAB}"/>
            </a:ext>
          </a:extLst>
        </xdr:cNvPr>
        <xdr:cNvSpPr txBox="1">
          <a:spLocks noChangeArrowheads="1"/>
        </xdr:cNvSpPr>
      </xdr:nvSpPr>
      <xdr:spPr bwMode="auto">
        <a:xfrm>
          <a:off x="123825" y="95250"/>
          <a:ext cx="10658475" cy="5810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576" tIns="18288" rIns="0" bIns="0" anchor="t" upright="1"/>
        <a:lstStyle/>
        <a:p>
          <a:pPr algn="l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작성금융기관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:                                                                  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작성기준월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:</a:t>
          </a:r>
        </a:p>
        <a:p>
          <a:pPr algn="l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작성자 소속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:                        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직위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:                            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성명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:                         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전화번호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:</a:t>
          </a:r>
        </a:p>
        <a:p>
          <a:pPr algn="l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확인자 소속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:                        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직위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:                            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성명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:                         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전화번호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: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123825</xdr:colOff>
      <xdr:row>0</xdr:row>
      <xdr:rowOff>95250</xdr:rowOff>
    </xdr:from>
    <xdr:to>
      <xdr:col>11</xdr:col>
      <xdr:colOff>428625</xdr:colOff>
      <xdr:row>3</xdr:row>
      <xdr:rowOff>161925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33686958-BD87-4FA7-AECF-3B5620A5DCF3}"/>
            </a:ext>
          </a:extLst>
        </xdr:cNvPr>
        <xdr:cNvSpPr txBox="1">
          <a:spLocks noChangeArrowheads="1"/>
        </xdr:cNvSpPr>
      </xdr:nvSpPr>
      <xdr:spPr bwMode="auto">
        <a:xfrm>
          <a:off x="123825" y="95250"/>
          <a:ext cx="10658475" cy="5810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576" tIns="18288" rIns="0" bIns="0" anchor="t" upright="1"/>
        <a:lstStyle/>
        <a:p>
          <a:pPr algn="l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작성금융기관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:                                                                  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작성기준월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:</a:t>
          </a:r>
        </a:p>
        <a:p>
          <a:pPr algn="l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작성자 소속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:                        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직위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:                            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성명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:                         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전화번호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:</a:t>
          </a:r>
        </a:p>
        <a:p>
          <a:pPr algn="l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확인자 소속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:                        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직위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:                            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성명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:                         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전화번호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:</a:t>
          </a: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123825</xdr:colOff>
      <xdr:row>0</xdr:row>
      <xdr:rowOff>95250</xdr:rowOff>
    </xdr:from>
    <xdr:to>
      <xdr:col>11</xdr:col>
      <xdr:colOff>428625</xdr:colOff>
      <xdr:row>3</xdr:row>
      <xdr:rowOff>161925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95FE2E91-0AE9-4A64-B7E0-27B83C373EDA}"/>
            </a:ext>
          </a:extLst>
        </xdr:cNvPr>
        <xdr:cNvSpPr txBox="1">
          <a:spLocks noChangeArrowheads="1"/>
        </xdr:cNvSpPr>
      </xdr:nvSpPr>
      <xdr:spPr bwMode="auto">
        <a:xfrm>
          <a:off x="123825" y="95250"/>
          <a:ext cx="10515600" cy="5810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576" tIns="18288" rIns="0" bIns="0" anchor="t" upright="1"/>
        <a:lstStyle/>
        <a:p>
          <a:pPr algn="l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작성금융기관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:                                                                  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작성기준월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:</a:t>
          </a:r>
        </a:p>
        <a:p>
          <a:pPr algn="l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작성자 소속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:                        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직위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:                            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성명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:                         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전화번호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:</a:t>
          </a:r>
        </a:p>
        <a:p>
          <a:pPr algn="l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확인자 소속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:                        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직위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:                            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성명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:                         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전화번호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:</a:t>
          </a: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123825</xdr:colOff>
      <xdr:row>0</xdr:row>
      <xdr:rowOff>95250</xdr:rowOff>
    </xdr:from>
    <xdr:to>
      <xdr:col>11</xdr:col>
      <xdr:colOff>428625</xdr:colOff>
      <xdr:row>3</xdr:row>
      <xdr:rowOff>161925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2B588761-271A-4B6B-8181-4C3A8469A060}"/>
            </a:ext>
          </a:extLst>
        </xdr:cNvPr>
        <xdr:cNvSpPr txBox="1">
          <a:spLocks noChangeArrowheads="1"/>
        </xdr:cNvSpPr>
      </xdr:nvSpPr>
      <xdr:spPr bwMode="auto">
        <a:xfrm>
          <a:off x="123825" y="95250"/>
          <a:ext cx="10515600" cy="5810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576" tIns="18288" rIns="0" bIns="0" anchor="t" upright="1"/>
        <a:lstStyle/>
        <a:p>
          <a:pPr algn="l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작성금융기관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:                                                                  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작성기준월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:</a:t>
          </a:r>
        </a:p>
        <a:p>
          <a:pPr algn="l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작성자 소속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:                        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직위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:                            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성명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:                         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전화번호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:</a:t>
          </a:r>
        </a:p>
        <a:p>
          <a:pPr algn="l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확인자 소속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:                        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직위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:                            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성명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:                         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전화번호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:</a:t>
          </a:r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85725</xdr:colOff>
      <xdr:row>0</xdr:row>
      <xdr:rowOff>95250</xdr:rowOff>
    </xdr:from>
    <xdr:to>
      <xdr:col>6</xdr:col>
      <xdr:colOff>981075</xdr:colOff>
      <xdr:row>3</xdr:row>
      <xdr:rowOff>57150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5EDCB88D-B103-4310-BF11-A5CE92433AC6}"/>
            </a:ext>
          </a:extLst>
        </xdr:cNvPr>
        <xdr:cNvSpPr txBox="1">
          <a:spLocks noChangeArrowheads="1"/>
        </xdr:cNvSpPr>
      </xdr:nvSpPr>
      <xdr:spPr bwMode="auto">
        <a:xfrm>
          <a:off x="85725" y="95250"/>
          <a:ext cx="9182100" cy="4762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576" tIns="18288" rIns="0" bIns="0" anchor="t" upright="1"/>
        <a:lstStyle/>
        <a:p>
          <a:pPr algn="l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작성금융기관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:                                                              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작성기준월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:</a:t>
          </a:r>
        </a:p>
        <a:p>
          <a:pPr algn="l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작성자 소속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:               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직위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:                 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성명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:                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전화번호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:</a:t>
          </a:r>
        </a:p>
        <a:p>
          <a:pPr algn="l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확인자 소속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:               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직위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:                 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성명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:                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전화번호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:</a:t>
          </a:r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85725</xdr:colOff>
      <xdr:row>0</xdr:row>
      <xdr:rowOff>95250</xdr:rowOff>
    </xdr:from>
    <xdr:to>
      <xdr:col>6</xdr:col>
      <xdr:colOff>981075</xdr:colOff>
      <xdr:row>3</xdr:row>
      <xdr:rowOff>57150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9C3D999F-4F1C-4E5C-9012-B7563965BFDA}"/>
            </a:ext>
          </a:extLst>
        </xdr:cNvPr>
        <xdr:cNvSpPr txBox="1">
          <a:spLocks noChangeArrowheads="1"/>
        </xdr:cNvSpPr>
      </xdr:nvSpPr>
      <xdr:spPr bwMode="auto">
        <a:xfrm>
          <a:off x="85725" y="95250"/>
          <a:ext cx="9182100" cy="4762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576" tIns="18288" rIns="0" bIns="0" anchor="t" upright="1"/>
        <a:lstStyle/>
        <a:p>
          <a:pPr algn="l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작성금융기관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:                                                              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작성기준월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:</a:t>
          </a:r>
        </a:p>
        <a:p>
          <a:pPr algn="l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작성자 소속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:               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직위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:                 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성명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:                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전화번호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:</a:t>
          </a:r>
        </a:p>
        <a:p>
          <a:pPr algn="l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확인자 소속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:               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직위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:                 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성명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:                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전화번호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:</a:t>
          </a:r>
        </a:p>
      </xdr:txBody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150719</xdr:colOff>
      <xdr:row>0</xdr:row>
      <xdr:rowOff>117662</xdr:rowOff>
    </xdr:from>
    <xdr:to>
      <xdr:col>5</xdr:col>
      <xdr:colOff>874619</xdr:colOff>
      <xdr:row>3</xdr:row>
      <xdr:rowOff>155762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EA539F53-6490-4BC5-B48E-F2AFEB2E631A}"/>
            </a:ext>
          </a:extLst>
        </xdr:cNvPr>
        <xdr:cNvSpPr txBox="1">
          <a:spLocks noChangeArrowheads="1"/>
        </xdr:cNvSpPr>
      </xdr:nvSpPr>
      <xdr:spPr bwMode="auto">
        <a:xfrm>
          <a:off x="150719" y="117662"/>
          <a:ext cx="6741459" cy="54236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576" tIns="18288" rIns="0" bIns="0" anchor="t" upright="1"/>
        <a:lstStyle/>
        <a:p>
          <a:pPr algn="l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작성금융기관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:                                                         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작성기준월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:</a:t>
          </a:r>
        </a:p>
        <a:p>
          <a:pPr algn="l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작성자 소속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:                        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직위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:                            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성명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:                         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전화번호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:</a:t>
          </a:r>
        </a:p>
        <a:p>
          <a:pPr algn="l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확인자 소속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:                        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직위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:                            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성명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:                         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전화번호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:</a:t>
          </a:r>
        </a:p>
      </xdr:txBody>
    </xdr: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304800</xdr:colOff>
      <xdr:row>0</xdr:row>
      <xdr:rowOff>19050</xdr:rowOff>
    </xdr:from>
    <xdr:to>
      <xdr:col>5</xdr:col>
      <xdr:colOff>885825</xdr:colOff>
      <xdr:row>3</xdr:row>
      <xdr:rowOff>133350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7A9C5232-D510-4593-A806-5B224EC6A887}"/>
            </a:ext>
          </a:extLst>
        </xdr:cNvPr>
        <xdr:cNvSpPr txBox="1">
          <a:spLocks noChangeArrowheads="1"/>
        </xdr:cNvSpPr>
      </xdr:nvSpPr>
      <xdr:spPr bwMode="auto">
        <a:xfrm>
          <a:off x="304800" y="19050"/>
          <a:ext cx="6610350" cy="6286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576" tIns="18288" rIns="0" bIns="0" anchor="t" upright="1"/>
        <a:lstStyle/>
        <a:p>
          <a:pPr algn="l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작성금융기관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:                                                         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작성기준월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:</a:t>
          </a:r>
        </a:p>
        <a:p>
          <a:pPr algn="l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작성자 소속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:                        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직위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:                            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성명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:                         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전화번호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:</a:t>
          </a:r>
        </a:p>
        <a:p>
          <a:pPr algn="l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확인자 소속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:                        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직위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:                            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성명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:                         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전화번호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:</a:t>
          </a:r>
        </a:p>
      </xdr:txBody>
    </xdr: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133350</xdr:colOff>
      <xdr:row>0</xdr:row>
      <xdr:rowOff>95250</xdr:rowOff>
    </xdr:from>
    <xdr:to>
      <xdr:col>16</xdr:col>
      <xdr:colOff>66675</xdr:colOff>
      <xdr:row>3</xdr:row>
      <xdr:rowOff>142875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CF694C97-9AB0-41F4-A157-74BDE592DE3E}"/>
            </a:ext>
          </a:extLst>
        </xdr:cNvPr>
        <xdr:cNvSpPr txBox="1">
          <a:spLocks noChangeArrowheads="1"/>
        </xdr:cNvSpPr>
      </xdr:nvSpPr>
      <xdr:spPr bwMode="auto">
        <a:xfrm>
          <a:off x="133350" y="95250"/>
          <a:ext cx="8562975" cy="5619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576" tIns="18288" rIns="0" bIns="0" anchor="t" upright="1"/>
        <a:lstStyle/>
        <a:p>
          <a:pPr algn="l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작성금융기관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:                                                                     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작성기준일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:</a:t>
          </a:r>
        </a:p>
        <a:p>
          <a:pPr algn="l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작성자 소속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:                        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직위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:                            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성명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:                         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전화번호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:</a:t>
          </a:r>
        </a:p>
        <a:p>
          <a:pPr algn="l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확인자 소속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:                        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직위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:                            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성명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:                         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전화번호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:</a:t>
          </a:r>
        </a:p>
      </xdr:txBody>
    </xdr: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133350</xdr:colOff>
      <xdr:row>0</xdr:row>
      <xdr:rowOff>95250</xdr:rowOff>
    </xdr:from>
    <xdr:to>
      <xdr:col>16</xdr:col>
      <xdr:colOff>66675</xdr:colOff>
      <xdr:row>3</xdr:row>
      <xdr:rowOff>142875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2A587AE0-66B5-4261-98BB-30F5E5E657FF}"/>
            </a:ext>
          </a:extLst>
        </xdr:cNvPr>
        <xdr:cNvSpPr txBox="1">
          <a:spLocks noChangeArrowheads="1"/>
        </xdr:cNvSpPr>
      </xdr:nvSpPr>
      <xdr:spPr bwMode="auto">
        <a:xfrm>
          <a:off x="133350" y="95250"/>
          <a:ext cx="8562975" cy="5619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576" tIns="18288" rIns="0" bIns="0" anchor="t" upright="1"/>
        <a:lstStyle/>
        <a:p>
          <a:pPr algn="l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작성금융기관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:                                                                     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작성기준일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:</a:t>
          </a:r>
        </a:p>
        <a:p>
          <a:pPr algn="l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작성자 소속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:                        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직위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:                            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성명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:                         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전화번호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:</a:t>
          </a:r>
        </a:p>
        <a:p>
          <a:pPr algn="l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확인자 소속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:                        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직위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:                            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성명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:                         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전화번호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:</a:t>
          </a:r>
        </a:p>
      </xdr:txBody>
    </xdr:sp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66676</xdr:colOff>
      <xdr:row>0</xdr:row>
      <xdr:rowOff>114300</xdr:rowOff>
    </xdr:from>
    <xdr:to>
      <xdr:col>9</xdr:col>
      <xdr:colOff>187326</xdr:colOff>
      <xdr:row>3</xdr:row>
      <xdr:rowOff>47625</xdr:rowOff>
    </xdr:to>
    <xdr:sp macro="" textlink="">
      <xdr:nvSpPr>
        <xdr:cNvPr id="2" name="Text Box 3">
          <a:extLst>
            <a:ext uri="{FF2B5EF4-FFF2-40B4-BE49-F238E27FC236}">
              <a16:creationId xmlns:a16="http://schemas.microsoft.com/office/drawing/2014/main" id="{BD6BD6DD-38FE-41BF-AE98-DD23B9687F3F}"/>
            </a:ext>
          </a:extLst>
        </xdr:cNvPr>
        <xdr:cNvSpPr txBox="1">
          <a:spLocks noChangeArrowheads="1"/>
        </xdr:cNvSpPr>
      </xdr:nvSpPr>
      <xdr:spPr bwMode="auto">
        <a:xfrm>
          <a:off x="66676" y="114300"/>
          <a:ext cx="8283575" cy="6000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1000" b="0" i="0" u="none" strike="noStrike" baseline="0">
              <a:solidFill>
                <a:srgbClr val="000000"/>
              </a:solidFill>
              <a:latin typeface="돋움"/>
              <a:ea typeface="돋움"/>
            </a:rPr>
            <a:t>작성금융기관</a:t>
          </a:r>
          <a:r>
            <a:rPr lang="en-US" altLang="ko-KR" sz="1000" b="0" i="0" u="none" strike="noStrike" baseline="0">
              <a:solidFill>
                <a:srgbClr val="000000"/>
              </a:solidFill>
              <a:latin typeface="돋움"/>
              <a:ea typeface="돋움"/>
            </a:rPr>
            <a:t>:                                               </a:t>
          </a:r>
          <a:r>
            <a:rPr lang="ko-KR" altLang="en-US" sz="1000" b="0" i="0" u="none" strike="noStrike" baseline="0">
              <a:solidFill>
                <a:srgbClr val="000000"/>
              </a:solidFill>
              <a:latin typeface="돋움"/>
              <a:ea typeface="돋움"/>
            </a:rPr>
            <a:t>작성기준일</a:t>
          </a:r>
          <a:r>
            <a:rPr lang="en-US" altLang="ko-KR" sz="1000" b="0" i="0" u="none" strike="noStrike" baseline="0">
              <a:solidFill>
                <a:srgbClr val="000000"/>
              </a:solidFill>
              <a:latin typeface="돋움"/>
              <a:ea typeface="돋움"/>
            </a:rPr>
            <a:t>:</a:t>
          </a:r>
        </a:p>
        <a:p>
          <a:pPr algn="l" rtl="0">
            <a:defRPr sz="1000"/>
          </a:pPr>
          <a:r>
            <a:rPr lang="ko-KR" altLang="en-US" sz="1000" b="0" i="0" u="none" strike="noStrike" baseline="0">
              <a:solidFill>
                <a:srgbClr val="000000"/>
              </a:solidFill>
              <a:latin typeface="돋움"/>
              <a:ea typeface="돋움"/>
            </a:rPr>
            <a:t>작성자 소속</a:t>
          </a:r>
          <a:r>
            <a:rPr lang="en-US" altLang="ko-KR" sz="1000" b="0" i="0" u="none" strike="noStrike" baseline="0">
              <a:solidFill>
                <a:srgbClr val="000000"/>
              </a:solidFill>
              <a:latin typeface="돋움"/>
              <a:ea typeface="돋움"/>
            </a:rPr>
            <a:t>:                        </a:t>
          </a:r>
          <a:r>
            <a:rPr lang="ko-KR" altLang="en-US" sz="1000" b="0" i="0" u="none" strike="noStrike" baseline="0">
              <a:solidFill>
                <a:srgbClr val="000000"/>
              </a:solidFill>
              <a:latin typeface="돋움"/>
              <a:ea typeface="돋움"/>
            </a:rPr>
            <a:t>직위</a:t>
          </a:r>
          <a:r>
            <a:rPr lang="en-US" altLang="ko-KR" sz="1000" b="0" i="0" u="none" strike="noStrike" baseline="0">
              <a:solidFill>
                <a:srgbClr val="000000"/>
              </a:solidFill>
              <a:latin typeface="돋움"/>
              <a:ea typeface="돋움"/>
            </a:rPr>
            <a:t>:                            </a:t>
          </a:r>
          <a:r>
            <a:rPr lang="ko-KR" altLang="en-US" sz="1000" b="0" i="0" u="none" strike="noStrike" baseline="0">
              <a:solidFill>
                <a:srgbClr val="000000"/>
              </a:solidFill>
              <a:latin typeface="돋움"/>
              <a:ea typeface="돋움"/>
            </a:rPr>
            <a:t>성명</a:t>
          </a:r>
          <a:r>
            <a:rPr lang="en-US" altLang="ko-KR" sz="1000" b="0" i="0" u="none" strike="noStrike" baseline="0">
              <a:solidFill>
                <a:srgbClr val="000000"/>
              </a:solidFill>
              <a:latin typeface="돋움"/>
              <a:ea typeface="돋움"/>
            </a:rPr>
            <a:t>:                         </a:t>
          </a:r>
          <a:r>
            <a:rPr lang="ko-KR" altLang="en-US" sz="1000" b="0" i="0" u="none" strike="noStrike" baseline="0">
              <a:solidFill>
                <a:srgbClr val="000000"/>
              </a:solidFill>
              <a:latin typeface="돋움"/>
              <a:ea typeface="돋움"/>
            </a:rPr>
            <a:t>전화번호</a:t>
          </a:r>
          <a:r>
            <a:rPr lang="en-US" altLang="ko-KR" sz="1000" b="0" i="0" u="none" strike="noStrike" baseline="0">
              <a:solidFill>
                <a:srgbClr val="000000"/>
              </a:solidFill>
              <a:latin typeface="돋움"/>
              <a:ea typeface="돋움"/>
            </a:rPr>
            <a:t>:</a:t>
          </a:r>
        </a:p>
        <a:p>
          <a:pPr algn="l" rtl="0">
            <a:defRPr sz="1000"/>
          </a:pPr>
          <a:r>
            <a:rPr lang="ko-KR" altLang="en-US" sz="1000" b="0" i="0" u="none" strike="noStrike" baseline="0">
              <a:solidFill>
                <a:srgbClr val="000000"/>
              </a:solidFill>
              <a:latin typeface="돋움"/>
              <a:ea typeface="돋움"/>
            </a:rPr>
            <a:t>확인자 소속</a:t>
          </a:r>
          <a:r>
            <a:rPr lang="en-US" altLang="ko-KR" sz="1000" b="0" i="0" u="none" strike="noStrike" baseline="0">
              <a:solidFill>
                <a:srgbClr val="000000"/>
              </a:solidFill>
              <a:latin typeface="돋움"/>
              <a:ea typeface="돋움"/>
            </a:rPr>
            <a:t>:                        </a:t>
          </a:r>
          <a:r>
            <a:rPr lang="ko-KR" altLang="en-US" sz="1000" b="0" i="0" u="none" strike="noStrike" baseline="0">
              <a:solidFill>
                <a:srgbClr val="000000"/>
              </a:solidFill>
              <a:latin typeface="돋움"/>
              <a:ea typeface="돋움"/>
            </a:rPr>
            <a:t>직위</a:t>
          </a:r>
          <a:r>
            <a:rPr lang="en-US" altLang="ko-KR" sz="1000" b="0" i="0" u="none" strike="noStrike" baseline="0">
              <a:solidFill>
                <a:srgbClr val="000000"/>
              </a:solidFill>
              <a:latin typeface="돋움"/>
              <a:ea typeface="돋움"/>
            </a:rPr>
            <a:t>:                            </a:t>
          </a:r>
          <a:r>
            <a:rPr lang="ko-KR" altLang="en-US" sz="1000" b="0" i="0" u="none" strike="noStrike" baseline="0">
              <a:solidFill>
                <a:srgbClr val="000000"/>
              </a:solidFill>
              <a:latin typeface="돋움"/>
              <a:ea typeface="돋움"/>
            </a:rPr>
            <a:t>성명</a:t>
          </a:r>
          <a:r>
            <a:rPr lang="en-US" altLang="ko-KR" sz="1000" b="0" i="0" u="none" strike="noStrike" baseline="0">
              <a:solidFill>
                <a:srgbClr val="000000"/>
              </a:solidFill>
              <a:latin typeface="돋움"/>
              <a:ea typeface="돋움"/>
            </a:rPr>
            <a:t>:                         </a:t>
          </a:r>
          <a:r>
            <a:rPr lang="ko-KR" altLang="en-US" sz="1000" b="0" i="0" u="none" strike="noStrike" baseline="0">
              <a:solidFill>
                <a:srgbClr val="000000"/>
              </a:solidFill>
              <a:latin typeface="돋움"/>
              <a:ea typeface="돋움"/>
            </a:rPr>
            <a:t>전화번호</a:t>
          </a:r>
          <a:r>
            <a:rPr lang="en-US" altLang="ko-KR" sz="1000" b="0" i="0" u="none" strike="noStrike" baseline="0">
              <a:solidFill>
                <a:srgbClr val="000000"/>
              </a:solidFill>
              <a:latin typeface="돋움"/>
              <a:ea typeface="돋움"/>
            </a:rPr>
            <a:t>:</a:t>
          </a:r>
        </a:p>
      </xdr:txBody>
    </xdr:sp>
    <xdr:clientData/>
  </xdr:twoCellAnchor>
  <xdr:twoCellAnchor>
    <xdr:from>
      <xdr:col>0</xdr:col>
      <xdr:colOff>66676</xdr:colOff>
      <xdr:row>0</xdr:row>
      <xdr:rowOff>114300</xdr:rowOff>
    </xdr:from>
    <xdr:to>
      <xdr:col>9</xdr:col>
      <xdr:colOff>187326</xdr:colOff>
      <xdr:row>3</xdr:row>
      <xdr:rowOff>47625</xdr:rowOff>
    </xdr:to>
    <xdr:sp macro="" textlink="">
      <xdr:nvSpPr>
        <xdr:cNvPr id="3" name="Text Box 3">
          <a:extLst>
            <a:ext uri="{FF2B5EF4-FFF2-40B4-BE49-F238E27FC236}">
              <a16:creationId xmlns:a16="http://schemas.microsoft.com/office/drawing/2014/main" id="{145F4E15-8C74-4D9A-8702-A698065AD159}"/>
            </a:ext>
          </a:extLst>
        </xdr:cNvPr>
        <xdr:cNvSpPr txBox="1">
          <a:spLocks noChangeArrowheads="1"/>
        </xdr:cNvSpPr>
      </xdr:nvSpPr>
      <xdr:spPr bwMode="auto">
        <a:xfrm>
          <a:off x="66676" y="114300"/>
          <a:ext cx="8283575" cy="6000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1000" b="0" i="0" u="none" strike="noStrike" baseline="0">
              <a:solidFill>
                <a:srgbClr val="000000"/>
              </a:solidFill>
              <a:latin typeface="돋움"/>
              <a:ea typeface="돋움"/>
            </a:rPr>
            <a:t>작성금융기관</a:t>
          </a:r>
          <a:r>
            <a:rPr lang="en-US" altLang="ko-KR" sz="1000" b="0" i="0" u="none" strike="noStrike" baseline="0">
              <a:solidFill>
                <a:srgbClr val="000000"/>
              </a:solidFill>
              <a:latin typeface="돋움"/>
              <a:ea typeface="돋움"/>
            </a:rPr>
            <a:t>:                                               </a:t>
          </a:r>
          <a:r>
            <a:rPr lang="ko-KR" altLang="en-US" sz="1000" b="0" i="0" u="none" strike="noStrike" baseline="0">
              <a:solidFill>
                <a:srgbClr val="000000"/>
              </a:solidFill>
              <a:latin typeface="돋움"/>
              <a:ea typeface="돋움"/>
            </a:rPr>
            <a:t>작성기준일</a:t>
          </a:r>
          <a:r>
            <a:rPr lang="en-US" altLang="ko-KR" sz="1000" b="0" i="0" u="none" strike="noStrike" baseline="0">
              <a:solidFill>
                <a:srgbClr val="000000"/>
              </a:solidFill>
              <a:latin typeface="돋움"/>
              <a:ea typeface="돋움"/>
            </a:rPr>
            <a:t>:</a:t>
          </a:r>
        </a:p>
        <a:p>
          <a:pPr algn="l" rtl="0">
            <a:defRPr sz="1000"/>
          </a:pPr>
          <a:r>
            <a:rPr lang="ko-KR" altLang="en-US" sz="1000" b="0" i="0" u="none" strike="noStrike" baseline="0">
              <a:solidFill>
                <a:srgbClr val="000000"/>
              </a:solidFill>
              <a:latin typeface="돋움"/>
              <a:ea typeface="돋움"/>
            </a:rPr>
            <a:t>작성자 소속</a:t>
          </a:r>
          <a:r>
            <a:rPr lang="en-US" altLang="ko-KR" sz="1000" b="0" i="0" u="none" strike="noStrike" baseline="0">
              <a:solidFill>
                <a:srgbClr val="000000"/>
              </a:solidFill>
              <a:latin typeface="돋움"/>
              <a:ea typeface="돋움"/>
            </a:rPr>
            <a:t>:                        </a:t>
          </a:r>
          <a:r>
            <a:rPr lang="ko-KR" altLang="en-US" sz="1000" b="0" i="0" u="none" strike="noStrike" baseline="0">
              <a:solidFill>
                <a:srgbClr val="000000"/>
              </a:solidFill>
              <a:latin typeface="돋움"/>
              <a:ea typeface="돋움"/>
            </a:rPr>
            <a:t>직위</a:t>
          </a:r>
          <a:r>
            <a:rPr lang="en-US" altLang="ko-KR" sz="1000" b="0" i="0" u="none" strike="noStrike" baseline="0">
              <a:solidFill>
                <a:srgbClr val="000000"/>
              </a:solidFill>
              <a:latin typeface="돋움"/>
              <a:ea typeface="돋움"/>
            </a:rPr>
            <a:t>:                            </a:t>
          </a:r>
          <a:r>
            <a:rPr lang="ko-KR" altLang="en-US" sz="1000" b="0" i="0" u="none" strike="noStrike" baseline="0">
              <a:solidFill>
                <a:srgbClr val="000000"/>
              </a:solidFill>
              <a:latin typeface="돋움"/>
              <a:ea typeface="돋움"/>
            </a:rPr>
            <a:t>성명</a:t>
          </a:r>
          <a:r>
            <a:rPr lang="en-US" altLang="ko-KR" sz="1000" b="0" i="0" u="none" strike="noStrike" baseline="0">
              <a:solidFill>
                <a:srgbClr val="000000"/>
              </a:solidFill>
              <a:latin typeface="돋움"/>
              <a:ea typeface="돋움"/>
            </a:rPr>
            <a:t>:                         </a:t>
          </a:r>
          <a:r>
            <a:rPr lang="ko-KR" altLang="en-US" sz="1000" b="0" i="0" u="none" strike="noStrike" baseline="0">
              <a:solidFill>
                <a:srgbClr val="000000"/>
              </a:solidFill>
              <a:latin typeface="돋움"/>
              <a:ea typeface="돋움"/>
            </a:rPr>
            <a:t>전화번호</a:t>
          </a:r>
          <a:r>
            <a:rPr lang="en-US" altLang="ko-KR" sz="1000" b="0" i="0" u="none" strike="noStrike" baseline="0">
              <a:solidFill>
                <a:srgbClr val="000000"/>
              </a:solidFill>
              <a:latin typeface="돋움"/>
              <a:ea typeface="돋움"/>
            </a:rPr>
            <a:t>:</a:t>
          </a:r>
        </a:p>
        <a:p>
          <a:pPr algn="l" rtl="0">
            <a:defRPr sz="1000"/>
          </a:pPr>
          <a:r>
            <a:rPr lang="ko-KR" altLang="en-US" sz="1000" b="0" i="0" u="none" strike="noStrike" baseline="0">
              <a:solidFill>
                <a:srgbClr val="000000"/>
              </a:solidFill>
              <a:latin typeface="돋움"/>
              <a:ea typeface="돋움"/>
            </a:rPr>
            <a:t>확인자 소속</a:t>
          </a:r>
          <a:r>
            <a:rPr lang="en-US" altLang="ko-KR" sz="1000" b="0" i="0" u="none" strike="noStrike" baseline="0">
              <a:solidFill>
                <a:srgbClr val="000000"/>
              </a:solidFill>
              <a:latin typeface="돋움"/>
              <a:ea typeface="돋움"/>
            </a:rPr>
            <a:t>:                        </a:t>
          </a:r>
          <a:r>
            <a:rPr lang="ko-KR" altLang="en-US" sz="1000" b="0" i="0" u="none" strike="noStrike" baseline="0">
              <a:solidFill>
                <a:srgbClr val="000000"/>
              </a:solidFill>
              <a:latin typeface="돋움"/>
              <a:ea typeface="돋움"/>
            </a:rPr>
            <a:t>직위</a:t>
          </a:r>
          <a:r>
            <a:rPr lang="en-US" altLang="ko-KR" sz="1000" b="0" i="0" u="none" strike="noStrike" baseline="0">
              <a:solidFill>
                <a:srgbClr val="000000"/>
              </a:solidFill>
              <a:latin typeface="돋움"/>
              <a:ea typeface="돋움"/>
            </a:rPr>
            <a:t>:                            </a:t>
          </a:r>
          <a:r>
            <a:rPr lang="ko-KR" altLang="en-US" sz="1000" b="0" i="0" u="none" strike="noStrike" baseline="0">
              <a:solidFill>
                <a:srgbClr val="000000"/>
              </a:solidFill>
              <a:latin typeface="돋움"/>
              <a:ea typeface="돋움"/>
            </a:rPr>
            <a:t>성명</a:t>
          </a:r>
          <a:r>
            <a:rPr lang="en-US" altLang="ko-KR" sz="1000" b="0" i="0" u="none" strike="noStrike" baseline="0">
              <a:solidFill>
                <a:srgbClr val="000000"/>
              </a:solidFill>
              <a:latin typeface="돋움"/>
              <a:ea typeface="돋움"/>
            </a:rPr>
            <a:t>:                         </a:t>
          </a:r>
          <a:r>
            <a:rPr lang="ko-KR" altLang="en-US" sz="1000" b="0" i="0" u="none" strike="noStrike" baseline="0">
              <a:solidFill>
                <a:srgbClr val="000000"/>
              </a:solidFill>
              <a:latin typeface="돋움"/>
              <a:ea typeface="돋움"/>
            </a:rPr>
            <a:t>전화번호</a:t>
          </a:r>
          <a:r>
            <a:rPr lang="en-US" altLang="ko-KR" sz="1000" b="0" i="0" u="none" strike="noStrike" baseline="0">
              <a:solidFill>
                <a:srgbClr val="000000"/>
              </a:solidFill>
              <a:latin typeface="돋움"/>
              <a:ea typeface="돋움"/>
            </a:rPr>
            <a:t>:</a:t>
          </a:r>
        </a:p>
      </xdr:txBody>
    </xdr:sp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313208</xdr:colOff>
      <xdr:row>0</xdr:row>
      <xdr:rowOff>13446</xdr:rowOff>
    </xdr:from>
    <xdr:to>
      <xdr:col>9</xdr:col>
      <xdr:colOff>433858</xdr:colOff>
      <xdr:row>2</xdr:row>
      <xdr:rowOff>114860</xdr:rowOff>
    </xdr:to>
    <xdr:sp macro="" textlink="">
      <xdr:nvSpPr>
        <xdr:cNvPr id="2" name="Text Box 3">
          <a:extLst>
            <a:ext uri="{FF2B5EF4-FFF2-40B4-BE49-F238E27FC236}">
              <a16:creationId xmlns:a16="http://schemas.microsoft.com/office/drawing/2014/main" id="{0C17134D-4FB1-46CD-8141-D88BF0A5CFE6}"/>
            </a:ext>
          </a:extLst>
        </xdr:cNvPr>
        <xdr:cNvSpPr txBox="1">
          <a:spLocks noChangeArrowheads="1"/>
        </xdr:cNvSpPr>
      </xdr:nvSpPr>
      <xdr:spPr bwMode="auto">
        <a:xfrm>
          <a:off x="313208" y="13446"/>
          <a:ext cx="8278532" cy="43759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1000" b="0" i="0" u="none" strike="noStrike" baseline="0">
              <a:solidFill>
                <a:srgbClr val="000000"/>
              </a:solidFill>
              <a:latin typeface="돋움"/>
              <a:ea typeface="돋움"/>
            </a:rPr>
            <a:t>작성금융기관</a:t>
          </a:r>
          <a:r>
            <a:rPr lang="en-US" altLang="ko-KR" sz="1000" b="0" i="0" u="none" strike="noStrike" baseline="0">
              <a:solidFill>
                <a:srgbClr val="000000"/>
              </a:solidFill>
              <a:latin typeface="돋움"/>
              <a:ea typeface="돋움"/>
            </a:rPr>
            <a:t>:                                               </a:t>
          </a:r>
          <a:r>
            <a:rPr lang="ko-KR" altLang="en-US" sz="1000" b="0" i="0" u="none" strike="noStrike" baseline="0">
              <a:solidFill>
                <a:srgbClr val="000000"/>
              </a:solidFill>
              <a:latin typeface="돋움"/>
              <a:ea typeface="돋움"/>
            </a:rPr>
            <a:t>작성기준일</a:t>
          </a:r>
          <a:r>
            <a:rPr lang="en-US" altLang="ko-KR" sz="1000" b="0" i="0" u="none" strike="noStrike" baseline="0">
              <a:solidFill>
                <a:srgbClr val="000000"/>
              </a:solidFill>
              <a:latin typeface="돋움"/>
              <a:ea typeface="돋움"/>
            </a:rPr>
            <a:t>:</a:t>
          </a:r>
        </a:p>
        <a:p>
          <a:pPr algn="l" rtl="0">
            <a:defRPr sz="1000"/>
          </a:pPr>
          <a:r>
            <a:rPr lang="ko-KR" altLang="en-US" sz="1000" b="0" i="0" u="none" strike="noStrike" baseline="0">
              <a:solidFill>
                <a:srgbClr val="000000"/>
              </a:solidFill>
              <a:latin typeface="돋움"/>
              <a:ea typeface="돋움"/>
            </a:rPr>
            <a:t>작성자 소속</a:t>
          </a:r>
          <a:r>
            <a:rPr lang="en-US" altLang="ko-KR" sz="1000" b="0" i="0" u="none" strike="noStrike" baseline="0">
              <a:solidFill>
                <a:srgbClr val="000000"/>
              </a:solidFill>
              <a:latin typeface="돋움"/>
              <a:ea typeface="돋움"/>
            </a:rPr>
            <a:t>:                        </a:t>
          </a:r>
          <a:r>
            <a:rPr lang="ko-KR" altLang="en-US" sz="1000" b="0" i="0" u="none" strike="noStrike" baseline="0">
              <a:solidFill>
                <a:srgbClr val="000000"/>
              </a:solidFill>
              <a:latin typeface="돋움"/>
              <a:ea typeface="돋움"/>
            </a:rPr>
            <a:t>직위</a:t>
          </a:r>
          <a:r>
            <a:rPr lang="en-US" altLang="ko-KR" sz="1000" b="0" i="0" u="none" strike="noStrike" baseline="0">
              <a:solidFill>
                <a:srgbClr val="000000"/>
              </a:solidFill>
              <a:latin typeface="돋움"/>
              <a:ea typeface="돋움"/>
            </a:rPr>
            <a:t>:                            </a:t>
          </a:r>
          <a:r>
            <a:rPr lang="ko-KR" altLang="en-US" sz="1000" b="0" i="0" u="none" strike="noStrike" baseline="0">
              <a:solidFill>
                <a:srgbClr val="000000"/>
              </a:solidFill>
              <a:latin typeface="돋움"/>
              <a:ea typeface="돋움"/>
            </a:rPr>
            <a:t>성명</a:t>
          </a:r>
          <a:r>
            <a:rPr lang="en-US" altLang="ko-KR" sz="1000" b="0" i="0" u="none" strike="noStrike" baseline="0">
              <a:solidFill>
                <a:srgbClr val="000000"/>
              </a:solidFill>
              <a:latin typeface="돋움"/>
              <a:ea typeface="돋움"/>
            </a:rPr>
            <a:t>:                         </a:t>
          </a:r>
          <a:r>
            <a:rPr lang="ko-KR" altLang="en-US" sz="1000" b="0" i="0" u="none" strike="noStrike" baseline="0">
              <a:solidFill>
                <a:srgbClr val="000000"/>
              </a:solidFill>
              <a:latin typeface="돋움"/>
              <a:ea typeface="돋움"/>
            </a:rPr>
            <a:t>전화번호</a:t>
          </a:r>
          <a:r>
            <a:rPr lang="en-US" altLang="ko-KR" sz="1000" b="0" i="0" u="none" strike="noStrike" baseline="0">
              <a:solidFill>
                <a:srgbClr val="000000"/>
              </a:solidFill>
              <a:latin typeface="돋움"/>
              <a:ea typeface="돋움"/>
            </a:rPr>
            <a:t>:</a:t>
          </a:r>
        </a:p>
        <a:p>
          <a:pPr algn="l" rtl="0">
            <a:defRPr sz="1000"/>
          </a:pPr>
          <a:r>
            <a:rPr lang="ko-KR" altLang="en-US" sz="1000" b="0" i="0" u="none" strike="noStrike" baseline="0">
              <a:solidFill>
                <a:srgbClr val="000000"/>
              </a:solidFill>
              <a:latin typeface="돋움"/>
              <a:ea typeface="돋움"/>
            </a:rPr>
            <a:t>확인자 소속</a:t>
          </a:r>
          <a:r>
            <a:rPr lang="en-US" altLang="ko-KR" sz="1000" b="0" i="0" u="none" strike="noStrike" baseline="0">
              <a:solidFill>
                <a:srgbClr val="000000"/>
              </a:solidFill>
              <a:latin typeface="돋움"/>
              <a:ea typeface="돋움"/>
            </a:rPr>
            <a:t>:                        </a:t>
          </a:r>
          <a:r>
            <a:rPr lang="ko-KR" altLang="en-US" sz="1000" b="0" i="0" u="none" strike="noStrike" baseline="0">
              <a:solidFill>
                <a:srgbClr val="000000"/>
              </a:solidFill>
              <a:latin typeface="돋움"/>
              <a:ea typeface="돋움"/>
            </a:rPr>
            <a:t>직위</a:t>
          </a:r>
          <a:r>
            <a:rPr lang="en-US" altLang="ko-KR" sz="1000" b="0" i="0" u="none" strike="noStrike" baseline="0">
              <a:solidFill>
                <a:srgbClr val="000000"/>
              </a:solidFill>
              <a:latin typeface="돋움"/>
              <a:ea typeface="돋움"/>
            </a:rPr>
            <a:t>:                            </a:t>
          </a:r>
          <a:r>
            <a:rPr lang="ko-KR" altLang="en-US" sz="1000" b="0" i="0" u="none" strike="noStrike" baseline="0">
              <a:solidFill>
                <a:srgbClr val="000000"/>
              </a:solidFill>
              <a:latin typeface="돋움"/>
              <a:ea typeface="돋움"/>
            </a:rPr>
            <a:t>성명</a:t>
          </a:r>
          <a:r>
            <a:rPr lang="en-US" altLang="ko-KR" sz="1000" b="0" i="0" u="none" strike="noStrike" baseline="0">
              <a:solidFill>
                <a:srgbClr val="000000"/>
              </a:solidFill>
              <a:latin typeface="돋움"/>
              <a:ea typeface="돋움"/>
            </a:rPr>
            <a:t>:                         </a:t>
          </a:r>
          <a:r>
            <a:rPr lang="ko-KR" altLang="en-US" sz="1000" b="0" i="0" u="none" strike="noStrike" baseline="0">
              <a:solidFill>
                <a:srgbClr val="000000"/>
              </a:solidFill>
              <a:latin typeface="돋움"/>
              <a:ea typeface="돋움"/>
            </a:rPr>
            <a:t>전화번호</a:t>
          </a:r>
          <a:r>
            <a:rPr lang="en-US" altLang="ko-KR" sz="1000" b="0" i="0" u="none" strike="noStrike" baseline="0">
              <a:solidFill>
                <a:srgbClr val="000000"/>
              </a:solidFill>
              <a:latin typeface="돋움"/>
              <a:ea typeface="돋움"/>
            </a:rPr>
            <a:t>:</a:t>
          </a:r>
        </a:p>
      </xdr:txBody>
    </xdr:sp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190500</xdr:colOff>
      <xdr:row>0</xdr:row>
      <xdr:rowOff>47625</xdr:rowOff>
    </xdr:from>
    <xdr:to>
      <xdr:col>3</xdr:col>
      <xdr:colOff>3762375</xdr:colOff>
      <xdr:row>3</xdr:row>
      <xdr:rowOff>9525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FCB396FB-88C7-4C29-A830-5884B1CB60FD}"/>
            </a:ext>
          </a:extLst>
        </xdr:cNvPr>
        <xdr:cNvSpPr txBox="1">
          <a:spLocks noChangeArrowheads="1"/>
        </xdr:cNvSpPr>
      </xdr:nvSpPr>
      <xdr:spPr bwMode="auto">
        <a:xfrm>
          <a:off x="190500" y="47625"/>
          <a:ext cx="6391275" cy="4762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돋움"/>
              <a:ea typeface="돋움"/>
            </a:rPr>
            <a:t>작성금융기관</a:t>
          </a:r>
          <a:r>
            <a:rPr lang="en-US" altLang="ko-KR" sz="900" b="0" i="0" u="none" strike="noStrike" baseline="0">
              <a:solidFill>
                <a:srgbClr val="000000"/>
              </a:solidFill>
              <a:latin typeface="돋움"/>
              <a:ea typeface="돋움"/>
            </a:rPr>
            <a:t>:                                                             </a:t>
          </a:r>
          <a:r>
            <a:rPr lang="ko-KR" altLang="en-US" sz="900" b="0" i="0" u="none" strike="noStrike" baseline="0">
              <a:solidFill>
                <a:srgbClr val="000000"/>
              </a:solidFill>
              <a:latin typeface="돋움"/>
              <a:ea typeface="돋움"/>
            </a:rPr>
            <a:t>작성기준일</a:t>
          </a:r>
          <a:r>
            <a:rPr lang="en-US" altLang="ko-KR" sz="900" b="0" i="0" u="none" strike="noStrike" baseline="0">
              <a:solidFill>
                <a:srgbClr val="000000"/>
              </a:solidFill>
              <a:latin typeface="돋움"/>
              <a:ea typeface="돋움"/>
            </a:rPr>
            <a:t>:</a:t>
          </a:r>
        </a:p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돋움"/>
              <a:ea typeface="돋움"/>
            </a:rPr>
            <a:t>작성자 소속</a:t>
          </a:r>
          <a:r>
            <a:rPr lang="en-US" altLang="ko-KR" sz="900" b="0" i="0" u="none" strike="noStrike" baseline="0">
              <a:solidFill>
                <a:srgbClr val="000000"/>
              </a:solidFill>
              <a:latin typeface="돋움"/>
              <a:ea typeface="돋움"/>
            </a:rPr>
            <a:t>:                        </a:t>
          </a:r>
          <a:r>
            <a:rPr lang="ko-KR" altLang="en-US" sz="900" b="0" i="0" u="none" strike="noStrike" baseline="0">
              <a:solidFill>
                <a:srgbClr val="000000"/>
              </a:solidFill>
              <a:latin typeface="돋움"/>
              <a:ea typeface="돋움"/>
            </a:rPr>
            <a:t>직위</a:t>
          </a:r>
          <a:r>
            <a:rPr lang="en-US" altLang="ko-KR" sz="900" b="0" i="0" u="none" strike="noStrike" baseline="0">
              <a:solidFill>
                <a:srgbClr val="000000"/>
              </a:solidFill>
              <a:latin typeface="돋움"/>
              <a:ea typeface="돋움"/>
            </a:rPr>
            <a:t>:                            </a:t>
          </a:r>
          <a:r>
            <a:rPr lang="ko-KR" altLang="en-US" sz="900" b="0" i="0" u="none" strike="noStrike" baseline="0">
              <a:solidFill>
                <a:srgbClr val="000000"/>
              </a:solidFill>
              <a:latin typeface="돋움"/>
              <a:ea typeface="돋움"/>
            </a:rPr>
            <a:t>성명</a:t>
          </a:r>
          <a:r>
            <a:rPr lang="en-US" altLang="ko-KR" sz="900" b="0" i="0" u="none" strike="noStrike" baseline="0">
              <a:solidFill>
                <a:srgbClr val="000000"/>
              </a:solidFill>
              <a:latin typeface="돋움"/>
              <a:ea typeface="돋움"/>
            </a:rPr>
            <a:t>:                         </a:t>
          </a:r>
          <a:r>
            <a:rPr lang="ko-KR" altLang="en-US" sz="900" b="0" i="0" u="none" strike="noStrike" baseline="0">
              <a:solidFill>
                <a:srgbClr val="000000"/>
              </a:solidFill>
              <a:latin typeface="돋움"/>
              <a:ea typeface="돋움"/>
            </a:rPr>
            <a:t>전화번호</a:t>
          </a:r>
          <a:r>
            <a:rPr lang="en-US" altLang="ko-KR" sz="900" b="0" i="0" u="none" strike="noStrike" baseline="0">
              <a:solidFill>
                <a:srgbClr val="000000"/>
              </a:solidFill>
              <a:latin typeface="돋움"/>
              <a:ea typeface="돋움"/>
            </a:rPr>
            <a:t>:</a:t>
          </a:r>
        </a:p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돋움"/>
              <a:ea typeface="돋움"/>
            </a:rPr>
            <a:t>확인자 소속</a:t>
          </a:r>
          <a:r>
            <a:rPr lang="en-US" altLang="ko-KR" sz="900" b="0" i="0" u="none" strike="noStrike" baseline="0">
              <a:solidFill>
                <a:srgbClr val="000000"/>
              </a:solidFill>
              <a:latin typeface="돋움"/>
              <a:ea typeface="돋움"/>
            </a:rPr>
            <a:t>:                        </a:t>
          </a:r>
          <a:r>
            <a:rPr lang="ko-KR" altLang="en-US" sz="900" b="0" i="0" u="none" strike="noStrike" baseline="0">
              <a:solidFill>
                <a:srgbClr val="000000"/>
              </a:solidFill>
              <a:latin typeface="돋움"/>
              <a:ea typeface="돋움"/>
            </a:rPr>
            <a:t>직위</a:t>
          </a:r>
          <a:r>
            <a:rPr lang="en-US" altLang="ko-KR" sz="900" b="0" i="0" u="none" strike="noStrike" baseline="0">
              <a:solidFill>
                <a:srgbClr val="000000"/>
              </a:solidFill>
              <a:latin typeface="돋움"/>
              <a:ea typeface="돋움"/>
            </a:rPr>
            <a:t>:                            </a:t>
          </a:r>
          <a:r>
            <a:rPr lang="ko-KR" altLang="en-US" sz="900" b="0" i="0" u="none" strike="noStrike" baseline="0">
              <a:solidFill>
                <a:srgbClr val="000000"/>
              </a:solidFill>
              <a:latin typeface="돋움"/>
              <a:ea typeface="돋움"/>
            </a:rPr>
            <a:t>성명</a:t>
          </a:r>
          <a:r>
            <a:rPr lang="en-US" altLang="ko-KR" sz="900" b="0" i="0" u="none" strike="noStrike" baseline="0">
              <a:solidFill>
                <a:srgbClr val="000000"/>
              </a:solidFill>
              <a:latin typeface="돋움"/>
              <a:ea typeface="돋움"/>
            </a:rPr>
            <a:t>:                         </a:t>
          </a:r>
          <a:r>
            <a:rPr lang="ko-KR" altLang="en-US" sz="900" b="0" i="0" u="none" strike="noStrike" baseline="0">
              <a:solidFill>
                <a:srgbClr val="000000"/>
              </a:solidFill>
              <a:latin typeface="돋움"/>
              <a:ea typeface="돋움"/>
            </a:rPr>
            <a:t>전화번호</a:t>
          </a:r>
          <a:r>
            <a:rPr lang="en-US" altLang="ko-KR" sz="900" b="0" i="0" u="none" strike="noStrike" baseline="0">
              <a:solidFill>
                <a:srgbClr val="000000"/>
              </a:solidFill>
              <a:latin typeface="돋움"/>
              <a:ea typeface="돋움"/>
            </a:rPr>
            <a:t>:</a:t>
          </a:r>
        </a:p>
      </xdr:txBody>
    </xdr:sp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190500</xdr:colOff>
      <xdr:row>0</xdr:row>
      <xdr:rowOff>47625</xdr:rowOff>
    </xdr:from>
    <xdr:to>
      <xdr:col>3</xdr:col>
      <xdr:colOff>3762375</xdr:colOff>
      <xdr:row>3</xdr:row>
      <xdr:rowOff>9525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C38A9EBA-9B0F-4E97-80CE-A61AD0837DE4}"/>
            </a:ext>
          </a:extLst>
        </xdr:cNvPr>
        <xdr:cNvSpPr txBox="1">
          <a:spLocks noChangeArrowheads="1"/>
        </xdr:cNvSpPr>
      </xdr:nvSpPr>
      <xdr:spPr bwMode="auto">
        <a:xfrm>
          <a:off x="190500" y="47625"/>
          <a:ext cx="6391275" cy="4762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돋움"/>
              <a:ea typeface="돋움"/>
            </a:rPr>
            <a:t>작성금융기관</a:t>
          </a:r>
          <a:r>
            <a:rPr lang="en-US" altLang="ko-KR" sz="900" b="0" i="0" u="none" strike="noStrike" baseline="0">
              <a:solidFill>
                <a:srgbClr val="000000"/>
              </a:solidFill>
              <a:latin typeface="돋움"/>
              <a:ea typeface="돋움"/>
            </a:rPr>
            <a:t>:                                                             </a:t>
          </a:r>
          <a:r>
            <a:rPr lang="ko-KR" altLang="en-US" sz="900" b="0" i="0" u="none" strike="noStrike" baseline="0">
              <a:solidFill>
                <a:srgbClr val="000000"/>
              </a:solidFill>
              <a:latin typeface="돋움"/>
              <a:ea typeface="돋움"/>
            </a:rPr>
            <a:t>작성기준일</a:t>
          </a:r>
          <a:r>
            <a:rPr lang="en-US" altLang="ko-KR" sz="900" b="0" i="0" u="none" strike="noStrike" baseline="0">
              <a:solidFill>
                <a:srgbClr val="000000"/>
              </a:solidFill>
              <a:latin typeface="돋움"/>
              <a:ea typeface="돋움"/>
            </a:rPr>
            <a:t>:</a:t>
          </a:r>
        </a:p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돋움"/>
              <a:ea typeface="돋움"/>
            </a:rPr>
            <a:t>작성자 소속</a:t>
          </a:r>
          <a:r>
            <a:rPr lang="en-US" altLang="ko-KR" sz="900" b="0" i="0" u="none" strike="noStrike" baseline="0">
              <a:solidFill>
                <a:srgbClr val="000000"/>
              </a:solidFill>
              <a:latin typeface="돋움"/>
              <a:ea typeface="돋움"/>
            </a:rPr>
            <a:t>:                        </a:t>
          </a:r>
          <a:r>
            <a:rPr lang="ko-KR" altLang="en-US" sz="900" b="0" i="0" u="none" strike="noStrike" baseline="0">
              <a:solidFill>
                <a:srgbClr val="000000"/>
              </a:solidFill>
              <a:latin typeface="돋움"/>
              <a:ea typeface="돋움"/>
            </a:rPr>
            <a:t>직위</a:t>
          </a:r>
          <a:r>
            <a:rPr lang="en-US" altLang="ko-KR" sz="900" b="0" i="0" u="none" strike="noStrike" baseline="0">
              <a:solidFill>
                <a:srgbClr val="000000"/>
              </a:solidFill>
              <a:latin typeface="돋움"/>
              <a:ea typeface="돋움"/>
            </a:rPr>
            <a:t>:                            </a:t>
          </a:r>
          <a:r>
            <a:rPr lang="ko-KR" altLang="en-US" sz="900" b="0" i="0" u="none" strike="noStrike" baseline="0">
              <a:solidFill>
                <a:srgbClr val="000000"/>
              </a:solidFill>
              <a:latin typeface="돋움"/>
              <a:ea typeface="돋움"/>
            </a:rPr>
            <a:t>성명</a:t>
          </a:r>
          <a:r>
            <a:rPr lang="en-US" altLang="ko-KR" sz="900" b="0" i="0" u="none" strike="noStrike" baseline="0">
              <a:solidFill>
                <a:srgbClr val="000000"/>
              </a:solidFill>
              <a:latin typeface="돋움"/>
              <a:ea typeface="돋움"/>
            </a:rPr>
            <a:t>:                         </a:t>
          </a:r>
          <a:r>
            <a:rPr lang="ko-KR" altLang="en-US" sz="900" b="0" i="0" u="none" strike="noStrike" baseline="0">
              <a:solidFill>
                <a:srgbClr val="000000"/>
              </a:solidFill>
              <a:latin typeface="돋움"/>
              <a:ea typeface="돋움"/>
            </a:rPr>
            <a:t>전화번호</a:t>
          </a:r>
          <a:r>
            <a:rPr lang="en-US" altLang="ko-KR" sz="900" b="0" i="0" u="none" strike="noStrike" baseline="0">
              <a:solidFill>
                <a:srgbClr val="000000"/>
              </a:solidFill>
              <a:latin typeface="돋움"/>
              <a:ea typeface="돋움"/>
            </a:rPr>
            <a:t>:</a:t>
          </a:r>
        </a:p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돋움"/>
              <a:ea typeface="돋움"/>
            </a:rPr>
            <a:t>확인자 소속</a:t>
          </a:r>
          <a:r>
            <a:rPr lang="en-US" altLang="ko-KR" sz="900" b="0" i="0" u="none" strike="noStrike" baseline="0">
              <a:solidFill>
                <a:srgbClr val="000000"/>
              </a:solidFill>
              <a:latin typeface="돋움"/>
              <a:ea typeface="돋움"/>
            </a:rPr>
            <a:t>:                        </a:t>
          </a:r>
          <a:r>
            <a:rPr lang="ko-KR" altLang="en-US" sz="900" b="0" i="0" u="none" strike="noStrike" baseline="0">
              <a:solidFill>
                <a:srgbClr val="000000"/>
              </a:solidFill>
              <a:latin typeface="돋움"/>
              <a:ea typeface="돋움"/>
            </a:rPr>
            <a:t>직위</a:t>
          </a:r>
          <a:r>
            <a:rPr lang="en-US" altLang="ko-KR" sz="900" b="0" i="0" u="none" strike="noStrike" baseline="0">
              <a:solidFill>
                <a:srgbClr val="000000"/>
              </a:solidFill>
              <a:latin typeface="돋움"/>
              <a:ea typeface="돋움"/>
            </a:rPr>
            <a:t>:                            </a:t>
          </a:r>
          <a:r>
            <a:rPr lang="ko-KR" altLang="en-US" sz="900" b="0" i="0" u="none" strike="noStrike" baseline="0">
              <a:solidFill>
                <a:srgbClr val="000000"/>
              </a:solidFill>
              <a:latin typeface="돋움"/>
              <a:ea typeface="돋움"/>
            </a:rPr>
            <a:t>성명</a:t>
          </a:r>
          <a:r>
            <a:rPr lang="en-US" altLang="ko-KR" sz="900" b="0" i="0" u="none" strike="noStrike" baseline="0">
              <a:solidFill>
                <a:srgbClr val="000000"/>
              </a:solidFill>
              <a:latin typeface="돋움"/>
              <a:ea typeface="돋움"/>
            </a:rPr>
            <a:t>:                         </a:t>
          </a:r>
          <a:r>
            <a:rPr lang="ko-KR" altLang="en-US" sz="900" b="0" i="0" u="none" strike="noStrike" baseline="0">
              <a:solidFill>
                <a:srgbClr val="000000"/>
              </a:solidFill>
              <a:latin typeface="돋움"/>
              <a:ea typeface="돋움"/>
            </a:rPr>
            <a:t>전화번호</a:t>
          </a:r>
          <a:r>
            <a:rPr lang="en-US" altLang="ko-KR" sz="900" b="0" i="0" u="none" strike="noStrike" baseline="0">
              <a:solidFill>
                <a:srgbClr val="000000"/>
              </a:solidFill>
              <a:latin typeface="돋움"/>
              <a:ea typeface="돋움"/>
            </a:rPr>
            <a:t>:</a:t>
          </a:r>
        </a:p>
      </xdr:txBody>
    </xdr:sp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142875</xdr:colOff>
      <xdr:row>0</xdr:row>
      <xdr:rowOff>95250</xdr:rowOff>
    </xdr:from>
    <xdr:to>
      <xdr:col>9</xdr:col>
      <xdr:colOff>285750</xdr:colOff>
      <xdr:row>3</xdr:row>
      <xdr:rowOff>57150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5C4FF85F-CEC1-4157-BAB4-D99D97E69188}"/>
            </a:ext>
          </a:extLst>
        </xdr:cNvPr>
        <xdr:cNvSpPr txBox="1">
          <a:spLocks noChangeArrowheads="1"/>
        </xdr:cNvSpPr>
      </xdr:nvSpPr>
      <xdr:spPr bwMode="auto">
        <a:xfrm>
          <a:off x="142875" y="95250"/>
          <a:ext cx="6600825" cy="4762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돋움"/>
              <a:ea typeface="돋움"/>
            </a:rPr>
            <a:t>작성금융기관</a:t>
          </a:r>
          <a:r>
            <a:rPr lang="en-US" altLang="ko-KR" sz="900" b="0" i="0" u="none" strike="noStrike" baseline="0">
              <a:solidFill>
                <a:srgbClr val="000000"/>
              </a:solidFill>
              <a:latin typeface="돋움"/>
              <a:ea typeface="돋움"/>
            </a:rPr>
            <a:t>:                                                         </a:t>
          </a:r>
          <a:r>
            <a:rPr lang="ko-KR" altLang="en-US" sz="900" b="0" i="0" u="none" strike="noStrike" baseline="0">
              <a:solidFill>
                <a:srgbClr val="000000"/>
              </a:solidFill>
              <a:latin typeface="돋움"/>
              <a:ea typeface="돋움"/>
            </a:rPr>
            <a:t>작성기준월</a:t>
          </a:r>
          <a:r>
            <a:rPr lang="en-US" altLang="ko-KR" sz="900" b="0" i="0" u="none" strike="noStrike" baseline="0">
              <a:solidFill>
                <a:srgbClr val="000000"/>
              </a:solidFill>
              <a:latin typeface="돋움"/>
              <a:ea typeface="돋움"/>
            </a:rPr>
            <a:t>:</a:t>
          </a:r>
        </a:p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돋움"/>
              <a:ea typeface="돋움"/>
            </a:rPr>
            <a:t>작성자 소속</a:t>
          </a:r>
          <a:r>
            <a:rPr lang="en-US" altLang="ko-KR" sz="900" b="0" i="0" u="none" strike="noStrike" baseline="0">
              <a:solidFill>
                <a:srgbClr val="000000"/>
              </a:solidFill>
              <a:latin typeface="돋움"/>
              <a:ea typeface="돋움"/>
            </a:rPr>
            <a:t>:                        </a:t>
          </a:r>
          <a:r>
            <a:rPr lang="ko-KR" altLang="en-US" sz="900" b="0" i="0" u="none" strike="noStrike" baseline="0">
              <a:solidFill>
                <a:srgbClr val="000000"/>
              </a:solidFill>
              <a:latin typeface="돋움"/>
              <a:ea typeface="돋움"/>
            </a:rPr>
            <a:t>직위</a:t>
          </a:r>
          <a:r>
            <a:rPr lang="en-US" altLang="ko-KR" sz="900" b="0" i="0" u="none" strike="noStrike" baseline="0">
              <a:solidFill>
                <a:srgbClr val="000000"/>
              </a:solidFill>
              <a:latin typeface="돋움"/>
              <a:ea typeface="돋움"/>
            </a:rPr>
            <a:t>:                            </a:t>
          </a:r>
          <a:r>
            <a:rPr lang="ko-KR" altLang="en-US" sz="900" b="0" i="0" u="none" strike="noStrike" baseline="0">
              <a:solidFill>
                <a:srgbClr val="000000"/>
              </a:solidFill>
              <a:latin typeface="돋움"/>
              <a:ea typeface="돋움"/>
            </a:rPr>
            <a:t>성명</a:t>
          </a:r>
          <a:r>
            <a:rPr lang="en-US" altLang="ko-KR" sz="900" b="0" i="0" u="none" strike="noStrike" baseline="0">
              <a:solidFill>
                <a:srgbClr val="000000"/>
              </a:solidFill>
              <a:latin typeface="돋움"/>
              <a:ea typeface="돋움"/>
            </a:rPr>
            <a:t>:                         </a:t>
          </a:r>
          <a:r>
            <a:rPr lang="ko-KR" altLang="en-US" sz="900" b="0" i="0" u="none" strike="noStrike" baseline="0">
              <a:solidFill>
                <a:srgbClr val="000000"/>
              </a:solidFill>
              <a:latin typeface="돋움"/>
              <a:ea typeface="돋움"/>
            </a:rPr>
            <a:t>전화번호</a:t>
          </a:r>
          <a:r>
            <a:rPr lang="en-US" altLang="ko-KR" sz="900" b="0" i="0" u="none" strike="noStrike" baseline="0">
              <a:solidFill>
                <a:srgbClr val="000000"/>
              </a:solidFill>
              <a:latin typeface="돋움"/>
              <a:ea typeface="돋움"/>
            </a:rPr>
            <a:t>:</a:t>
          </a:r>
        </a:p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돋움"/>
              <a:ea typeface="돋움"/>
            </a:rPr>
            <a:t>확인자 소속</a:t>
          </a:r>
          <a:r>
            <a:rPr lang="en-US" altLang="ko-KR" sz="900" b="0" i="0" u="none" strike="noStrike" baseline="0">
              <a:solidFill>
                <a:srgbClr val="000000"/>
              </a:solidFill>
              <a:latin typeface="돋움"/>
              <a:ea typeface="돋움"/>
            </a:rPr>
            <a:t>:                        </a:t>
          </a:r>
          <a:r>
            <a:rPr lang="ko-KR" altLang="en-US" sz="900" b="0" i="0" u="none" strike="noStrike" baseline="0">
              <a:solidFill>
                <a:srgbClr val="000000"/>
              </a:solidFill>
              <a:latin typeface="돋움"/>
              <a:ea typeface="돋움"/>
            </a:rPr>
            <a:t>직위</a:t>
          </a:r>
          <a:r>
            <a:rPr lang="en-US" altLang="ko-KR" sz="900" b="0" i="0" u="none" strike="noStrike" baseline="0">
              <a:solidFill>
                <a:srgbClr val="000000"/>
              </a:solidFill>
              <a:latin typeface="돋움"/>
              <a:ea typeface="돋움"/>
            </a:rPr>
            <a:t>:                            </a:t>
          </a:r>
          <a:r>
            <a:rPr lang="ko-KR" altLang="en-US" sz="900" b="0" i="0" u="none" strike="noStrike" baseline="0">
              <a:solidFill>
                <a:srgbClr val="000000"/>
              </a:solidFill>
              <a:latin typeface="돋움"/>
              <a:ea typeface="돋움"/>
            </a:rPr>
            <a:t>성명</a:t>
          </a:r>
          <a:r>
            <a:rPr lang="en-US" altLang="ko-KR" sz="900" b="0" i="0" u="none" strike="noStrike" baseline="0">
              <a:solidFill>
                <a:srgbClr val="000000"/>
              </a:solidFill>
              <a:latin typeface="돋움"/>
              <a:ea typeface="돋움"/>
            </a:rPr>
            <a:t>:                         </a:t>
          </a:r>
          <a:r>
            <a:rPr lang="ko-KR" altLang="en-US" sz="900" b="0" i="0" u="none" strike="noStrike" baseline="0">
              <a:solidFill>
                <a:srgbClr val="000000"/>
              </a:solidFill>
              <a:latin typeface="돋움"/>
              <a:ea typeface="돋움"/>
            </a:rPr>
            <a:t>전화번호</a:t>
          </a:r>
          <a:r>
            <a:rPr lang="en-US" altLang="ko-KR" sz="900" b="0" i="0" u="none" strike="noStrike" baseline="0">
              <a:solidFill>
                <a:srgbClr val="000000"/>
              </a:solidFill>
              <a:latin typeface="돋움"/>
              <a:ea typeface="돋움"/>
            </a:rPr>
            <a:t>:</a:t>
          </a:r>
        </a:p>
      </xdr:txBody>
    </xdr:sp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168088</xdr:colOff>
      <xdr:row>0</xdr:row>
      <xdr:rowOff>123265</xdr:rowOff>
    </xdr:from>
    <xdr:to>
      <xdr:col>21</xdr:col>
      <xdr:colOff>184897</xdr:colOff>
      <xdr:row>4</xdr:row>
      <xdr:rowOff>12328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AEF35B51-4849-4003-9E24-B4D0D9443627}"/>
            </a:ext>
          </a:extLst>
        </xdr:cNvPr>
        <xdr:cNvSpPr txBox="1">
          <a:spLocks noChangeArrowheads="1"/>
        </xdr:cNvSpPr>
      </xdr:nvSpPr>
      <xdr:spPr bwMode="auto">
        <a:xfrm>
          <a:off x="168088" y="123265"/>
          <a:ext cx="12623427" cy="561416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돋움"/>
              <a:ea typeface="돋움"/>
            </a:rPr>
            <a:t>작성금융기관</a:t>
          </a:r>
          <a:r>
            <a:rPr lang="en-US" altLang="ko-KR" sz="900" b="0" i="0" u="none" strike="noStrike" baseline="0">
              <a:solidFill>
                <a:srgbClr val="000000"/>
              </a:solidFill>
              <a:latin typeface="돋움"/>
              <a:ea typeface="돋움"/>
            </a:rPr>
            <a:t>:                                                         </a:t>
          </a:r>
          <a:r>
            <a:rPr lang="ko-KR" altLang="en-US" sz="900" b="0" i="0" u="none" strike="noStrike" baseline="0">
              <a:solidFill>
                <a:srgbClr val="000000"/>
              </a:solidFill>
              <a:latin typeface="돋움"/>
              <a:ea typeface="돋움"/>
            </a:rPr>
            <a:t>작성기준월</a:t>
          </a:r>
          <a:r>
            <a:rPr lang="en-US" altLang="ko-KR" sz="900" b="0" i="0" u="none" strike="noStrike" baseline="0">
              <a:solidFill>
                <a:srgbClr val="000000"/>
              </a:solidFill>
              <a:latin typeface="돋움"/>
              <a:ea typeface="돋움"/>
            </a:rPr>
            <a:t>:</a:t>
          </a:r>
        </a:p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돋움"/>
              <a:ea typeface="돋움"/>
            </a:rPr>
            <a:t>작성자 소속</a:t>
          </a:r>
          <a:r>
            <a:rPr lang="en-US" altLang="ko-KR" sz="900" b="0" i="0" u="none" strike="noStrike" baseline="0">
              <a:solidFill>
                <a:srgbClr val="000000"/>
              </a:solidFill>
              <a:latin typeface="돋움"/>
              <a:ea typeface="돋움"/>
            </a:rPr>
            <a:t>:                        </a:t>
          </a:r>
          <a:r>
            <a:rPr lang="ko-KR" altLang="en-US" sz="900" b="0" i="0" u="none" strike="noStrike" baseline="0">
              <a:solidFill>
                <a:srgbClr val="000000"/>
              </a:solidFill>
              <a:latin typeface="돋움"/>
              <a:ea typeface="돋움"/>
            </a:rPr>
            <a:t>직위</a:t>
          </a:r>
          <a:r>
            <a:rPr lang="en-US" altLang="ko-KR" sz="900" b="0" i="0" u="none" strike="noStrike" baseline="0">
              <a:solidFill>
                <a:srgbClr val="000000"/>
              </a:solidFill>
              <a:latin typeface="돋움"/>
              <a:ea typeface="돋움"/>
            </a:rPr>
            <a:t>:                            </a:t>
          </a:r>
          <a:r>
            <a:rPr lang="ko-KR" altLang="en-US" sz="900" b="0" i="0" u="none" strike="noStrike" baseline="0">
              <a:solidFill>
                <a:srgbClr val="000000"/>
              </a:solidFill>
              <a:latin typeface="돋움"/>
              <a:ea typeface="돋움"/>
            </a:rPr>
            <a:t>성명</a:t>
          </a:r>
          <a:r>
            <a:rPr lang="en-US" altLang="ko-KR" sz="900" b="0" i="0" u="none" strike="noStrike" baseline="0">
              <a:solidFill>
                <a:srgbClr val="000000"/>
              </a:solidFill>
              <a:latin typeface="돋움"/>
              <a:ea typeface="돋움"/>
            </a:rPr>
            <a:t>:                         </a:t>
          </a:r>
          <a:r>
            <a:rPr lang="ko-KR" altLang="en-US" sz="900" b="0" i="0" u="none" strike="noStrike" baseline="0">
              <a:solidFill>
                <a:srgbClr val="000000"/>
              </a:solidFill>
              <a:latin typeface="돋움"/>
              <a:ea typeface="돋움"/>
            </a:rPr>
            <a:t>전화번호</a:t>
          </a:r>
          <a:r>
            <a:rPr lang="en-US" altLang="ko-KR" sz="900" b="0" i="0" u="none" strike="noStrike" baseline="0">
              <a:solidFill>
                <a:srgbClr val="000000"/>
              </a:solidFill>
              <a:latin typeface="돋움"/>
              <a:ea typeface="돋움"/>
            </a:rPr>
            <a:t>:</a:t>
          </a:r>
        </a:p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돋움"/>
              <a:ea typeface="돋움"/>
            </a:rPr>
            <a:t>확인자 소속</a:t>
          </a:r>
          <a:r>
            <a:rPr lang="en-US" altLang="ko-KR" sz="900" b="0" i="0" u="none" strike="noStrike" baseline="0">
              <a:solidFill>
                <a:srgbClr val="000000"/>
              </a:solidFill>
              <a:latin typeface="돋움"/>
              <a:ea typeface="돋움"/>
            </a:rPr>
            <a:t>:                        </a:t>
          </a:r>
          <a:r>
            <a:rPr lang="ko-KR" altLang="en-US" sz="900" b="0" i="0" u="none" strike="noStrike" baseline="0">
              <a:solidFill>
                <a:srgbClr val="000000"/>
              </a:solidFill>
              <a:latin typeface="돋움"/>
              <a:ea typeface="돋움"/>
            </a:rPr>
            <a:t>직위</a:t>
          </a:r>
          <a:r>
            <a:rPr lang="en-US" altLang="ko-KR" sz="900" b="0" i="0" u="none" strike="noStrike" baseline="0">
              <a:solidFill>
                <a:srgbClr val="000000"/>
              </a:solidFill>
              <a:latin typeface="돋움"/>
              <a:ea typeface="돋움"/>
            </a:rPr>
            <a:t>:                            </a:t>
          </a:r>
          <a:r>
            <a:rPr lang="ko-KR" altLang="en-US" sz="900" b="0" i="0" u="none" strike="noStrike" baseline="0">
              <a:solidFill>
                <a:srgbClr val="000000"/>
              </a:solidFill>
              <a:latin typeface="돋움"/>
              <a:ea typeface="돋움"/>
            </a:rPr>
            <a:t>성명</a:t>
          </a:r>
          <a:r>
            <a:rPr lang="en-US" altLang="ko-KR" sz="900" b="0" i="0" u="none" strike="noStrike" baseline="0">
              <a:solidFill>
                <a:srgbClr val="000000"/>
              </a:solidFill>
              <a:latin typeface="돋움"/>
              <a:ea typeface="돋움"/>
            </a:rPr>
            <a:t>:                         </a:t>
          </a:r>
          <a:r>
            <a:rPr lang="ko-KR" altLang="en-US" sz="900" b="0" i="0" u="none" strike="noStrike" baseline="0">
              <a:solidFill>
                <a:srgbClr val="000000"/>
              </a:solidFill>
              <a:latin typeface="돋움"/>
              <a:ea typeface="돋움"/>
            </a:rPr>
            <a:t>전화번호</a:t>
          </a:r>
          <a:r>
            <a:rPr lang="en-US" altLang="ko-KR" sz="900" b="0" i="0" u="none" strike="noStrike" baseline="0">
              <a:solidFill>
                <a:srgbClr val="000000"/>
              </a:solidFill>
              <a:latin typeface="돋움"/>
              <a:ea typeface="돋움"/>
            </a:rPr>
            <a:t>:</a:t>
          </a:r>
        </a:p>
      </xdr:txBody>
    </xdr:sp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57150</xdr:colOff>
      <xdr:row>0</xdr:row>
      <xdr:rowOff>66675</xdr:rowOff>
    </xdr:from>
    <xdr:to>
      <xdr:col>7</xdr:col>
      <xdr:colOff>971550</xdr:colOff>
      <xdr:row>3</xdr:row>
      <xdr:rowOff>161925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3FE076F6-51B8-49AB-8781-1CAE4C655335}"/>
            </a:ext>
          </a:extLst>
        </xdr:cNvPr>
        <xdr:cNvSpPr txBox="1">
          <a:spLocks noChangeArrowheads="1"/>
        </xdr:cNvSpPr>
      </xdr:nvSpPr>
      <xdr:spPr bwMode="auto">
        <a:xfrm>
          <a:off x="57150" y="66675"/>
          <a:ext cx="8229600" cy="6096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576" tIns="18288" rIns="0" bIns="0" anchor="t" upright="1"/>
        <a:lstStyle/>
        <a:p>
          <a:pPr algn="l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작성금융기관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:                                                                                    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작성기준월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:</a:t>
          </a:r>
        </a:p>
        <a:p>
          <a:pPr algn="l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작성자 소속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:                        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직위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:                            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성명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:                         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전화번호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:</a:t>
          </a:r>
        </a:p>
        <a:p>
          <a:pPr algn="l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확인자 소속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:                        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직위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:                            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성명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:                         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전화번호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:</a:t>
          </a:r>
        </a:p>
      </xdr:txBody>
    </xdr:sp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57150</xdr:colOff>
      <xdr:row>0</xdr:row>
      <xdr:rowOff>66675</xdr:rowOff>
    </xdr:from>
    <xdr:to>
      <xdr:col>7</xdr:col>
      <xdr:colOff>971550</xdr:colOff>
      <xdr:row>3</xdr:row>
      <xdr:rowOff>161925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B803071B-88A0-46B5-9FDC-C54AB1614B4A}"/>
            </a:ext>
          </a:extLst>
        </xdr:cNvPr>
        <xdr:cNvSpPr txBox="1">
          <a:spLocks noChangeArrowheads="1"/>
        </xdr:cNvSpPr>
      </xdr:nvSpPr>
      <xdr:spPr bwMode="auto">
        <a:xfrm>
          <a:off x="57150" y="66675"/>
          <a:ext cx="8229600" cy="6096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576" tIns="18288" rIns="0" bIns="0" anchor="t" upright="1"/>
        <a:lstStyle/>
        <a:p>
          <a:pPr algn="l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작성금융기관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:                                                                                    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작성기준월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:</a:t>
          </a:r>
        </a:p>
        <a:p>
          <a:pPr algn="l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작성자 소속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:                        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직위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:                            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성명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:                         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전화번호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:</a:t>
          </a:r>
        </a:p>
        <a:p>
          <a:pPr algn="l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확인자 소속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:                        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직위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:                            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성명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:                         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전화번호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:</a:t>
          </a:r>
        </a:p>
      </xdr:txBody>
    </xdr:sp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0</xdr:row>
      <xdr:rowOff>66675</xdr:rowOff>
    </xdr:from>
    <xdr:to>
      <xdr:col>10</xdr:col>
      <xdr:colOff>638175</xdr:colOff>
      <xdr:row>2</xdr:row>
      <xdr:rowOff>171450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4662E3FA-9E0A-4C0C-9115-F64BE3FA2D65}"/>
            </a:ext>
          </a:extLst>
        </xdr:cNvPr>
        <xdr:cNvSpPr txBox="1">
          <a:spLocks noChangeArrowheads="1"/>
        </xdr:cNvSpPr>
      </xdr:nvSpPr>
      <xdr:spPr bwMode="auto">
        <a:xfrm>
          <a:off x="76200" y="66675"/>
          <a:ext cx="8477250" cy="5619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576" tIns="18288" rIns="0" bIns="0" anchor="t" upright="1"/>
        <a:lstStyle/>
        <a:p>
          <a:pPr algn="l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작성금융기관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:                                                                      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작성기준월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:</a:t>
          </a:r>
        </a:p>
        <a:p>
          <a:pPr algn="l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작성자 소속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:                 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직위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:                    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성명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:                    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전화번호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:</a:t>
          </a:r>
        </a:p>
        <a:p>
          <a:pPr algn="l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확인자 소속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:                 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직위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:                    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성명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:                    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전화번호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:</a:t>
          </a:r>
        </a:p>
      </xdr:txBody>
    </xdr:sp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333938</xdr:colOff>
      <xdr:row>0</xdr:row>
      <xdr:rowOff>66675</xdr:rowOff>
    </xdr:from>
    <xdr:to>
      <xdr:col>11</xdr:col>
      <xdr:colOff>89090</xdr:colOff>
      <xdr:row>2</xdr:row>
      <xdr:rowOff>171450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B417E09F-CF4C-4BC5-ADCA-4EF2D517C6F8}"/>
            </a:ext>
          </a:extLst>
        </xdr:cNvPr>
        <xdr:cNvSpPr txBox="1">
          <a:spLocks noChangeArrowheads="1"/>
        </xdr:cNvSpPr>
      </xdr:nvSpPr>
      <xdr:spPr bwMode="auto">
        <a:xfrm>
          <a:off x="333938" y="66675"/>
          <a:ext cx="9425828" cy="55301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576" tIns="18288" rIns="0" bIns="0" anchor="t" upright="1"/>
        <a:lstStyle/>
        <a:p>
          <a:pPr algn="l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작성금융기관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:                                                                      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작성기준월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:</a:t>
          </a:r>
        </a:p>
        <a:p>
          <a:pPr algn="l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작성자 소속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:                 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직위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:                    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성명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:                    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전화번호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:</a:t>
          </a:r>
        </a:p>
        <a:p>
          <a:pPr algn="l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확인자 소속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:                 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직위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:                    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성명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:                    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전화번호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:</a:t>
          </a:r>
        </a:p>
      </xdr:txBody>
    </xdr:sp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57150</xdr:colOff>
      <xdr:row>0</xdr:row>
      <xdr:rowOff>66675</xdr:rowOff>
    </xdr:from>
    <xdr:to>
      <xdr:col>17</xdr:col>
      <xdr:colOff>588818</xdr:colOff>
      <xdr:row>3</xdr:row>
      <xdr:rowOff>161925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225D7544-B549-4F49-9466-9701A59FEE60}"/>
            </a:ext>
          </a:extLst>
        </xdr:cNvPr>
        <xdr:cNvSpPr txBox="1">
          <a:spLocks noChangeArrowheads="1"/>
        </xdr:cNvSpPr>
      </xdr:nvSpPr>
      <xdr:spPr bwMode="auto">
        <a:xfrm>
          <a:off x="57150" y="66675"/>
          <a:ext cx="13745441" cy="61479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576" tIns="18288" rIns="0" bIns="0" anchor="t" upright="1"/>
        <a:lstStyle/>
        <a:p>
          <a:pPr algn="l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작성금융기관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:                                                                                    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작성기준월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:</a:t>
          </a:r>
        </a:p>
        <a:p>
          <a:pPr algn="l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작성자 소속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:                        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직위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:                            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성명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:                         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전화번호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:</a:t>
          </a:r>
        </a:p>
        <a:p>
          <a:pPr algn="l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확인자 소속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:                        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직위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:                            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성명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:                         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전화번호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:</a:t>
          </a:r>
        </a:p>
      </xdr:txBody>
    </xdr:sp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57150</xdr:colOff>
      <xdr:row>0</xdr:row>
      <xdr:rowOff>66675</xdr:rowOff>
    </xdr:from>
    <xdr:to>
      <xdr:col>25</xdr:col>
      <xdr:colOff>857249</xdr:colOff>
      <xdr:row>3</xdr:row>
      <xdr:rowOff>161925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6E2867DB-9AB1-4591-B1E0-3141F5657F43}"/>
            </a:ext>
          </a:extLst>
        </xdr:cNvPr>
        <xdr:cNvSpPr txBox="1">
          <a:spLocks noChangeArrowheads="1"/>
        </xdr:cNvSpPr>
      </xdr:nvSpPr>
      <xdr:spPr bwMode="auto">
        <a:xfrm>
          <a:off x="57150" y="66675"/>
          <a:ext cx="24779287" cy="595313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576" tIns="18288" rIns="0" bIns="0" anchor="t" upright="1"/>
        <a:lstStyle/>
        <a:p>
          <a:pPr algn="l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작성금융기관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:                                                                                    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작성기준월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:</a:t>
          </a:r>
        </a:p>
        <a:p>
          <a:pPr algn="l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작성자 소속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:                        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직위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:                            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성명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:                         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전화번호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:</a:t>
          </a:r>
        </a:p>
        <a:p>
          <a:pPr algn="l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확인자 소속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:                        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직위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:                            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성명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:                         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전화번호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:</a:t>
          </a:r>
        </a:p>
      </xdr:txBody>
    </xdr:sp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333375</xdr:colOff>
      <xdr:row>0</xdr:row>
      <xdr:rowOff>66675</xdr:rowOff>
    </xdr:from>
    <xdr:to>
      <xdr:col>15</xdr:col>
      <xdr:colOff>619125</xdr:colOff>
      <xdr:row>3</xdr:row>
      <xdr:rowOff>161925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04B55B5C-9C5C-471D-A1F1-79250BCDD359}"/>
            </a:ext>
          </a:extLst>
        </xdr:cNvPr>
        <xdr:cNvSpPr txBox="1">
          <a:spLocks noChangeArrowheads="1"/>
        </xdr:cNvSpPr>
      </xdr:nvSpPr>
      <xdr:spPr bwMode="auto">
        <a:xfrm>
          <a:off x="333375" y="66675"/>
          <a:ext cx="13925550" cy="6096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576" tIns="18288" rIns="0" bIns="0" anchor="t" upright="1"/>
        <a:lstStyle/>
        <a:p>
          <a:pPr algn="l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작성금융기관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:                                                                      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작성기준월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:</a:t>
          </a:r>
        </a:p>
        <a:p>
          <a:pPr algn="l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작성자 소속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:                 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직위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:                    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성명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:                    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전화번호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:</a:t>
          </a:r>
        </a:p>
        <a:p>
          <a:pPr algn="l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확인자 소속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:                 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직위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:                    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성명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:                    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전화번호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:</a:t>
          </a:r>
        </a:p>
      </xdr:txBody>
    </xdr:sp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333375</xdr:colOff>
      <xdr:row>0</xdr:row>
      <xdr:rowOff>66675</xdr:rowOff>
    </xdr:from>
    <xdr:to>
      <xdr:col>15</xdr:col>
      <xdr:colOff>619125</xdr:colOff>
      <xdr:row>3</xdr:row>
      <xdr:rowOff>161925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AE66176D-1810-4547-8D96-9D71A35B32C5}"/>
            </a:ext>
          </a:extLst>
        </xdr:cNvPr>
        <xdr:cNvSpPr txBox="1">
          <a:spLocks noChangeArrowheads="1"/>
        </xdr:cNvSpPr>
      </xdr:nvSpPr>
      <xdr:spPr bwMode="auto">
        <a:xfrm>
          <a:off x="333375" y="66675"/>
          <a:ext cx="13925550" cy="6096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576" tIns="18288" rIns="0" bIns="0" anchor="t" upright="1"/>
        <a:lstStyle/>
        <a:p>
          <a:pPr algn="l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작성금융기관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:                                                                      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작성기준월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:</a:t>
          </a:r>
        </a:p>
        <a:p>
          <a:pPr algn="l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작성자 소속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:                 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직위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:                    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성명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:                    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전화번호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:</a:t>
          </a:r>
        </a:p>
        <a:p>
          <a:pPr algn="l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확인자 소속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:                 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직위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:                    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성명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:                    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전화번호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:</a:t>
          </a:r>
        </a:p>
      </xdr:txBody>
    </xdr:sp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333375</xdr:colOff>
      <xdr:row>0</xdr:row>
      <xdr:rowOff>66675</xdr:rowOff>
    </xdr:from>
    <xdr:to>
      <xdr:col>11</xdr:col>
      <xdr:colOff>504825</xdr:colOff>
      <xdr:row>3</xdr:row>
      <xdr:rowOff>123825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5B10CAC7-BD34-4877-BEE1-C513B9824C74}"/>
            </a:ext>
          </a:extLst>
        </xdr:cNvPr>
        <xdr:cNvSpPr txBox="1">
          <a:spLocks noChangeArrowheads="1"/>
        </xdr:cNvSpPr>
      </xdr:nvSpPr>
      <xdr:spPr bwMode="auto">
        <a:xfrm>
          <a:off x="333375" y="66675"/>
          <a:ext cx="11010900" cy="5715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576" tIns="18288" rIns="0" bIns="0" anchor="t" upright="1"/>
        <a:lstStyle/>
        <a:p>
          <a:pPr algn="l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작성금융기관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:                                       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작성기준일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:</a:t>
          </a:r>
        </a:p>
        <a:p>
          <a:pPr algn="l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작성자 소속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:                 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직위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:                    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성명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:                    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전화번호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:</a:t>
          </a:r>
        </a:p>
        <a:p>
          <a:pPr algn="l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확인자 소속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:                 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직위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:                    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성명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:                    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전화번호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:</a:t>
          </a:r>
        </a:p>
      </xdr:txBody>
    </xdr:sp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333375</xdr:colOff>
      <xdr:row>0</xdr:row>
      <xdr:rowOff>66675</xdr:rowOff>
    </xdr:from>
    <xdr:to>
      <xdr:col>11</xdr:col>
      <xdr:colOff>504825</xdr:colOff>
      <xdr:row>3</xdr:row>
      <xdr:rowOff>123825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6045C075-B506-4A18-93E8-80838304EB65}"/>
            </a:ext>
          </a:extLst>
        </xdr:cNvPr>
        <xdr:cNvSpPr txBox="1">
          <a:spLocks noChangeArrowheads="1"/>
        </xdr:cNvSpPr>
      </xdr:nvSpPr>
      <xdr:spPr bwMode="auto">
        <a:xfrm>
          <a:off x="333375" y="66675"/>
          <a:ext cx="11010900" cy="5715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576" tIns="18288" rIns="0" bIns="0" anchor="t" upright="1"/>
        <a:lstStyle/>
        <a:p>
          <a:pPr algn="l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작성금융기관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:                                       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작성기준일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:</a:t>
          </a:r>
        </a:p>
        <a:p>
          <a:pPr algn="l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작성자 소속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:                 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직위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:                    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성명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:                    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전화번호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:</a:t>
          </a:r>
        </a:p>
        <a:p>
          <a:pPr algn="l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확인자 소속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:                 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직위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:                    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성명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:                    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전화번호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:</a:t>
          </a:r>
        </a:p>
      </xdr:txBody>
    </xdr:sp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285750</xdr:colOff>
      <xdr:row>0</xdr:row>
      <xdr:rowOff>66675</xdr:rowOff>
    </xdr:from>
    <xdr:to>
      <xdr:col>11</xdr:col>
      <xdr:colOff>257175</xdr:colOff>
      <xdr:row>3</xdr:row>
      <xdr:rowOff>133350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49F72056-F397-4CE2-B5F6-C4DBBB9479A8}"/>
            </a:ext>
          </a:extLst>
        </xdr:cNvPr>
        <xdr:cNvSpPr txBox="1">
          <a:spLocks noChangeArrowheads="1"/>
        </xdr:cNvSpPr>
      </xdr:nvSpPr>
      <xdr:spPr bwMode="auto">
        <a:xfrm>
          <a:off x="285750" y="66675"/>
          <a:ext cx="8153400" cy="5810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576" tIns="18288" rIns="0" bIns="0" anchor="t" upright="1"/>
        <a:lstStyle/>
        <a:p>
          <a:pPr algn="l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작성금융기관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:                                                                     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작성기준일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:</a:t>
          </a:r>
        </a:p>
        <a:p>
          <a:pPr algn="l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작성자 소속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:                 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직위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:                    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성명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:                    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전화번호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:</a:t>
          </a:r>
        </a:p>
        <a:p>
          <a:pPr algn="l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확인자 소속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:                 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직위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:                    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성명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:                    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전화번호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:</a:t>
          </a:r>
        </a:p>
      </xdr:txBody>
    </xdr:sp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285750</xdr:colOff>
      <xdr:row>0</xdr:row>
      <xdr:rowOff>66675</xdr:rowOff>
    </xdr:from>
    <xdr:to>
      <xdr:col>13</xdr:col>
      <xdr:colOff>257175</xdr:colOff>
      <xdr:row>3</xdr:row>
      <xdr:rowOff>133350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1FC49DC8-4D31-43F8-A8C0-5E2875DCC188}"/>
            </a:ext>
          </a:extLst>
        </xdr:cNvPr>
        <xdr:cNvSpPr txBox="1">
          <a:spLocks noChangeArrowheads="1"/>
        </xdr:cNvSpPr>
      </xdr:nvSpPr>
      <xdr:spPr bwMode="auto">
        <a:xfrm>
          <a:off x="285750" y="66675"/>
          <a:ext cx="8153400" cy="5810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576" tIns="18288" rIns="0" bIns="0" anchor="t" upright="1"/>
        <a:lstStyle/>
        <a:p>
          <a:pPr algn="l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작성금융기관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:                                                                     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작성기준일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:</a:t>
          </a:r>
        </a:p>
        <a:p>
          <a:pPr algn="l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작성자 소속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:                 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직위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:                    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성명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:                    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전화번호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:</a:t>
          </a:r>
        </a:p>
        <a:p>
          <a:pPr algn="l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확인자 소속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:                 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직위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:                    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성명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:                    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전화번호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:</a:t>
          </a:r>
        </a:p>
      </xdr:txBody>
    </xdr:sp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263338</xdr:colOff>
      <xdr:row>0</xdr:row>
      <xdr:rowOff>66675</xdr:rowOff>
    </xdr:from>
    <xdr:to>
      <xdr:col>9</xdr:col>
      <xdr:colOff>520513</xdr:colOff>
      <xdr:row>3</xdr:row>
      <xdr:rowOff>142875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9C43E925-A6CE-465A-8AA2-8D31BF28ADD5}"/>
            </a:ext>
          </a:extLst>
        </xdr:cNvPr>
        <xdr:cNvSpPr txBox="1">
          <a:spLocks noChangeArrowheads="1"/>
        </xdr:cNvSpPr>
      </xdr:nvSpPr>
      <xdr:spPr bwMode="auto">
        <a:xfrm>
          <a:off x="263338" y="66675"/>
          <a:ext cx="9389969" cy="58046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576" tIns="18288" rIns="0" bIns="0" anchor="t" upright="1"/>
        <a:lstStyle/>
        <a:p>
          <a:pPr algn="l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작성금융기관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:                                                             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작성기준일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:</a:t>
          </a:r>
        </a:p>
        <a:p>
          <a:pPr algn="l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작성자 소속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:                 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직위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:                    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성명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:                    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전화번호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:</a:t>
          </a:r>
        </a:p>
        <a:p>
          <a:pPr algn="l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확인자 소속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:                 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직위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:                    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성명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:                    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전화번호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:</a:t>
          </a:r>
        </a:p>
      </xdr:txBody>
    </xdr:sp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285750</xdr:colOff>
      <xdr:row>0</xdr:row>
      <xdr:rowOff>66675</xdr:rowOff>
    </xdr:from>
    <xdr:to>
      <xdr:col>9</xdr:col>
      <xdr:colOff>542925</xdr:colOff>
      <xdr:row>3</xdr:row>
      <xdr:rowOff>142875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29D0B51D-72F3-4181-8D56-1367D0D78D32}"/>
            </a:ext>
          </a:extLst>
        </xdr:cNvPr>
        <xdr:cNvSpPr txBox="1">
          <a:spLocks noChangeArrowheads="1"/>
        </xdr:cNvSpPr>
      </xdr:nvSpPr>
      <xdr:spPr bwMode="auto">
        <a:xfrm>
          <a:off x="285750" y="66675"/>
          <a:ext cx="9410700" cy="5905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576" tIns="18288" rIns="0" bIns="0" anchor="t" upright="1"/>
        <a:lstStyle/>
        <a:p>
          <a:pPr algn="l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작성금융기관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:                                                             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작성기준일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:</a:t>
          </a:r>
        </a:p>
        <a:p>
          <a:pPr algn="l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작성자 소속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:                 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직위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:                    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성명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:                    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전화번호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:</a:t>
          </a:r>
        </a:p>
        <a:p>
          <a:pPr algn="l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확인자 소속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:                 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직위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:                    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성명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:                    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전화번호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:</a:t>
          </a:r>
        </a:p>
      </xdr:txBody>
    </xdr:sp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57150</xdr:colOff>
      <xdr:row>0</xdr:row>
      <xdr:rowOff>114300</xdr:rowOff>
    </xdr:from>
    <xdr:to>
      <xdr:col>14</xdr:col>
      <xdr:colOff>571500</xdr:colOff>
      <xdr:row>4</xdr:row>
      <xdr:rowOff>19050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E0311D32-7969-48D9-BB5C-2B74C63CC33E}"/>
            </a:ext>
          </a:extLst>
        </xdr:cNvPr>
        <xdr:cNvSpPr txBox="1">
          <a:spLocks noChangeArrowheads="1"/>
        </xdr:cNvSpPr>
      </xdr:nvSpPr>
      <xdr:spPr bwMode="auto">
        <a:xfrm>
          <a:off x="57150" y="114300"/>
          <a:ext cx="10496550" cy="5905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576" tIns="18288" rIns="0" bIns="0" anchor="t" upright="1"/>
        <a:lstStyle/>
        <a:p>
          <a:pPr algn="l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작성금융기관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:                                                             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작성기준일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:</a:t>
          </a:r>
        </a:p>
        <a:p>
          <a:pPr algn="l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작성자 소속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:                 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직위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:                    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성명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:                    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전화번호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:</a:t>
          </a:r>
        </a:p>
        <a:p>
          <a:pPr algn="l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확인자 소속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:                 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직위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:                    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성명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:                    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전화번호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:</a:t>
          </a:r>
        </a:p>
      </xdr:txBody>
    </xdr:sp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137833</xdr:colOff>
      <xdr:row>0</xdr:row>
      <xdr:rowOff>28575</xdr:rowOff>
    </xdr:from>
    <xdr:to>
      <xdr:col>15</xdr:col>
      <xdr:colOff>130549</xdr:colOff>
      <xdr:row>3</xdr:row>
      <xdr:rowOff>104775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D1E5E37D-0CD2-442E-8A52-44732CD39D8F}"/>
            </a:ext>
          </a:extLst>
        </xdr:cNvPr>
        <xdr:cNvSpPr txBox="1">
          <a:spLocks noChangeArrowheads="1"/>
        </xdr:cNvSpPr>
      </xdr:nvSpPr>
      <xdr:spPr bwMode="auto">
        <a:xfrm>
          <a:off x="137833" y="28575"/>
          <a:ext cx="8241366" cy="5905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576" tIns="18288" rIns="0" bIns="0" anchor="t" upright="1"/>
        <a:lstStyle/>
        <a:p>
          <a:pPr algn="l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작성금융기관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:                                                             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작성기준일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:</a:t>
          </a:r>
        </a:p>
        <a:p>
          <a:pPr algn="l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작성자 소속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:                 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직위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:                    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성명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:                    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전화번호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:</a:t>
          </a:r>
        </a:p>
        <a:p>
          <a:pPr algn="l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확인자 소속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:                 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직위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:                    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성명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:                    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전화번호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:</a:t>
          </a:r>
        </a:p>
      </xdr:txBody>
    </xdr:sp>
    <xdr:clientData/>
  </xdr:twoCellAnchor>
</xdr:wsDr>
</file>

<file path=xl/drawings/drawing3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85725</xdr:colOff>
      <xdr:row>0</xdr:row>
      <xdr:rowOff>66675</xdr:rowOff>
    </xdr:from>
    <xdr:to>
      <xdr:col>6</xdr:col>
      <xdr:colOff>571500</xdr:colOff>
      <xdr:row>3</xdr:row>
      <xdr:rowOff>123825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60E052D0-7569-4671-B971-8D4DC0F09234}"/>
            </a:ext>
          </a:extLst>
        </xdr:cNvPr>
        <xdr:cNvSpPr txBox="1">
          <a:spLocks noChangeArrowheads="1"/>
        </xdr:cNvSpPr>
      </xdr:nvSpPr>
      <xdr:spPr bwMode="auto">
        <a:xfrm>
          <a:off x="85725" y="66675"/>
          <a:ext cx="7372350" cy="5715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576" tIns="18288" rIns="0" bIns="0" anchor="t" upright="1"/>
        <a:lstStyle/>
        <a:p>
          <a:pPr algn="l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작성금융기관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:                                       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작성기준일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:</a:t>
          </a:r>
        </a:p>
        <a:p>
          <a:pPr algn="l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작성자 소속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:                 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직위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:                    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성명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:                    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전화번호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:</a:t>
          </a:r>
        </a:p>
        <a:p>
          <a:pPr algn="l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확인자 소속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:                 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직위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:                    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성명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:                    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전화번호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:</a:t>
          </a:r>
        </a:p>
      </xdr:txBody>
    </xdr:sp>
    <xdr:clientData/>
  </xdr:twoCellAnchor>
</xdr:wsDr>
</file>

<file path=xl/drawings/drawing3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142875</xdr:colOff>
      <xdr:row>0</xdr:row>
      <xdr:rowOff>76200</xdr:rowOff>
    </xdr:from>
    <xdr:to>
      <xdr:col>12</xdr:col>
      <xdr:colOff>619125</xdr:colOff>
      <xdr:row>3</xdr:row>
      <xdr:rowOff>133350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5346B7E2-3E1E-4935-BB66-7D643A24A6B9}"/>
            </a:ext>
          </a:extLst>
        </xdr:cNvPr>
        <xdr:cNvSpPr txBox="1">
          <a:spLocks noChangeArrowheads="1"/>
        </xdr:cNvSpPr>
      </xdr:nvSpPr>
      <xdr:spPr bwMode="auto">
        <a:xfrm>
          <a:off x="142875" y="76200"/>
          <a:ext cx="9620250" cy="5715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576" tIns="18288" rIns="0" bIns="0" anchor="t" upright="1"/>
        <a:lstStyle/>
        <a:p>
          <a:pPr algn="l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작성금융기관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:                                       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작성기준일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:</a:t>
          </a:r>
        </a:p>
        <a:p>
          <a:pPr algn="l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작성자 소속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:                 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직위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:                    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성명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:                    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전화번호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:</a:t>
          </a:r>
        </a:p>
        <a:p>
          <a:pPr algn="l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확인자 소속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:                 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직위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:                    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성명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:                    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전화번호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:</a:t>
          </a:r>
        </a:p>
      </xdr:txBody>
    </xdr:sp>
    <xdr:clientData/>
  </xdr:twoCellAnchor>
</xdr:wsDr>
</file>

<file path=xl/drawings/drawing4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285750</xdr:colOff>
      <xdr:row>0</xdr:row>
      <xdr:rowOff>66675</xdr:rowOff>
    </xdr:from>
    <xdr:to>
      <xdr:col>11</xdr:col>
      <xdr:colOff>257175</xdr:colOff>
      <xdr:row>3</xdr:row>
      <xdr:rowOff>133350</xdr:rowOff>
    </xdr:to>
    <xdr:sp macro="" textlink="">
      <xdr:nvSpPr>
        <xdr:cNvPr id="3" name="Text Box 1">
          <a:extLst>
            <a:ext uri="{FF2B5EF4-FFF2-40B4-BE49-F238E27FC236}">
              <a16:creationId xmlns:a16="http://schemas.microsoft.com/office/drawing/2014/main" id="{B729BE76-2E2C-400D-80B3-C88FF09C3A42}"/>
            </a:ext>
          </a:extLst>
        </xdr:cNvPr>
        <xdr:cNvSpPr txBox="1">
          <a:spLocks noChangeArrowheads="1"/>
        </xdr:cNvSpPr>
      </xdr:nvSpPr>
      <xdr:spPr bwMode="auto">
        <a:xfrm>
          <a:off x="285750" y="66675"/>
          <a:ext cx="8829675" cy="5810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576" tIns="18288" rIns="0" bIns="0" anchor="t" upright="1"/>
        <a:lstStyle/>
        <a:p>
          <a:pPr algn="l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작성금융기관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:                                                                     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작성기준일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:</a:t>
          </a:r>
        </a:p>
        <a:p>
          <a:pPr algn="l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작성자 소속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:                 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직위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:                    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성명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:                    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전화번호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:</a:t>
          </a:r>
        </a:p>
        <a:p>
          <a:pPr algn="l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확인자 소속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:                 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직위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:                    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성명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:                    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전화번호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:</a:t>
          </a:r>
        </a:p>
      </xdr:txBody>
    </xdr:sp>
    <xdr:clientData/>
  </xdr:twoCellAnchor>
</xdr:wsDr>
</file>

<file path=xl/drawings/drawing4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285750</xdr:colOff>
      <xdr:row>0</xdr:row>
      <xdr:rowOff>66675</xdr:rowOff>
    </xdr:from>
    <xdr:to>
      <xdr:col>12</xdr:col>
      <xdr:colOff>257175</xdr:colOff>
      <xdr:row>3</xdr:row>
      <xdr:rowOff>133350</xdr:rowOff>
    </xdr:to>
    <xdr:sp macro="" textlink="">
      <xdr:nvSpPr>
        <xdr:cNvPr id="3" name="Text Box 1">
          <a:extLst>
            <a:ext uri="{FF2B5EF4-FFF2-40B4-BE49-F238E27FC236}">
              <a16:creationId xmlns:a16="http://schemas.microsoft.com/office/drawing/2014/main" id="{DAB46533-BA14-48DC-A4D4-6120DEBDC621}"/>
            </a:ext>
          </a:extLst>
        </xdr:cNvPr>
        <xdr:cNvSpPr txBox="1">
          <a:spLocks noChangeArrowheads="1"/>
        </xdr:cNvSpPr>
      </xdr:nvSpPr>
      <xdr:spPr bwMode="auto">
        <a:xfrm>
          <a:off x="285750" y="66675"/>
          <a:ext cx="8829675" cy="5810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576" tIns="18288" rIns="0" bIns="0" anchor="t" upright="1"/>
        <a:lstStyle/>
        <a:p>
          <a:pPr algn="l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작성금융기관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:                                                                     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작성기준일</a:t>
          </a:r>
          <a:r>
            <a:rPr lang="en-US" altLang="ko-KR" sz="1100" b="0" i="0" u="sng" strike="noStrike" baseline="0">
              <a:solidFill>
                <a:srgbClr val="000000"/>
              </a:solidFill>
              <a:latin typeface="돋움"/>
              <a:ea typeface="돋움"/>
            </a:rPr>
            <a:t>:</a:t>
          </a:r>
        </a:p>
        <a:p>
          <a:pPr algn="l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작성자 소속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:                 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직위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:                    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성명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:                    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전화번호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:</a:t>
          </a:r>
        </a:p>
        <a:p>
          <a:pPr algn="l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확인자 소속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:                 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직위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:                    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성명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:                    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전화번호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:</a:t>
          </a:r>
        </a:p>
      </xdr:txBody>
    </xdr:sp>
    <xdr:clientData/>
  </xdr:twoCellAnchor>
</xdr:wsDr>
</file>

<file path=xl/drawings/drawing4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0</xdr:row>
      <xdr:rowOff>28575</xdr:rowOff>
    </xdr:from>
    <xdr:to>
      <xdr:col>14</xdr:col>
      <xdr:colOff>476250</xdr:colOff>
      <xdr:row>3</xdr:row>
      <xdr:rowOff>104775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F8D7E18B-DEDE-4D56-AE4E-5D978F04708B}"/>
            </a:ext>
          </a:extLst>
        </xdr:cNvPr>
        <xdr:cNvSpPr txBox="1">
          <a:spLocks noChangeArrowheads="1"/>
        </xdr:cNvSpPr>
      </xdr:nvSpPr>
      <xdr:spPr bwMode="auto">
        <a:xfrm>
          <a:off x="9525" y="28575"/>
          <a:ext cx="11839575" cy="5905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576" tIns="18288" rIns="0" bIns="0" anchor="t" upright="1"/>
        <a:lstStyle/>
        <a:p>
          <a:pPr algn="l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작성금융기관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:                                                             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작성기준일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:</a:t>
          </a:r>
        </a:p>
        <a:p>
          <a:pPr algn="l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작성자 소속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:                 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직위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:                    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성명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:                    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전화번호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:</a:t>
          </a:r>
        </a:p>
        <a:p>
          <a:pPr algn="l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확인자 소속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:                 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직위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:                    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성명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:                    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전화번호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:</a:t>
          </a:r>
        </a:p>
      </xdr:txBody>
    </xdr:sp>
    <xdr:clientData/>
  </xdr:twoCellAnchor>
</xdr:wsDr>
</file>

<file path=xl/drawings/drawing4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278466</xdr:colOff>
      <xdr:row>0</xdr:row>
      <xdr:rowOff>28575</xdr:rowOff>
    </xdr:from>
    <xdr:to>
      <xdr:col>14</xdr:col>
      <xdr:colOff>745191</xdr:colOff>
      <xdr:row>3</xdr:row>
      <xdr:rowOff>104775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A340F8A8-572A-430E-8A09-3D4218671599}"/>
            </a:ext>
          </a:extLst>
        </xdr:cNvPr>
        <xdr:cNvSpPr txBox="1">
          <a:spLocks noChangeArrowheads="1"/>
        </xdr:cNvSpPr>
      </xdr:nvSpPr>
      <xdr:spPr bwMode="auto">
        <a:xfrm>
          <a:off x="278466" y="28575"/>
          <a:ext cx="11840696" cy="58046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576" tIns="18288" rIns="0" bIns="0" anchor="t" upright="1"/>
        <a:lstStyle/>
        <a:p>
          <a:pPr algn="l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작성금융기관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:                                                             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작성기준일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:</a:t>
          </a:r>
        </a:p>
        <a:p>
          <a:pPr algn="l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작성자 소속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:                 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직위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:                    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성명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:                    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전화번호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:</a:t>
          </a:r>
        </a:p>
        <a:p>
          <a:pPr algn="l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확인자 소속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:                 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직위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:                    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성명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:                    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전화번호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: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44032;&#44536;&#46993;&#48708;\01&#54788;&#48512;&#49436;(&#51221;&#48372;&#54868;&#51204;&#47029;&#44397;)&#44540;&#47924;&#51088;&#47308;\3.&#50629;&#47924;&#48372;&#44256;&#49436;(&#49436;&#49885;,&#51089;&#49457;&#44592;)\0.%20&#47588;&#45684;&#50620;\&#48372;&#44256;&#49436;&#49888;&#49444;%20&#50836;&#52397;&#49884;\&#50629;&#47924;&#48372;&#44256;&#49436;&#48320;&#44221;&#50836;&#52397;&#50577;&#49885;_&#53685;&#54633;&#51204;&#49328;&#49436;&#49885;(&#49888;)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N:\Common(RM)\NEW%20STRUCTURE\Finance\Reserve%20and%20DAC\KGAAP\2009\50.%20GMADB\200906\GMDB%20GMAB%20RESERVE%2020090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rogram%20Files\FSS%20Messenger\file\2080237\RecvFile\201001\07110904203\&#49888;&#53441;\&#49888;&#53441;&#44216;&#50689;&#44552;&#50997;&#44592;&#44288;_&#48324;&#51648;%20&#48372;&#44256;&#50577;&#49885;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&#44552;&#50997;&#44048;&#46021;&#50896;\Local%20Settings\Temporary%20Internet%20Files\Content.IE5\LLFKAHBV\0.%20&#50629;&#47924;&#48372;&#44256;&#49436;&#48320;&#44221;&#50836;&#52397;&#50577;&#49885;_&#53685;&#54633;&#51204;&#49328;&#49436;&#49885;(&#44592;&#53440;&#44428;&#50669;100107)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3.233\&#44552;&#44048;&#50896;&#54532;&#47196;&#51229;&#53944;%20&#44277;&#50976;&#54260;&#45908;\&#44552;&#44048;&#50896;project\&#50641;&#49472;&#47196;&#51649;\&#51656;&#47672;&#51204;&#53685;(DEMO-60Q10)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3.233\&#44552;&#44048;&#50896;&#54532;&#47196;&#51229;&#53944;%20&#44277;&#50976;&#54260;&#45908;\&#44552;&#44048;&#50896;project\&#50641;&#49472;&#47196;&#51649;\&#48512;&#52292;&#54788;&#44552;&#55120;&#47492;&#50641;&#49472;&#47196;&#51649;v1.0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&#44552;&#50997;&#44048;&#46021;&#50896;\Local%20Settings\Temporary%20Internet%20Files\Content.IE5\LLFKAHBV\&#53685;&#54633;&#51204;&#49328;&#49436;&#49885;(&#51008;&#54665;091231)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44552;&#50997;&#53804;&#51088;&#49436;&#48708;&#49828;&#44397;\c.IFRS\00.&#48372;&#44256;\20101229_IFRS&#46020;&#51077;%20&#44288;&#47144;%20&#44508;&#51221;,%20&#49464;&#52825;%20&#44060;&#51221;(&#51652;&#54665;%20&#51473;)\10.&#44552;&#53804;&#44508;&#51221;&#49884;&#54665;&#49464;&#52825;\&#44208;&#51116;&#47928;&#49436;%20&#48537;&#51076;%20&#54028;&#51068;\&#49888;&#53441;\&#49888;&#53441;&#44216;&#50689;&#44552;&#50997;&#44592;&#44288;_&#48324;&#51648;%20&#48372;&#44256;&#50577;&#49885;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49888;&#53441;\&#50629;&#47924;&#48372;&#44256;&#49436;\&#50629;&#47924;&#48372;&#44256;&#49436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목차"/>
      <sheetName val="체크리스트"/>
      <sheetName val="보고서목록서식"/>
      <sheetName val="작성법"/>
      <sheetName val="공통속성(작성시 참조)"/>
      <sheetName val="ZY100"/>
      <sheetName val="ZY101"/>
      <sheetName val="ZY102"/>
      <sheetName val="ZY200"/>
      <sheetName val="ZY300"/>
      <sheetName val="ZY400"/>
      <sheetName val="선택코드표(예)"/>
      <sheetName val="ZY999"/>
    </sheetNames>
    <sheetDataSet>
      <sheetData sheetId="0"/>
      <sheetData sheetId="1"/>
      <sheetData sheetId="2"/>
      <sheetData sheetId="3"/>
      <sheetData sheetId="4">
        <row r="2">
          <cell r="F2" t="str">
            <v>공통</v>
          </cell>
        </row>
        <row r="3">
          <cell r="F3" t="str">
            <v>검증</v>
          </cell>
        </row>
        <row r="4">
          <cell r="F4" t="str">
            <v>계산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ual"/>
      <sheetName val="PROD CD"/>
      <sheetName val="by fund"/>
      <sheetName val="STD reserve"/>
      <sheetName val="unitp"/>
      <sheetName val="base"/>
      <sheetName val="by Policy"/>
      <sheetName val="Total_list"/>
      <sheetName val="VUWL"/>
      <sheetName val="Query"/>
      <sheetName val="YHCODE"/>
      <sheetName val="oldSTATUS"/>
      <sheetName val="국외감가상각내역0103"/>
      <sheetName val="Storage"/>
      <sheetName val="SOE"/>
      <sheetName val="Ⅱ1-0타"/>
      <sheetName val="회사제시"/>
      <sheetName val="Sheet1"/>
      <sheetName val="CONTROL"/>
      <sheetName val="부장급 명단"/>
      <sheetName val="대환취급"/>
      <sheetName val="GMDB GMAB RESERVE 200906"/>
      <sheetName val="TaxCalc"/>
      <sheetName val="일반"/>
      <sheetName val="INFO"/>
      <sheetName val="반기_유가증권"/>
      <sheetName val="마케팅예산"/>
      <sheetName val="1. 감사보고서이슈정리서_Template"/>
    </sheetNames>
    <sheetDataSet>
      <sheetData sheetId="0" refreshError="1">
        <row r="2">
          <cell r="B2">
            <v>39995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표지 "/>
      <sheetName val="목차"/>
      <sheetName val="조직인력"/>
      <sheetName val="조직인력 (2)"/>
      <sheetName val="한도관리"/>
      <sheetName val="한도관리(2)"/>
      <sheetName val="한도관리(3)"/>
      <sheetName val="한도관리(4)"/>
      <sheetName val="한도관리(5)"/>
      <sheetName val="한도관리(6)"/>
      <sheetName val="한도관리(7)"/>
      <sheetName val="대출분류"/>
      <sheetName val="기업어음"/>
      <sheetName val="사모사채"/>
      <sheetName val="보증어음"/>
      <sheetName val="유가증권"/>
      <sheetName val="종합수지(금전신탁)"/>
      <sheetName val="부문별수지(금전신탁)"/>
      <sheetName val="종합수지(재산신탁)"/>
      <sheetName val="합동별편출입"/>
      <sheetName val="대출유가편출입"/>
      <sheetName val="조달운용"/>
      <sheetName val="종합재산신탁"/>
      <sheetName val="단위형"/>
      <sheetName val="채권평가충당금"/>
      <sheetName val="특별유보금"/>
      <sheetName val="주식평가"/>
      <sheetName val="수익증권평가"/>
      <sheetName val="만기현황(금전신탁)"/>
      <sheetName val="만기구조(금전신탁)"/>
      <sheetName val="만기현황(재산신탁)"/>
      <sheetName val="배당율"/>
      <sheetName val="재무제표"/>
      <sheetName val="손익계산서"/>
      <sheetName val="기초자료"/>
      <sheetName val="대차대조표"/>
      <sheetName val="신탁겸영금융기관_별지 보고양식"/>
      <sheetName val="공정가치"/>
      <sheetName val="XREF"/>
      <sheetName val="보증어음분류"/>
      <sheetName val="사모사채분류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/>
      <sheetData sheetId="17"/>
      <sheetData sheetId="18" refreshError="1"/>
      <sheetData sheetId="19"/>
      <sheetData sheetId="20" refreshError="1"/>
      <sheetData sheetId="21"/>
      <sheetData sheetId="22" refreshError="1"/>
      <sheetData sheetId="23" refreshError="1"/>
      <sheetData sheetId="24"/>
      <sheetData sheetId="25" refreshError="1"/>
      <sheetData sheetId="26"/>
      <sheetData sheetId="27"/>
      <sheetData sheetId="28"/>
      <sheetData sheetId="29"/>
      <sheetData sheetId="30" refreshError="1"/>
      <sheetData sheetId="3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목차"/>
      <sheetName val="체크리스트"/>
      <sheetName val="보고서목록서식"/>
      <sheetName val="작성법"/>
      <sheetName val="공통속성"/>
      <sheetName val="ZY100"/>
      <sheetName val="ZY101"/>
      <sheetName val="ZY102"/>
      <sheetName val="ZY200"/>
      <sheetName val="ZY300"/>
      <sheetName val="ZY400"/>
      <sheetName val="선택코드표(예)"/>
      <sheetName val="ZY999"/>
      <sheetName val="연체대출"/>
    </sheetNames>
    <sheetDataSet>
      <sheetData sheetId="0"/>
      <sheetData sheetId="1"/>
      <sheetData sheetId="2"/>
      <sheetData sheetId="3"/>
      <sheetData sheetId="4">
        <row r="2">
          <cell r="A2" t="str">
            <v>행열고정</v>
          </cell>
          <cell r="B2" t="str">
            <v>1개월이내</v>
          </cell>
          <cell r="C2" t="str">
            <v>월</v>
          </cell>
          <cell r="D2" t="str">
            <v>일반</v>
          </cell>
          <cell r="F2" t="str">
            <v>공통</v>
          </cell>
          <cell r="G2" t="str">
            <v>GA0000, 업무보고서(금융투자업자)</v>
          </cell>
        </row>
        <row r="3">
          <cell r="A3" t="str">
            <v>행가변</v>
          </cell>
          <cell r="B3" t="str">
            <v>2개월이내</v>
          </cell>
          <cell r="C3" t="str">
            <v>분기</v>
          </cell>
          <cell r="D3" t="str">
            <v>해외점포</v>
          </cell>
          <cell r="F3" t="str">
            <v>검증</v>
          </cell>
          <cell r="G3" t="str">
            <v>GA0100, Ⅰ. 금융투자업자의 개황</v>
          </cell>
        </row>
        <row r="4">
          <cell r="A4" t="str">
            <v>행가변합계</v>
          </cell>
          <cell r="C4" t="str">
            <v>반기</v>
          </cell>
          <cell r="D4" t="str">
            <v>신탁합동</v>
          </cell>
          <cell r="F4" t="str">
            <v>계산</v>
          </cell>
          <cell r="G4" t="str">
            <v>GA0110, Ⅰ. 금융투자업자의 개황 - 1. 금융투자업자의 일반현황</v>
          </cell>
        </row>
        <row r="5">
          <cell r="A5" t="str">
            <v>다중행가변</v>
          </cell>
          <cell r="C5" t="str">
            <v>연</v>
          </cell>
          <cell r="D5" t="str">
            <v>지역(국내분/해외분/총괄분)</v>
          </cell>
          <cell r="G5" t="str">
            <v>GA0120, Ⅰ. 금융투자업자의 개황 - 2. 금융투자업자의 업무단위</v>
          </cell>
        </row>
        <row r="6">
          <cell r="C6" t="str">
            <v>결산</v>
          </cell>
          <cell r="D6" t="str">
            <v>계정구분(은행/신탁/종금/합계)</v>
          </cell>
          <cell r="G6" t="str">
            <v>GA0130, Ⅰ. 금융투자업자의 개황 - 3. 영업의 개요</v>
          </cell>
        </row>
        <row r="7">
          <cell r="C7" t="str">
            <v>일</v>
          </cell>
          <cell r="D7" t="str">
            <v>지역(국내분/해외분/총괄분/역외분)</v>
          </cell>
          <cell r="G7" t="str">
            <v>GA0140, Ⅰ. 금융투자업자의 개황 - 4. 금융투자업자의 연혁</v>
          </cell>
        </row>
        <row r="8">
          <cell r="A8" t="str">
            <v>필수</v>
          </cell>
          <cell r="C8" t="str">
            <v>주</v>
          </cell>
          <cell r="D8" t="str">
            <v>기간(1개월이내/2개월/3개월/4개월/5~6개월/7~1년/1년초과/합계)</v>
          </cell>
          <cell r="G8" t="str">
            <v>GA0150, Ⅰ. 금융투자업자의 개황 - 5. 자본금 변동</v>
          </cell>
        </row>
        <row r="9">
          <cell r="A9" t="str">
            <v>선택</v>
          </cell>
          <cell r="C9" t="str">
            <v>15일</v>
          </cell>
          <cell r="D9" t="str">
            <v>투자신탁(주식/혼합/채권)</v>
          </cell>
          <cell r="G9" t="str">
            <v>GA0200, Ⅱ. 영업에 관한 사항</v>
          </cell>
        </row>
        <row r="10">
          <cell r="D10" t="str">
            <v>담당부서구분(증권(금융)부/신탁부,국제금융부)</v>
          </cell>
          <cell r="G10" t="str">
            <v>GA0210, Ⅱ. 영업에 관한 사항 - 1. 영업의 현황</v>
          </cell>
        </row>
        <row r="11">
          <cell r="D11" t="str">
            <v>차수구분</v>
          </cell>
          <cell r="G11" t="str">
            <v>GA0220, Ⅱ. 영업에 관한 사항 - 2. 금융투자상품 거래현황</v>
          </cell>
        </row>
        <row r="12">
          <cell r="D12" t="str">
            <v>상품코드</v>
          </cell>
          <cell r="G12" t="str">
            <v>GA0230, Ⅱ. 영업에 관한 사항 - 3. 금융투자상품의 수탁수수료율 현황</v>
          </cell>
        </row>
        <row r="13">
          <cell r="D13" t="str">
            <v>전체구분</v>
          </cell>
          <cell r="G13" t="str">
            <v>GA0240, Ⅱ. 영업에 관한 사항 - 4. 고객계좌현황</v>
          </cell>
        </row>
        <row r="14">
          <cell r="D14" t="str">
            <v>리스크구분</v>
          </cell>
          <cell r="G14" t="str">
            <v>GA0000, Ⅲ. 재무에 관한 사항</v>
          </cell>
        </row>
        <row r="15">
          <cell r="D15" t="str">
            <v>지역(국내분/해외분/총괄분/역외분)</v>
          </cell>
          <cell r="G15" t="str">
            <v>GA0310, Ⅲ. 재무에 관한 사항 - 1. 재무제표</v>
          </cell>
        </row>
        <row r="16">
          <cell r="D16" t="str">
            <v>지역(총괄분/해외분/신탁분)</v>
          </cell>
          <cell r="G16" t="str">
            <v>GA0320, Ⅲ. 재무에 관한 사항 - 2. 자본적정성(영업용순자본비율Ⅰ)</v>
          </cell>
        </row>
        <row r="17">
          <cell r="D17" t="str">
            <v>운용관리업무의 일부 위탁현황</v>
          </cell>
          <cell r="G17" t="str">
            <v>GA0330, Ⅲ. 재무에 관한 사항 - 3. 자산건전성</v>
          </cell>
        </row>
        <row r="18">
          <cell r="D18" t="str">
            <v>적립금운용방법 제시현황</v>
          </cell>
          <cell r="G18" t="str">
            <v>GA0340, Ⅲ. 재무에 관한 사항 - 4. 주요 경영지표</v>
          </cell>
        </row>
        <row r="19">
          <cell r="D19" t="str">
            <v>외화증권운용지시 현황</v>
          </cell>
          <cell r="G19" t="str">
            <v>GA0400, Ⅳ. 부문별 영업 및 재무현황</v>
          </cell>
        </row>
        <row r="20">
          <cell r="D20" t="str">
            <v>생보사 특별계정 상품구분</v>
          </cell>
          <cell r="G20" t="str">
            <v>GA0401, Ⅳ. 부문별 영업 및 재무현황 - 1. 투자중개</v>
          </cell>
        </row>
        <row r="21">
          <cell r="D21" t="str">
            <v>손보사 특별계정 상품구분</v>
          </cell>
          <cell r="G21" t="str">
            <v>GA0402, Ⅳ. 부문별 영업 및 재무현황 - 2. 주식매매</v>
          </cell>
        </row>
        <row r="22">
          <cell r="D22" t="str">
            <v>파생상품업무보고서 통합/신탁</v>
          </cell>
          <cell r="G22" t="str">
            <v>GA0403, Ⅳ. 부문별 영업 및 재무현황 - 3. 채권매매</v>
          </cell>
        </row>
        <row r="23">
          <cell r="D23" t="str">
            <v>업종명</v>
          </cell>
          <cell r="G23" t="str">
            <v>GA0404, Ⅳ. 부문별 영업 및 재무현황 - 4. 그 밖의 증권매매</v>
          </cell>
        </row>
        <row r="24">
          <cell r="D24" t="str">
            <v>위험가중자산(내부등급법)</v>
          </cell>
          <cell r="G24" t="str">
            <v>GA0405, Ⅳ. 부문별 영업 및 재무현황 - 5. 장내파생상품 매매</v>
          </cell>
        </row>
        <row r="25">
          <cell r="G25" t="str">
            <v>GA0406, Ⅳ. 부문별 영업 및 재무현황 - 6. 장외파생상품 매매 등</v>
          </cell>
        </row>
        <row r="26">
          <cell r="G26" t="str">
            <v>GA0407, Ⅳ. 부문별 영업 및 재무현황 - 7. 투자은행(인수 등)</v>
          </cell>
        </row>
        <row r="27">
          <cell r="G27" t="str">
            <v>GA0408, Ⅳ. 부문별 영업 및 재무현황 - 8. 투자은행(ABS 등)</v>
          </cell>
        </row>
        <row r="28">
          <cell r="G28" t="str">
            <v>GA0409, Ⅳ. 부문별 영업 및 재무현황 - 9. 투자은행(자기자본투자, PI)</v>
          </cell>
        </row>
        <row r="29">
          <cell r="G29" t="str">
            <v>GA0410, Ⅳ. 부문별 영업 및 재무현황 - 10. 고객자산관리Ⅰ(CMA 등)</v>
          </cell>
        </row>
        <row r="30">
          <cell r="G30" t="str">
            <v>GA0411, Ⅳ. 부문별 영업 및 재무현황 - 11. 고객자산관리Ⅱ(Wrap account 등)</v>
          </cell>
        </row>
        <row r="31">
          <cell r="G31" t="str">
            <v>GA0412, Ⅳ. 부문별 영업 및 재무현황 - 12. 종합금융(종금업 겸영 금융투자업자)</v>
          </cell>
        </row>
        <row r="32">
          <cell r="G32" t="str">
            <v>GA0413, Ⅳ. 부문별 영업 및 재무현황 - 13. 기타</v>
          </cell>
        </row>
        <row r="33">
          <cell r="G33" t="str">
            <v>GA0500, Ⅴ. 주주·경영지배구조 및 관계회사 등에 관한 사항</v>
          </cell>
        </row>
        <row r="34">
          <cell r="G34" t="str">
            <v>GA0510, Ⅴ. 주주·경영지배구조 및 관계회사 등에 관한 사항 - 1. 최대주주 등의 주식보유 현황</v>
          </cell>
        </row>
        <row r="35">
          <cell r="G35" t="str">
            <v>GA0520, Ⅴ. 주주·경영지배구조 및 관계회사 등에 관한 사항 - 2. 최대주주 변동현황</v>
          </cell>
        </row>
        <row r="36">
          <cell r="G36" t="str">
            <v>GA0530, Ⅴ. 주주·경영지배구조 및 관계회사 등에 관한 사항 - 3. 경영지배구조에 관한 사항</v>
          </cell>
        </row>
        <row r="37">
          <cell r="G37" t="str">
            <v>GA0540, Ⅴ. 주주·경영지배구조 및 관계회사 등에 관한 사항 - 4. 관계회사 등에 관한 사항</v>
          </cell>
        </row>
        <row r="38">
          <cell r="G38" t="str">
            <v>GA0550, Ⅴ. 주주·경영지배구조 및 관계회사 등에 관한 사항 - 5. 타법인 출자현황</v>
          </cell>
        </row>
        <row r="39">
          <cell r="G39" t="str">
            <v>GA0560, Ⅴ. 주주·경영지배구조 및 관계회사 등에 관한 사항 - 6. 대주주 또는 외국증권업자 관련 변동사항</v>
          </cell>
        </row>
        <row r="40">
          <cell r="G40" t="str">
            <v>GA0600, Ⅵ. 특수관계인과의 거래에 관한 사항</v>
          </cell>
        </row>
        <row r="41">
          <cell r="G41" t="str">
            <v>GA0610, Ⅵ. 특수관계인과의 거래에 관한 사항 - 1. 공통사항</v>
          </cell>
        </row>
        <row r="42">
          <cell r="G42" t="str">
            <v>GA0620, Ⅵ. 특수관계인과의 거래에 관한 사항 - 2. 외국계 금융투자업자</v>
          </cell>
        </row>
        <row r="43">
          <cell r="G43" t="str">
            <v>GA0700, Ⅶ. 지점·그 밖의 영업소 및 임직원 등에 관한 사항</v>
          </cell>
        </row>
        <row r="44">
          <cell r="G44" t="str">
            <v>GA0710, Ⅶ. 지점·그 밖의 영업소 및 임직원 등에 관한 사항 - 1. 조직기구 현황</v>
          </cell>
        </row>
        <row r="45">
          <cell r="G45" t="str">
            <v>GA0720, Ⅶ. 지점·그 밖의 영업소 및 임직원 등에 관한 사항 - 2. 점포현황</v>
          </cell>
        </row>
        <row r="46">
          <cell r="G46" t="str">
            <v>GA0730, Ⅶ. 지점·그 밖의 영업소 및 임직원 등에 관한 사항 - 3. 인력현황</v>
          </cell>
        </row>
        <row r="47">
          <cell r="G47" t="str">
            <v>GA0740, Ⅶ. 지점·그 밖의 영업소 및 임직원 등에 관한 사항 - 4. 기관 및 임직원 제재현황(최근 5년간)</v>
          </cell>
        </row>
        <row r="48">
          <cell r="G48" t="str">
            <v>GA0750, Ⅶ. 지점·그 밖의 영업소 및 임직원 등에 관한 사항 - 5. 소송현황(계류중)</v>
          </cell>
        </row>
        <row r="49">
          <cell r="G49" t="str">
            <v>GA0760, Ⅶ. 지점·그 밖의 영업소 및 임직원 등에 관한 사항 - 6. 물적설비현황</v>
          </cell>
        </row>
        <row r="50">
          <cell r="G50" t="str">
            <v>GA0800, Ⅷ. 투자자예탁재산의 현황 및 그 보호에 관한 사항</v>
          </cell>
        </row>
        <row r="51">
          <cell r="G51" t="str">
            <v>GA0810, Ⅷ. 투자자예탁재산의 현황 및 그 보호에 관한 사항 - 1. 투자자예탁재산의 현황 및 보호에 관한 사항</v>
          </cell>
        </row>
        <row r="52">
          <cell r="G52" t="str">
            <v>GA0820, Ⅷ. 투자자예탁재산의 현황 및 그 보호에 관한 사항 - 2. 투자자예탁재산 및 보호</v>
          </cell>
        </row>
        <row r="53">
          <cell r="G53" t="str">
            <v>GA0900, Ⅸ. 내부통제정책 및 위험관리정책 등에 관한 사항</v>
          </cell>
        </row>
        <row r="54">
          <cell r="G54" t="str">
            <v>GA0910, Ⅸ. 내부통제정책 및 위험관리정책 등에 관한 사항 - 1. 내부통제정책</v>
          </cell>
        </row>
        <row r="55">
          <cell r="G55" t="str">
            <v>GA0920, Ⅸ. 내부통제정책 및 위험관리정책 등에 관한 사항 - 2. 위험관리정책</v>
          </cell>
        </row>
        <row r="56">
          <cell r="G56" t="str">
            <v>GA0930, Ⅸ. 내부통제정책 및 위험관리정책 등에 관한 사항 - 3. 감사인의 검토의견 또는 검토보고서에 관한 사항</v>
          </cell>
        </row>
        <row r="57">
          <cell r="G57" t="str">
            <v>GA1000, Ⅹ. 집합투자재산·투자자문·일임재산 및 신탁재산에 관한 사항</v>
          </cell>
        </row>
        <row r="58">
          <cell r="G58" t="str">
            <v>GA1010, Ⅹ. 집합투자재산·투자자문·일임재산 및 신탁재산에 관한 사항 - 1. 집합투자증권 판매</v>
          </cell>
        </row>
        <row r="59">
          <cell r="G59" t="str">
            <v>GA1020, Ⅹ. 집합투자재산·투자자문·일임재산 및 신탁재산에 관한 사항 - 2. 집합투자재산에 관한 사항</v>
          </cell>
        </row>
        <row r="60">
          <cell r="G60" t="str">
            <v>GA1030, Ⅹ. 집합투자재산·투자자문·일임재산 및 신탁재산에 관한 사항 - 3. 투자자문업에 관한 사항</v>
          </cell>
        </row>
        <row r="61">
          <cell r="G61" t="str">
            <v>GA1040, Ⅹ. 집합투자재산·투자자문·일임재산 및 신탁재산에 관한 사항 - 4. 투자일임업에 관한 사항</v>
          </cell>
        </row>
        <row r="62">
          <cell r="G62" t="str">
            <v>GA1050, Ⅹ. 집합투자재산·투자자문·일임재산 및 신탁재산에 관한 사항 - 5. 신탁재산에 관한 사항</v>
          </cell>
        </row>
        <row r="63">
          <cell r="G63" t="str">
            <v>GB0000, 업무보고서(역외투자자문일임)</v>
          </cell>
        </row>
        <row r="64">
          <cell r="G64" t="str">
            <v>GB0100, Ⅰ. 금융투자업자의 개황</v>
          </cell>
        </row>
        <row r="65">
          <cell r="G65" t="str">
            <v>GB0110, Ⅰ. 금융투자업자의 개황 - 1. 금융투자업자의 일반현황</v>
          </cell>
        </row>
        <row r="66">
          <cell r="G66" t="str">
            <v>GB0120, Ⅰ. 금융투자업자의 개황 - 2. 금융투자업자의 업무단위</v>
          </cell>
        </row>
        <row r="67">
          <cell r="G67" t="str">
            <v>GB0130, Ⅰ. 금융투자업자의 개황 - 3. 영업의 개요</v>
          </cell>
        </row>
        <row r="68">
          <cell r="G68" t="str">
            <v>GB0140, Ⅰ. 금융투자업자의 개황 - 4. 금융투자업자의 연혁</v>
          </cell>
        </row>
        <row r="69">
          <cell r="G69" t="str">
            <v>GB0150, Ⅰ. 금융투자업자의 개황 - 5. 자본금 변동</v>
          </cell>
        </row>
        <row r="70">
          <cell r="G70" t="str">
            <v>GB0200, Ⅴ. 주주·경영지배구조 및 관계회사 등에 관한 사항</v>
          </cell>
        </row>
        <row r="71">
          <cell r="G71" t="str">
            <v>GB0210, Ⅴ. 주주·경영지배구조 및 관계회사 등에 관한 사항 - 1. 최대주주 등의 주식보유 현황</v>
          </cell>
        </row>
        <row r="72">
          <cell r="G72" t="str">
            <v>GB0220, Ⅴ. 주주·경영지배구조 및 관계회사 등에 관한 사항 - 2. 최대주주 변동현황</v>
          </cell>
        </row>
        <row r="73">
          <cell r="G73" t="str">
            <v>GB0300, Ⅶ. 지점·그 밖의 영업소 및 임직원 등에 관한 사항</v>
          </cell>
        </row>
        <row r="74">
          <cell r="G74" t="str">
            <v>GB0310, Ⅶ. 지점·그 밖의 영업소 및 임직원 등에 관한 사항 - 1. 조직기구 현황</v>
          </cell>
        </row>
        <row r="75">
          <cell r="G75" t="str">
            <v>GB0320, Ⅶ. 지점·그 밖의 영업소 및 임직원 등에 관한 사항 - 2. 점포현황</v>
          </cell>
        </row>
        <row r="76">
          <cell r="G76" t="str">
            <v>GB0330, Ⅶ. 지점·그 밖의 영업소 및 임직원 등에 관한 사항 - 3. 인력현황</v>
          </cell>
        </row>
        <row r="77">
          <cell r="G77" t="str">
            <v>GB0340, Ⅶ. 지점·그 밖의 영업소 및 임직원 등에 관한 사항 - 4. 기관 및 임직원 제재현황(최근 5년간)</v>
          </cell>
        </row>
        <row r="78">
          <cell r="G78" t="str">
            <v>GB0350, Ⅶ. 지점·그 밖의 영업소 및 임직원 등에 관한 사항 - 5. 소송현황(계류중)</v>
          </cell>
        </row>
        <row r="79">
          <cell r="G79" t="str">
            <v>GB0360, Ⅶ. 지점·그 밖의 영업소 및 임직원 등에 관한 사항 - 6. 물적설비현황</v>
          </cell>
        </row>
        <row r="80">
          <cell r="G80" t="str">
            <v>GB0400, Ⅹ. 집합투자재산·투자자문·일임재산 및 신탁재산에 관한 사항</v>
          </cell>
        </row>
        <row r="81">
          <cell r="G81" t="str">
            <v>GB0410, Ⅹ. 집합투자재산·투자자문·일임재산 및 신탁재산에 관한 사항 - 3. 투자자문업에 관한 사항</v>
          </cell>
        </row>
        <row r="82">
          <cell r="G82" t="str">
            <v>GB0420, Ⅹ. 집합투자재산·투자자문·일임재산 및 신탁재산에 관한 사항 - 4. 투자일임업에 관한 사항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BCONT"/>
      <sheetName val="INSTRUMENT"/>
      <sheetName val="PRJECTION"/>
      <sheetName val="TBBSTAT1"/>
      <sheetName val="TBDECOMP"/>
      <sheetName val="TBREINS"/>
      <sheetName val="TBREAL"/>
      <sheetName val="TBPROD"/>
      <sheetName val="TBERATE"/>
      <sheetName val="TBISPD"/>
      <sheetName val="TBIHIST"/>
      <sheetName val="TBRBI"/>
      <sheetName val="TBLAPSE"/>
      <sheetName val="Sheet7"/>
      <sheetName val="합동별(기표용)"/>
      <sheetName val="정의"/>
      <sheetName val="주식"/>
      <sheetName val="순위선정"/>
      <sheetName val="갑지"/>
      <sheetName val="실행"/>
      <sheetName val="Manual"/>
      <sheetName val="보정전"/>
      <sheetName val="잉여금"/>
      <sheetName val="대차대조표"/>
      <sheetName val="손익계산서"/>
      <sheetName val="연체대출"/>
      <sheetName val="J"/>
      <sheetName val="개인정책"/>
      <sheetName val="개인투자"/>
      <sheetName val="장기투자"/>
      <sheetName val="IS"/>
      <sheetName val="XREF"/>
      <sheetName val="자산그래프"/>
      <sheetName val="수익그래프"/>
      <sheetName val="TB(2)"/>
      <sheetName val="부동산 신용위험모델"/>
      <sheetName val="만기현황(금전신탁)"/>
    </sheetNames>
    <sheetDataSet>
      <sheetData sheetId="0"/>
      <sheetData sheetId="1" refreshError="1">
        <row r="22">
          <cell r="B22">
            <v>15</v>
          </cell>
        </row>
        <row r="27">
          <cell r="B27">
            <v>48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계약정보"/>
      <sheetName val="INSTRUMENT"/>
      <sheetName val="금리시나리오"/>
      <sheetName val="PRJECTION"/>
      <sheetName val="연금연액"/>
      <sheetName val="로직"/>
      <sheetName val="기본율"/>
      <sheetName val="기준율양식"/>
      <sheetName val="보험료분해율"/>
      <sheetName val="보험료분해TB"/>
      <sheetName val="보험료분해TB (2)"/>
      <sheetName val="경험위험보험금지급율"/>
      <sheetName val="x"/>
      <sheetName val="중도보험금지급율"/>
      <sheetName val="실제사업비배분표"/>
      <sheetName val="실제사업비율"/>
      <sheetName val="지급보험금율"/>
      <sheetName val="건당"/>
      <sheetName val="7"/>
      <sheetName val="Index"/>
      <sheetName val="연체대출"/>
      <sheetName val="PAYBAND"/>
      <sheetName val="XREF"/>
      <sheetName val="예산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목 차"/>
      <sheetName val="체크리스트"/>
      <sheetName val="보고서목록서식"/>
      <sheetName val="작성법"/>
      <sheetName val="공통속성"/>
      <sheetName val="선택코드표"/>
      <sheetName val="ZY100"/>
      <sheetName val="ZY101"/>
      <sheetName val="ZY102"/>
      <sheetName val="ZY200"/>
      <sheetName val="ZY300"/>
      <sheetName val="ZY400"/>
      <sheetName val="ZY999"/>
      <sheetName val="정의"/>
    </sheetNames>
    <sheetDataSet>
      <sheetData sheetId="0"/>
      <sheetData sheetId="1"/>
      <sheetData sheetId="2"/>
      <sheetData sheetId="3"/>
      <sheetData sheetId="4">
        <row r="2">
          <cell r="F2" t="str">
            <v>공통</v>
          </cell>
        </row>
        <row r="3">
          <cell r="F3" t="str">
            <v>검증</v>
          </cell>
        </row>
        <row r="4">
          <cell r="F4" t="str">
            <v>계산</v>
          </cell>
        </row>
      </sheetData>
      <sheetData sheetId="5"/>
      <sheetData sheetId="6">
        <row r="46">
          <cell r="C46" t="str">
            <v>공통</v>
          </cell>
        </row>
      </sheetData>
      <sheetData sheetId="7"/>
      <sheetData sheetId="8"/>
      <sheetData sheetId="9"/>
      <sheetData sheetId="10"/>
      <sheetData sheetId="11"/>
      <sheetData sheetId="12"/>
      <sheetData sheetId="13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표지 "/>
      <sheetName val="목차"/>
      <sheetName val="조직인력"/>
      <sheetName val="조직인력 (2)"/>
      <sheetName val="한도관리"/>
      <sheetName val="한도관리(2)"/>
      <sheetName val="한도관리(3)"/>
      <sheetName val="한도관리(4)"/>
      <sheetName val="한도관리(5)"/>
      <sheetName val="한도관리(6)"/>
      <sheetName val="한도관리(7)"/>
      <sheetName val="대출분류"/>
      <sheetName val="기업어음"/>
      <sheetName val="사모사채"/>
      <sheetName val="보증어음"/>
      <sheetName val="유가증권"/>
      <sheetName val="종합수지(금전신탁)"/>
      <sheetName val="부문별수지(금전신탁)"/>
      <sheetName val="종합수지(재산신탁)"/>
      <sheetName val="합동별편출입"/>
      <sheetName val="대출유가편출입"/>
      <sheetName val="조달운용"/>
      <sheetName val="종합재산신탁"/>
      <sheetName val="단위형"/>
      <sheetName val="채권평가충당금"/>
      <sheetName val="특별유보금"/>
      <sheetName val="주식평가"/>
      <sheetName val="수익증권평가"/>
      <sheetName val="만기현황(금전신탁)"/>
      <sheetName val="만기구조(금전신탁)"/>
      <sheetName val="만기현황(재산신탁)"/>
      <sheetName val="배당율"/>
      <sheetName val="재무제표"/>
      <sheetName val="손익계산서"/>
      <sheetName val="기초자료"/>
      <sheetName val="대차대조표"/>
      <sheetName val="지점장"/>
      <sheetName val="PL,보정"/>
      <sheetName val="2.상각보정명세"/>
      <sheetName val="신탁겸영금융기관_별지 보고양식"/>
      <sheetName val="공정가치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/>
      <sheetData sheetId="17"/>
      <sheetData sheetId="18" refreshError="1"/>
      <sheetData sheetId="19"/>
      <sheetData sheetId="20" refreshError="1"/>
      <sheetData sheetId="21"/>
      <sheetData sheetId="22" refreshError="1"/>
      <sheetData sheetId="23" refreshError="1"/>
      <sheetData sheetId="24"/>
      <sheetData sheetId="25" refreshError="1"/>
      <sheetData sheetId="26"/>
      <sheetData sheetId="27"/>
      <sheetData sheetId="28"/>
      <sheetData sheetId="29"/>
      <sheetData sheetId="30" refreshError="1"/>
      <sheetData sheetId="3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보증어음분류"/>
      <sheetName val="사모사채분류"/>
      <sheetName val="종합수지"/>
      <sheetName val="종합수지 (2)"/>
      <sheetName val="조달운용"/>
      <sheetName val="채권상각"/>
      <sheetName val="주식평가"/>
      <sheetName val="수익증권"/>
      <sheetName val="주식한도"/>
      <sheetName val="대출분류"/>
      <sheetName val="유가분류"/>
      <sheetName val="조직인력"/>
      <sheetName val="조직인력 (2)"/>
      <sheetName val="한도관리"/>
      <sheetName val="한도관리2"/>
      <sheetName val="만기"/>
      <sheetName val="배당율"/>
      <sheetName val="편출입"/>
      <sheetName val="합동별편출입"/>
      <sheetName val="대출편입"/>
      <sheetName val="만기구조"/>
      <sheetName val="만기구조 (2)"/>
      <sheetName val="13"/>
      <sheetName val="Sheet2"/>
      <sheetName val="Sheet3"/>
      <sheetName val="기업어음분류"/>
      <sheetName val="부문별수지"/>
      <sheetName val="특별유보금"/>
      <sheetName val="한도관리2 (2)"/>
      <sheetName val="XXXXXX"/>
      <sheetName val="유의사항"/>
      <sheetName val="한도관리3"/>
      <sheetName val="대출편출"/>
      <sheetName val="대출유가편출입"/>
      <sheetName val="laroux"/>
      <sheetName val="_x0005_Ā_x000c_ｸ맨쁈쁈_x0000__x0000_詐_x0000__x0000_"/>
      <sheetName val="출자한도1031"/>
      <sheetName val="부문별수지(금전신탁)"/>
      <sheetName val="만기현황(금전신탁)"/>
      <sheetName val="종합수지(금전신탁)"/>
      <sheetName val="한도관리(3)"/>
      <sheetName val="채권평가충당금"/>
      <sheetName val="11.17-11.23"/>
      <sheetName val="11.24-11.30"/>
      <sheetName val="업무보고서"/>
      <sheetName val="Macro3"/>
      <sheetName val="basic_info"/>
    </sheetNames>
    <sheetDataSet>
      <sheetData sheetId="0">
        <row r="28">
          <cell r="B28">
            <v>0</v>
          </cell>
          <cell r="C28">
            <v>0</v>
          </cell>
          <cell r="D28">
            <v>0</v>
          </cell>
          <cell r="E28">
            <v>0</v>
          </cell>
          <cell r="F28">
            <v>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8.xml"/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9.xml"/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0.xml"/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1.xml"/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2.xml"/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3.xml"/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4.xml"/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5.xml"/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6.xml"/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7.xml"/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8.xml"/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9.xml"/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0.xml"/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1.xml"/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2.xml"/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3.xml"/><Relationship Id="rId1" Type="http://schemas.openxmlformats.org/officeDocument/2006/relationships/printerSettings" Target="../printerSettings/printerSettings4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E43D5F-54E6-465C-8574-3177A11D9E44}">
  <sheetPr codeName="Sheet1">
    <tabColor theme="4"/>
    <pageSetUpPr autoPageBreaks="0" fitToPage="1"/>
  </sheetPr>
  <dimension ref="A1:G143"/>
  <sheetViews>
    <sheetView showGridLines="0" zoomScale="115" zoomScaleNormal="115" zoomScaleSheetLayoutView="100" workbookViewId="0">
      <pane xSplit="2" ySplit="3" topLeftCell="C4" activePane="bottomRight" state="frozen"/>
      <selection activeCell="F9" sqref="F9"/>
      <selection pane="topRight" activeCell="F9" sqref="F9"/>
      <selection pane="bottomLeft" activeCell="F9" sqref="F9"/>
      <selection pane="bottomRight" sqref="A1:F1"/>
    </sheetView>
  </sheetViews>
  <sheetFormatPr defaultColWidth="0" defaultRowHeight="13.5" customHeight="1" zeroHeight="1"/>
  <cols>
    <col min="1" max="1" width="15.8984375" style="1" customWidth="1"/>
    <col min="2" max="3" width="5.8984375" style="1" customWidth="1"/>
    <col min="4" max="4" width="39.09765625" style="1" customWidth="1"/>
    <col min="5" max="5" width="5.69921875" style="1" customWidth="1"/>
    <col min="6" max="6" width="14" style="1" customWidth="1"/>
    <col min="7" max="7" width="2" style="1" customWidth="1"/>
    <col min="8" max="16384" width="8.8984375" style="1" hidden="1"/>
  </cols>
  <sheetData>
    <row r="1" spans="1:7" ht="22.2">
      <c r="A1" s="642" t="s">
        <v>176</v>
      </c>
      <c r="B1" s="642"/>
      <c r="C1" s="642"/>
      <c r="D1" s="642"/>
      <c r="E1" s="642"/>
      <c r="F1" s="642"/>
    </row>
    <row r="2" spans="1:7" ht="15" thickBot="1"/>
    <row r="3" spans="1:7" ht="14.4">
      <c r="A3" s="439" t="s">
        <v>172</v>
      </c>
      <c r="B3" s="643" t="s">
        <v>181</v>
      </c>
      <c r="C3" s="643"/>
      <c r="D3" s="643"/>
      <c r="E3" s="440" t="s">
        <v>174</v>
      </c>
      <c r="F3" s="441" t="s">
        <v>1771</v>
      </c>
    </row>
    <row r="4" spans="1:7" ht="14.4">
      <c r="A4" s="369" t="s">
        <v>316</v>
      </c>
      <c r="B4" s="33" t="s">
        <v>317</v>
      </c>
      <c r="C4" s="33">
        <v>1</v>
      </c>
      <c r="D4" s="34" t="s">
        <v>318</v>
      </c>
      <c r="E4" s="35" t="s">
        <v>3</v>
      </c>
      <c r="F4" s="133" t="s">
        <v>319</v>
      </c>
    </row>
    <row r="5" spans="1:7" ht="14.4">
      <c r="A5" s="369" t="s">
        <v>316</v>
      </c>
      <c r="B5" s="33" t="s">
        <v>320</v>
      </c>
      <c r="C5" s="33">
        <v>2</v>
      </c>
      <c r="D5" s="34" t="s">
        <v>321</v>
      </c>
      <c r="E5" s="35" t="s">
        <v>6</v>
      </c>
      <c r="F5" s="133" t="s">
        <v>431</v>
      </c>
    </row>
    <row r="6" spans="1:7" ht="14.4">
      <c r="A6" s="369" t="s">
        <v>316</v>
      </c>
      <c r="B6" s="33" t="s">
        <v>322</v>
      </c>
      <c r="C6" s="33">
        <v>3</v>
      </c>
      <c r="D6" s="34" t="s">
        <v>323</v>
      </c>
      <c r="E6" s="35" t="s">
        <v>6</v>
      </c>
      <c r="F6" s="133" t="s">
        <v>1766</v>
      </c>
    </row>
    <row r="7" spans="1:7" ht="14.4">
      <c r="A7" s="369" t="s">
        <v>316</v>
      </c>
      <c r="B7" s="33" t="s">
        <v>324</v>
      </c>
      <c r="C7" s="33">
        <v>4</v>
      </c>
      <c r="D7" s="34" t="s">
        <v>325</v>
      </c>
      <c r="E7" s="35" t="s">
        <v>6</v>
      </c>
      <c r="F7" s="133" t="s">
        <v>431</v>
      </c>
    </row>
    <row r="8" spans="1:7" ht="14.4">
      <c r="A8" s="369" t="s">
        <v>316</v>
      </c>
      <c r="B8" s="33" t="s">
        <v>0</v>
      </c>
      <c r="C8" s="33">
        <v>5</v>
      </c>
      <c r="D8" s="34" t="s">
        <v>326</v>
      </c>
      <c r="E8" s="35" t="s">
        <v>3</v>
      </c>
      <c r="F8" s="133" t="s">
        <v>1768</v>
      </c>
    </row>
    <row r="9" spans="1:7" ht="14.4">
      <c r="A9" s="625" t="s">
        <v>316</v>
      </c>
      <c r="B9" s="626" t="s">
        <v>327</v>
      </c>
      <c r="C9" s="626">
        <v>6</v>
      </c>
      <c r="D9" s="627" t="s">
        <v>328</v>
      </c>
      <c r="E9" s="628" t="s">
        <v>3</v>
      </c>
      <c r="F9" s="629" t="s">
        <v>1767</v>
      </c>
    </row>
    <row r="10" spans="1:7" ht="14.4">
      <c r="A10" s="625" t="s">
        <v>316</v>
      </c>
      <c r="B10" s="626" t="s">
        <v>329</v>
      </c>
      <c r="C10" s="626">
        <v>7</v>
      </c>
      <c r="D10" s="627" t="s">
        <v>330</v>
      </c>
      <c r="E10" s="628" t="s">
        <v>3</v>
      </c>
      <c r="F10" s="629" t="s">
        <v>1768</v>
      </c>
    </row>
    <row r="11" spans="1:7" ht="14.4">
      <c r="A11" s="625" t="s">
        <v>316</v>
      </c>
      <c r="B11" s="626" t="s">
        <v>331</v>
      </c>
      <c r="C11" s="626">
        <v>8</v>
      </c>
      <c r="D11" s="627" t="s">
        <v>332</v>
      </c>
      <c r="E11" s="628" t="s">
        <v>3</v>
      </c>
      <c r="F11" s="629" t="s">
        <v>1768</v>
      </c>
    </row>
    <row r="12" spans="1:7" ht="14.4">
      <c r="A12" s="625" t="s">
        <v>316</v>
      </c>
      <c r="B12" s="626" t="s">
        <v>333</v>
      </c>
      <c r="C12" s="626">
        <v>9</v>
      </c>
      <c r="D12" s="627" t="s">
        <v>334</v>
      </c>
      <c r="E12" s="628" t="s">
        <v>3</v>
      </c>
      <c r="F12" s="629" t="s">
        <v>1768</v>
      </c>
    </row>
    <row r="13" spans="1:7" s="11" customFormat="1" ht="14.4">
      <c r="A13" s="625" t="s">
        <v>316</v>
      </c>
      <c r="B13" s="626" t="s">
        <v>335</v>
      </c>
      <c r="C13" s="626">
        <v>10</v>
      </c>
      <c r="D13" s="627" t="s">
        <v>336</v>
      </c>
      <c r="E13" s="628" t="s">
        <v>3</v>
      </c>
      <c r="F13" s="629" t="s">
        <v>1768</v>
      </c>
      <c r="G13" s="1"/>
    </row>
    <row r="14" spans="1:7" s="13" customFormat="1" ht="14.4">
      <c r="A14" s="625" t="s">
        <v>316</v>
      </c>
      <c r="B14" s="626" t="s">
        <v>337</v>
      </c>
      <c r="C14" s="626">
        <v>11</v>
      </c>
      <c r="D14" s="627" t="s">
        <v>338</v>
      </c>
      <c r="E14" s="628" t="s">
        <v>3</v>
      </c>
      <c r="F14" s="629" t="s">
        <v>1768</v>
      </c>
      <c r="G14" s="1"/>
    </row>
    <row r="15" spans="1:7" s="11" customFormat="1" ht="14.4">
      <c r="A15" s="625" t="s">
        <v>316</v>
      </c>
      <c r="B15" s="626" t="s">
        <v>339</v>
      </c>
      <c r="C15" s="626">
        <v>12</v>
      </c>
      <c r="D15" s="627" t="s">
        <v>340</v>
      </c>
      <c r="E15" s="628" t="s">
        <v>3</v>
      </c>
      <c r="F15" s="629" t="s">
        <v>1768</v>
      </c>
      <c r="G15" s="1"/>
    </row>
    <row r="16" spans="1:7" ht="14.4">
      <c r="A16" s="625" t="s">
        <v>316</v>
      </c>
      <c r="B16" s="626" t="s">
        <v>341</v>
      </c>
      <c r="C16" s="626">
        <v>13</v>
      </c>
      <c r="D16" s="627" t="s">
        <v>342</v>
      </c>
      <c r="E16" s="628" t="s">
        <v>3</v>
      </c>
      <c r="F16" s="629" t="s">
        <v>1768</v>
      </c>
    </row>
    <row r="17" spans="1:7" ht="14.4">
      <c r="A17" s="625" t="s">
        <v>316</v>
      </c>
      <c r="B17" s="626" t="s">
        <v>343</v>
      </c>
      <c r="C17" s="626">
        <v>14</v>
      </c>
      <c r="D17" s="627" t="s">
        <v>344</v>
      </c>
      <c r="E17" s="628" t="s">
        <v>3</v>
      </c>
      <c r="F17" s="629" t="s">
        <v>1768</v>
      </c>
    </row>
    <row r="18" spans="1:7" ht="14.4">
      <c r="A18" s="625" t="s">
        <v>316</v>
      </c>
      <c r="B18" s="626" t="s">
        <v>345</v>
      </c>
      <c r="C18" s="626">
        <v>15</v>
      </c>
      <c r="D18" s="627" t="s">
        <v>346</v>
      </c>
      <c r="E18" s="628" t="s">
        <v>3</v>
      </c>
      <c r="F18" s="629" t="s">
        <v>1768</v>
      </c>
    </row>
    <row r="19" spans="1:7" ht="14.4">
      <c r="A19" s="625" t="s">
        <v>316</v>
      </c>
      <c r="B19" s="626" t="s">
        <v>347</v>
      </c>
      <c r="C19" s="626">
        <v>16</v>
      </c>
      <c r="D19" s="627" t="s">
        <v>348</v>
      </c>
      <c r="E19" s="628" t="s">
        <v>3</v>
      </c>
      <c r="F19" s="629" t="s">
        <v>431</v>
      </c>
    </row>
    <row r="20" spans="1:7" ht="14.4">
      <c r="A20" s="625" t="s">
        <v>316</v>
      </c>
      <c r="B20" s="626" t="s">
        <v>349</v>
      </c>
      <c r="C20" s="626">
        <v>17</v>
      </c>
      <c r="D20" s="627" t="s">
        <v>350</v>
      </c>
      <c r="E20" s="628" t="s">
        <v>3</v>
      </c>
      <c r="F20" s="629" t="s">
        <v>351</v>
      </c>
    </row>
    <row r="21" spans="1:7" ht="14.4">
      <c r="A21" s="625" t="s">
        <v>1</v>
      </c>
      <c r="B21" s="626" t="s">
        <v>352</v>
      </c>
      <c r="C21" s="626">
        <v>18</v>
      </c>
      <c r="D21" s="627" t="s">
        <v>353</v>
      </c>
      <c r="E21" s="628" t="s">
        <v>3</v>
      </c>
      <c r="F21" s="629" t="s">
        <v>1780</v>
      </c>
    </row>
    <row r="22" spans="1:7" ht="14.4">
      <c r="A22" s="625" t="s">
        <v>1</v>
      </c>
      <c r="B22" s="626" t="s">
        <v>354</v>
      </c>
      <c r="C22" s="626">
        <v>19</v>
      </c>
      <c r="D22" s="627" t="s">
        <v>7</v>
      </c>
      <c r="E22" s="628" t="s">
        <v>3</v>
      </c>
      <c r="F22" s="629" t="s">
        <v>1780</v>
      </c>
    </row>
    <row r="23" spans="1:7" ht="14.4">
      <c r="A23" s="625" t="s">
        <v>1</v>
      </c>
      <c r="B23" s="626" t="s">
        <v>355</v>
      </c>
      <c r="C23" s="626">
        <v>20</v>
      </c>
      <c r="D23" s="627" t="s">
        <v>8</v>
      </c>
      <c r="E23" s="628" t="s">
        <v>3</v>
      </c>
      <c r="F23" s="629" t="s">
        <v>1780</v>
      </c>
    </row>
    <row r="24" spans="1:7" s="13" customFormat="1" ht="14.4">
      <c r="A24" s="625" t="s">
        <v>1</v>
      </c>
      <c r="B24" s="626" t="s">
        <v>356</v>
      </c>
      <c r="C24" s="626">
        <v>21</v>
      </c>
      <c r="D24" s="627" t="s">
        <v>357</v>
      </c>
      <c r="E24" s="628" t="s">
        <v>3</v>
      </c>
      <c r="F24" s="629" t="s">
        <v>1700</v>
      </c>
      <c r="G24" s="1"/>
    </row>
    <row r="25" spans="1:7" s="13" customFormat="1" ht="14.4">
      <c r="A25" s="625" t="s">
        <v>1</v>
      </c>
      <c r="B25" s="626" t="s">
        <v>358</v>
      </c>
      <c r="C25" s="626">
        <v>22</v>
      </c>
      <c r="D25" s="630" t="s">
        <v>359</v>
      </c>
      <c r="E25" s="628" t="s">
        <v>3</v>
      </c>
      <c r="F25" s="629" t="s">
        <v>1700</v>
      </c>
      <c r="G25" s="1"/>
    </row>
    <row r="26" spans="1:7" s="13" customFormat="1" ht="14.4">
      <c r="A26" s="625" t="s">
        <v>1</v>
      </c>
      <c r="B26" s="626" t="s">
        <v>360</v>
      </c>
      <c r="C26" s="626">
        <v>23</v>
      </c>
      <c r="D26" s="627" t="s">
        <v>361</v>
      </c>
      <c r="E26" s="628" t="s">
        <v>3</v>
      </c>
      <c r="F26" s="629" t="s">
        <v>1700</v>
      </c>
      <c r="G26" s="1"/>
    </row>
    <row r="27" spans="1:7" ht="14.4">
      <c r="A27" s="625" t="s">
        <v>1</v>
      </c>
      <c r="B27" s="626" t="s">
        <v>362</v>
      </c>
      <c r="C27" s="626">
        <v>24</v>
      </c>
      <c r="D27" s="627" t="s">
        <v>363</v>
      </c>
      <c r="E27" s="628" t="s">
        <v>6</v>
      </c>
      <c r="F27" s="629" t="s">
        <v>1700</v>
      </c>
    </row>
    <row r="28" spans="1:7" ht="14.4">
      <c r="A28" s="625" t="s">
        <v>1</v>
      </c>
      <c r="B28" s="626" t="s">
        <v>364</v>
      </c>
      <c r="C28" s="626">
        <v>25</v>
      </c>
      <c r="D28" s="627" t="s">
        <v>365</v>
      </c>
      <c r="E28" s="628" t="s">
        <v>6</v>
      </c>
      <c r="F28" s="629" t="s">
        <v>1700</v>
      </c>
    </row>
    <row r="29" spans="1:7" s="13" customFormat="1" ht="14.4">
      <c r="A29" s="625" t="s">
        <v>1</v>
      </c>
      <c r="B29" s="626" t="s">
        <v>366</v>
      </c>
      <c r="C29" s="626">
        <v>26</v>
      </c>
      <c r="D29" s="627" t="s">
        <v>367</v>
      </c>
      <c r="E29" s="628" t="s">
        <v>3</v>
      </c>
      <c r="F29" s="629" t="s">
        <v>1700</v>
      </c>
      <c r="G29" s="1"/>
    </row>
    <row r="30" spans="1:7" ht="14.4">
      <c r="A30" s="625" t="s">
        <v>1</v>
      </c>
      <c r="B30" s="626" t="s">
        <v>368</v>
      </c>
      <c r="C30" s="626">
        <v>27</v>
      </c>
      <c r="D30" s="627" t="s">
        <v>369</v>
      </c>
      <c r="E30" s="628" t="s">
        <v>6</v>
      </c>
      <c r="F30" s="629" t="s">
        <v>1700</v>
      </c>
    </row>
    <row r="31" spans="1:7" ht="14.4">
      <c r="A31" s="625" t="s">
        <v>1</v>
      </c>
      <c r="B31" s="626" t="s">
        <v>370</v>
      </c>
      <c r="C31" s="626">
        <v>28</v>
      </c>
      <c r="D31" s="627" t="s">
        <v>371</v>
      </c>
      <c r="E31" s="628" t="s">
        <v>3</v>
      </c>
      <c r="F31" s="629" t="s">
        <v>1700</v>
      </c>
    </row>
    <row r="32" spans="1:7" ht="14.4">
      <c r="A32" s="625" t="s">
        <v>1</v>
      </c>
      <c r="B32" s="626" t="s">
        <v>372</v>
      </c>
      <c r="C32" s="626">
        <v>29</v>
      </c>
      <c r="D32" s="627" t="s">
        <v>373</v>
      </c>
      <c r="E32" s="628" t="s">
        <v>6</v>
      </c>
      <c r="F32" s="629" t="s">
        <v>1700</v>
      </c>
    </row>
    <row r="33" spans="1:7" ht="14.4">
      <c r="A33" s="625" t="s">
        <v>1</v>
      </c>
      <c r="B33" s="626" t="s">
        <v>374</v>
      </c>
      <c r="C33" s="626">
        <v>30</v>
      </c>
      <c r="D33" s="627" t="s">
        <v>375</v>
      </c>
      <c r="E33" s="628" t="s">
        <v>6</v>
      </c>
      <c r="F33" s="629" t="s">
        <v>1700</v>
      </c>
    </row>
    <row r="34" spans="1:7" ht="14.4">
      <c r="A34" s="625" t="s">
        <v>1</v>
      </c>
      <c r="B34" s="626" t="s">
        <v>376</v>
      </c>
      <c r="C34" s="626">
        <v>31</v>
      </c>
      <c r="D34" s="627" t="s">
        <v>377</v>
      </c>
      <c r="E34" s="628" t="s">
        <v>6</v>
      </c>
      <c r="F34" s="629" t="s">
        <v>1700</v>
      </c>
    </row>
    <row r="35" spans="1:7" ht="14.4">
      <c r="A35" s="625" t="s">
        <v>1</v>
      </c>
      <c r="B35" s="626" t="s">
        <v>378</v>
      </c>
      <c r="C35" s="626">
        <v>32</v>
      </c>
      <c r="D35" s="627" t="s">
        <v>379</v>
      </c>
      <c r="E35" s="628" t="s">
        <v>3</v>
      </c>
      <c r="F35" s="629" t="s">
        <v>1700</v>
      </c>
    </row>
    <row r="36" spans="1:7" ht="14.4">
      <c r="A36" s="625" t="s">
        <v>1</v>
      </c>
      <c r="B36" s="626" t="s">
        <v>380</v>
      </c>
      <c r="C36" s="626">
        <v>33</v>
      </c>
      <c r="D36" s="627" t="s">
        <v>381</v>
      </c>
      <c r="E36" s="628" t="s">
        <v>3</v>
      </c>
      <c r="F36" s="629" t="s">
        <v>1700</v>
      </c>
    </row>
    <row r="37" spans="1:7" ht="14.4">
      <c r="A37" s="625" t="s">
        <v>1</v>
      </c>
      <c r="B37" s="626" t="s">
        <v>382</v>
      </c>
      <c r="C37" s="626">
        <v>34</v>
      </c>
      <c r="D37" s="627" t="s">
        <v>383</v>
      </c>
      <c r="E37" s="628" t="s">
        <v>3</v>
      </c>
      <c r="F37" s="629" t="s">
        <v>1700</v>
      </c>
    </row>
    <row r="38" spans="1:7" ht="14.4">
      <c r="A38" s="625" t="s">
        <v>1</v>
      </c>
      <c r="B38" s="626" t="s">
        <v>384</v>
      </c>
      <c r="C38" s="626">
        <v>35</v>
      </c>
      <c r="D38" s="627" t="s">
        <v>385</v>
      </c>
      <c r="E38" s="628" t="s">
        <v>6</v>
      </c>
      <c r="F38" s="629" t="s">
        <v>1700</v>
      </c>
    </row>
    <row r="39" spans="1:7" ht="14.4">
      <c r="A39" s="625" t="s">
        <v>1</v>
      </c>
      <c r="B39" s="626" t="s">
        <v>386</v>
      </c>
      <c r="C39" s="626">
        <v>36</v>
      </c>
      <c r="D39" s="627" t="s">
        <v>387</v>
      </c>
      <c r="E39" s="628" t="s">
        <v>3</v>
      </c>
      <c r="F39" s="629" t="s">
        <v>1700</v>
      </c>
    </row>
    <row r="40" spans="1:7" ht="14.4">
      <c r="A40" s="625" t="s">
        <v>1</v>
      </c>
      <c r="B40" s="626" t="s">
        <v>388</v>
      </c>
      <c r="C40" s="626">
        <v>37</v>
      </c>
      <c r="D40" s="627" t="s">
        <v>389</v>
      </c>
      <c r="E40" s="628" t="s">
        <v>3</v>
      </c>
      <c r="F40" s="629" t="s">
        <v>1700</v>
      </c>
    </row>
    <row r="41" spans="1:7" ht="14.4">
      <c r="A41" s="625" t="s">
        <v>1</v>
      </c>
      <c r="B41" s="626" t="s">
        <v>390</v>
      </c>
      <c r="C41" s="626">
        <v>38</v>
      </c>
      <c r="D41" s="627" t="s">
        <v>391</v>
      </c>
      <c r="E41" s="628" t="s">
        <v>3</v>
      </c>
      <c r="F41" s="629" t="s">
        <v>1700</v>
      </c>
    </row>
    <row r="42" spans="1:7" s="11" customFormat="1" ht="14.4">
      <c r="A42" s="625" t="s">
        <v>1</v>
      </c>
      <c r="B42" s="626" t="s">
        <v>392</v>
      </c>
      <c r="C42" s="626">
        <v>39</v>
      </c>
      <c r="D42" s="627" t="s">
        <v>393</v>
      </c>
      <c r="E42" s="628" t="s">
        <v>3</v>
      </c>
      <c r="F42" s="629" t="s">
        <v>1700</v>
      </c>
      <c r="G42" s="1"/>
    </row>
    <row r="43" spans="1:7" s="11" customFormat="1" ht="14.4">
      <c r="A43" s="625" t="s">
        <v>1</v>
      </c>
      <c r="B43" s="626" t="s">
        <v>394</v>
      </c>
      <c r="C43" s="626">
        <v>40</v>
      </c>
      <c r="D43" s="627" t="s">
        <v>395</v>
      </c>
      <c r="E43" s="628" t="s">
        <v>3</v>
      </c>
      <c r="F43" s="629" t="s">
        <v>1700</v>
      </c>
      <c r="G43" s="1"/>
    </row>
    <row r="44" spans="1:7" s="13" customFormat="1" ht="14.4">
      <c r="A44" s="625" t="s">
        <v>1</v>
      </c>
      <c r="B44" s="626" t="s">
        <v>396</v>
      </c>
      <c r="C44" s="626">
        <v>41</v>
      </c>
      <c r="D44" s="627" t="s">
        <v>2</v>
      </c>
      <c r="E44" s="628" t="s">
        <v>3</v>
      </c>
      <c r="F44" s="629" t="s">
        <v>1700</v>
      </c>
      <c r="G44" s="1"/>
    </row>
    <row r="45" spans="1:7" ht="14.4">
      <c r="A45" s="625" t="s">
        <v>1</v>
      </c>
      <c r="B45" s="626" t="s">
        <v>397</v>
      </c>
      <c r="C45" s="626">
        <v>42</v>
      </c>
      <c r="D45" s="627" t="s">
        <v>4</v>
      </c>
      <c r="E45" s="628" t="s">
        <v>3</v>
      </c>
      <c r="F45" s="629" t="s">
        <v>1700</v>
      </c>
    </row>
    <row r="46" spans="1:7" ht="14.4">
      <c r="A46" s="625" t="s">
        <v>1</v>
      </c>
      <c r="B46" s="626" t="s">
        <v>398</v>
      </c>
      <c r="C46" s="626">
        <v>43</v>
      </c>
      <c r="D46" s="627" t="s">
        <v>5</v>
      </c>
      <c r="E46" s="628" t="s">
        <v>6</v>
      </c>
      <c r="F46" s="629" t="s">
        <v>1700</v>
      </c>
    </row>
    <row r="47" spans="1:7" ht="14.4">
      <c r="A47" s="625" t="s">
        <v>1</v>
      </c>
      <c r="B47" s="626" t="s">
        <v>399</v>
      </c>
      <c r="C47" s="626">
        <v>44</v>
      </c>
      <c r="D47" s="627" t="s">
        <v>400</v>
      </c>
      <c r="E47" s="628" t="s">
        <v>3</v>
      </c>
      <c r="F47" s="629" t="s">
        <v>1700</v>
      </c>
    </row>
    <row r="48" spans="1:7" ht="14.4">
      <c r="A48" s="625" t="s">
        <v>1</v>
      </c>
      <c r="B48" s="626" t="s">
        <v>401</v>
      </c>
      <c r="C48" s="626">
        <v>45</v>
      </c>
      <c r="D48" s="627" t="s">
        <v>402</v>
      </c>
      <c r="E48" s="628" t="s">
        <v>6</v>
      </c>
      <c r="F48" s="629" t="s">
        <v>1700</v>
      </c>
    </row>
    <row r="49" spans="1:7" ht="14.4">
      <c r="A49" s="625" t="s">
        <v>1</v>
      </c>
      <c r="B49" s="626" t="s">
        <v>403</v>
      </c>
      <c r="C49" s="626">
        <v>46</v>
      </c>
      <c r="D49" s="627" t="s">
        <v>404</v>
      </c>
      <c r="E49" s="628" t="s">
        <v>3</v>
      </c>
      <c r="F49" s="629" t="s">
        <v>1700</v>
      </c>
    </row>
    <row r="50" spans="1:7" ht="14.4">
      <c r="A50" s="625" t="s">
        <v>1</v>
      </c>
      <c r="B50" s="626" t="s">
        <v>405</v>
      </c>
      <c r="C50" s="626">
        <v>47</v>
      </c>
      <c r="D50" s="627" t="s">
        <v>406</v>
      </c>
      <c r="E50" s="628" t="s">
        <v>3</v>
      </c>
      <c r="F50" s="629" t="s">
        <v>1700</v>
      </c>
    </row>
    <row r="51" spans="1:7" ht="14.4">
      <c r="A51" s="625" t="s">
        <v>1</v>
      </c>
      <c r="B51" s="626" t="s">
        <v>209</v>
      </c>
      <c r="C51" s="626">
        <v>48</v>
      </c>
      <c r="D51" s="627" t="s">
        <v>210</v>
      </c>
      <c r="E51" s="628" t="s">
        <v>6</v>
      </c>
      <c r="F51" s="629" t="s">
        <v>1700</v>
      </c>
    </row>
    <row r="52" spans="1:7" ht="14.4">
      <c r="A52" s="625" t="s">
        <v>1</v>
      </c>
      <c r="B52" s="626" t="s">
        <v>211</v>
      </c>
      <c r="C52" s="626">
        <v>49</v>
      </c>
      <c r="D52" s="627" t="s">
        <v>219</v>
      </c>
      <c r="E52" s="628" t="s">
        <v>3</v>
      </c>
      <c r="F52" s="629" t="s">
        <v>1700</v>
      </c>
    </row>
    <row r="53" spans="1:7" ht="14.4">
      <c r="A53" s="625" t="s">
        <v>1</v>
      </c>
      <c r="B53" s="626" t="s">
        <v>407</v>
      </c>
      <c r="C53" s="631" t="s">
        <v>408</v>
      </c>
      <c r="D53" s="627" t="s">
        <v>409</v>
      </c>
      <c r="E53" s="628" t="s">
        <v>410</v>
      </c>
      <c r="F53" s="629" t="s">
        <v>1700</v>
      </c>
    </row>
    <row r="54" spans="1:7" ht="14.4">
      <c r="A54" s="625" t="s">
        <v>411</v>
      </c>
      <c r="B54" s="626" t="s">
        <v>412</v>
      </c>
      <c r="C54" s="626">
        <v>51</v>
      </c>
      <c r="D54" s="627" t="s">
        <v>413</v>
      </c>
      <c r="E54" s="628" t="s">
        <v>3</v>
      </c>
      <c r="F54" s="629" t="s">
        <v>1767</v>
      </c>
    </row>
    <row r="55" spans="1:7" ht="14.4">
      <c r="A55" s="625" t="s">
        <v>411</v>
      </c>
      <c r="B55" s="626" t="s">
        <v>414</v>
      </c>
      <c r="C55" s="626">
        <v>52</v>
      </c>
      <c r="D55" s="627" t="s">
        <v>415</v>
      </c>
      <c r="E55" s="628" t="s">
        <v>3</v>
      </c>
      <c r="F55" s="629" t="s">
        <v>1700</v>
      </c>
    </row>
    <row r="56" spans="1:7" ht="14.4">
      <c r="A56" s="625" t="s">
        <v>411</v>
      </c>
      <c r="B56" s="626" t="s">
        <v>9</v>
      </c>
      <c r="C56" s="626">
        <v>53</v>
      </c>
      <c r="D56" s="627" t="s">
        <v>416</v>
      </c>
      <c r="E56" s="628" t="s">
        <v>3</v>
      </c>
      <c r="F56" s="629" t="s">
        <v>1700</v>
      </c>
    </row>
    <row r="57" spans="1:7" s="13" customFormat="1" ht="14.4">
      <c r="A57" s="625" t="s">
        <v>411</v>
      </c>
      <c r="B57" s="626" t="s">
        <v>10</v>
      </c>
      <c r="C57" s="626">
        <v>54</v>
      </c>
      <c r="D57" s="627" t="s">
        <v>417</v>
      </c>
      <c r="E57" s="628" t="s">
        <v>3</v>
      </c>
      <c r="F57" s="629" t="s">
        <v>1700</v>
      </c>
      <c r="G57" s="1"/>
    </row>
    <row r="58" spans="1:7" ht="14.4">
      <c r="A58" s="625" t="s">
        <v>411</v>
      </c>
      <c r="B58" s="626" t="s">
        <v>11</v>
      </c>
      <c r="C58" s="626">
        <v>55</v>
      </c>
      <c r="D58" s="627" t="s">
        <v>418</v>
      </c>
      <c r="E58" s="628" t="s">
        <v>3</v>
      </c>
      <c r="F58" s="629" t="s">
        <v>1700</v>
      </c>
    </row>
    <row r="59" spans="1:7" ht="14.4">
      <c r="A59" s="625" t="s">
        <v>411</v>
      </c>
      <c r="B59" s="626" t="s">
        <v>419</v>
      </c>
      <c r="C59" s="626">
        <v>56</v>
      </c>
      <c r="D59" s="627" t="s">
        <v>420</v>
      </c>
      <c r="E59" s="628" t="s">
        <v>6</v>
      </c>
      <c r="F59" s="629" t="s">
        <v>1781</v>
      </c>
    </row>
    <row r="60" spans="1:7" ht="14.4">
      <c r="A60" s="625" t="s">
        <v>411</v>
      </c>
      <c r="B60" s="626" t="s">
        <v>421</v>
      </c>
      <c r="C60" s="626">
        <v>57</v>
      </c>
      <c r="D60" s="627" t="s">
        <v>422</v>
      </c>
      <c r="E60" s="628" t="s">
        <v>3</v>
      </c>
      <c r="F60" s="629" t="s">
        <v>1700</v>
      </c>
    </row>
    <row r="61" spans="1:7" ht="14.4">
      <c r="A61" s="625" t="s">
        <v>423</v>
      </c>
      <c r="B61" s="626" t="s">
        <v>12</v>
      </c>
      <c r="C61" s="626">
        <v>58</v>
      </c>
      <c r="D61" s="627" t="s">
        <v>424</v>
      </c>
      <c r="E61" s="628" t="s">
        <v>3</v>
      </c>
      <c r="F61" s="629" t="s">
        <v>1700</v>
      </c>
    </row>
    <row r="62" spans="1:7" ht="14.4">
      <c r="A62" s="625" t="s">
        <v>423</v>
      </c>
      <c r="B62" s="626" t="s">
        <v>13</v>
      </c>
      <c r="C62" s="626">
        <v>59</v>
      </c>
      <c r="D62" s="627" t="s">
        <v>425</v>
      </c>
      <c r="E62" s="628" t="s">
        <v>3</v>
      </c>
      <c r="F62" s="629" t="s">
        <v>1700</v>
      </c>
    </row>
    <row r="63" spans="1:7" ht="14.4">
      <c r="A63" s="625" t="s">
        <v>423</v>
      </c>
      <c r="B63" s="626" t="s">
        <v>14</v>
      </c>
      <c r="C63" s="626">
        <v>60</v>
      </c>
      <c r="D63" s="627" t="s">
        <v>426</v>
      </c>
      <c r="E63" s="628" t="s">
        <v>3</v>
      </c>
      <c r="F63" s="629" t="s">
        <v>1785</v>
      </c>
    </row>
    <row r="64" spans="1:7" ht="14.4">
      <c r="A64" s="625" t="s">
        <v>423</v>
      </c>
      <c r="B64" s="626" t="s">
        <v>15</v>
      </c>
      <c r="C64" s="626">
        <v>61</v>
      </c>
      <c r="D64" s="627" t="s">
        <v>427</v>
      </c>
      <c r="E64" s="628" t="s">
        <v>3</v>
      </c>
      <c r="F64" s="629" t="s">
        <v>1700</v>
      </c>
    </row>
    <row r="65" spans="1:6" ht="14.4">
      <c r="A65" s="625" t="s">
        <v>423</v>
      </c>
      <c r="B65" s="626" t="s">
        <v>16</v>
      </c>
      <c r="C65" s="626">
        <v>62</v>
      </c>
      <c r="D65" s="627" t="s">
        <v>428</v>
      </c>
      <c r="E65" s="628" t="s">
        <v>3</v>
      </c>
      <c r="F65" s="629" t="s">
        <v>1700</v>
      </c>
    </row>
    <row r="66" spans="1:6" ht="14.4">
      <c r="A66" s="625" t="s">
        <v>423</v>
      </c>
      <c r="B66" s="626" t="s">
        <v>429</v>
      </c>
      <c r="C66" s="626">
        <v>63</v>
      </c>
      <c r="D66" s="627" t="s">
        <v>430</v>
      </c>
      <c r="E66" s="628" t="s">
        <v>3</v>
      </c>
      <c r="F66" s="629" t="s">
        <v>1782</v>
      </c>
    </row>
    <row r="67" spans="1:6" ht="14.4">
      <c r="A67" s="625" t="s">
        <v>423</v>
      </c>
      <c r="B67" s="626" t="s">
        <v>432</v>
      </c>
      <c r="C67" s="626">
        <v>64</v>
      </c>
      <c r="D67" s="627" t="s">
        <v>433</v>
      </c>
      <c r="E67" s="628" t="s">
        <v>3</v>
      </c>
      <c r="F67" s="629" t="s">
        <v>1700</v>
      </c>
    </row>
    <row r="68" spans="1:6" ht="14.4">
      <c r="A68" s="625" t="s">
        <v>423</v>
      </c>
      <c r="B68" s="626" t="s">
        <v>17</v>
      </c>
      <c r="C68" s="626">
        <v>65</v>
      </c>
      <c r="D68" s="627" t="s">
        <v>434</v>
      </c>
      <c r="E68" s="628" t="s">
        <v>3</v>
      </c>
      <c r="F68" s="629" t="s">
        <v>1700</v>
      </c>
    </row>
    <row r="69" spans="1:6" ht="14.4">
      <c r="A69" s="625" t="s">
        <v>423</v>
      </c>
      <c r="B69" s="626" t="s">
        <v>435</v>
      </c>
      <c r="C69" s="626">
        <v>66</v>
      </c>
      <c r="D69" s="627" t="s">
        <v>436</v>
      </c>
      <c r="E69" s="628" t="s">
        <v>3</v>
      </c>
      <c r="F69" s="629" t="s">
        <v>1700</v>
      </c>
    </row>
    <row r="70" spans="1:6" ht="14.4">
      <c r="A70" s="625" t="s">
        <v>21</v>
      </c>
      <c r="B70" s="626" t="s">
        <v>437</v>
      </c>
      <c r="C70" s="626">
        <v>67</v>
      </c>
      <c r="D70" s="627" t="s">
        <v>438</v>
      </c>
      <c r="E70" s="628" t="s">
        <v>410</v>
      </c>
      <c r="F70" s="629" t="s">
        <v>1782</v>
      </c>
    </row>
    <row r="71" spans="1:6" ht="14.4">
      <c r="A71" s="625" t="s">
        <v>21</v>
      </c>
      <c r="B71" s="626" t="s">
        <v>439</v>
      </c>
      <c r="C71" s="626">
        <v>68</v>
      </c>
      <c r="D71" s="627" t="s">
        <v>440</v>
      </c>
      <c r="E71" s="628" t="s">
        <v>410</v>
      </c>
      <c r="F71" s="629" t="s">
        <v>1782</v>
      </c>
    </row>
    <row r="72" spans="1:6" ht="14.4">
      <c r="A72" s="625" t="s">
        <v>21</v>
      </c>
      <c r="B72" s="626" t="s">
        <v>18</v>
      </c>
      <c r="C72" s="626">
        <v>69</v>
      </c>
      <c r="D72" s="627" t="s">
        <v>441</v>
      </c>
      <c r="E72" s="628" t="s">
        <v>410</v>
      </c>
      <c r="F72" s="629" t="s">
        <v>1700</v>
      </c>
    </row>
    <row r="73" spans="1:6" ht="14.4">
      <c r="A73" s="625" t="s">
        <v>21</v>
      </c>
      <c r="B73" s="626" t="s">
        <v>19</v>
      </c>
      <c r="C73" s="626">
        <v>70</v>
      </c>
      <c r="D73" s="627" t="s">
        <v>442</v>
      </c>
      <c r="E73" s="628" t="s">
        <v>410</v>
      </c>
      <c r="F73" s="629" t="s">
        <v>1700</v>
      </c>
    </row>
    <row r="74" spans="1:6" ht="14.4">
      <c r="A74" s="625" t="s">
        <v>21</v>
      </c>
      <c r="B74" s="626" t="s">
        <v>443</v>
      </c>
      <c r="C74" s="626">
        <v>71</v>
      </c>
      <c r="D74" s="627" t="s">
        <v>444</v>
      </c>
      <c r="E74" s="628" t="s">
        <v>410</v>
      </c>
      <c r="F74" s="629" t="s">
        <v>1700</v>
      </c>
    </row>
    <row r="75" spans="1:6" ht="14.4">
      <c r="A75" s="625" t="s">
        <v>21</v>
      </c>
      <c r="B75" s="626" t="s">
        <v>20</v>
      </c>
      <c r="C75" s="626">
        <v>72</v>
      </c>
      <c r="D75" s="627" t="s">
        <v>445</v>
      </c>
      <c r="E75" s="628" t="s">
        <v>3</v>
      </c>
      <c r="F75" s="629" t="s">
        <v>1700</v>
      </c>
    </row>
    <row r="76" spans="1:6" ht="14.4">
      <c r="A76" s="625" t="s">
        <v>21</v>
      </c>
      <c r="B76" s="626" t="s">
        <v>446</v>
      </c>
      <c r="C76" s="626">
        <v>73</v>
      </c>
      <c r="D76" s="627" t="s">
        <v>447</v>
      </c>
      <c r="E76" s="628" t="s">
        <v>3</v>
      </c>
      <c r="F76" s="629" t="s">
        <v>1700</v>
      </c>
    </row>
    <row r="77" spans="1:6" ht="14.4">
      <c r="A77" s="625" t="s">
        <v>21</v>
      </c>
      <c r="B77" s="626" t="s">
        <v>448</v>
      </c>
      <c r="C77" s="626">
        <v>74</v>
      </c>
      <c r="D77" s="627" t="s">
        <v>449</v>
      </c>
      <c r="E77" s="628" t="s">
        <v>3</v>
      </c>
      <c r="F77" s="629" t="s">
        <v>1700</v>
      </c>
    </row>
    <row r="78" spans="1:6" ht="14.4">
      <c r="A78" s="625" t="s">
        <v>21</v>
      </c>
      <c r="B78" s="626" t="s">
        <v>450</v>
      </c>
      <c r="C78" s="626">
        <v>75</v>
      </c>
      <c r="D78" s="627" t="s">
        <v>451</v>
      </c>
      <c r="E78" s="628" t="s">
        <v>410</v>
      </c>
      <c r="F78" s="629" t="s">
        <v>1700</v>
      </c>
    </row>
    <row r="79" spans="1:6" ht="14.4">
      <c r="A79" s="625" t="s">
        <v>21</v>
      </c>
      <c r="B79" s="626" t="s">
        <v>452</v>
      </c>
      <c r="C79" s="626">
        <v>76</v>
      </c>
      <c r="D79" s="627" t="s">
        <v>453</v>
      </c>
      <c r="E79" s="628" t="s">
        <v>410</v>
      </c>
      <c r="F79" s="629" t="s">
        <v>1700</v>
      </c>
    </row>
    <row r="80" spans="1:6" ht="14.4">
      <c r="A80" s="625" t="s">
        <v>21</v>
      </c>
      <c r="B80" s="626" t="s">
        <v>454</v>
      </c>
      <c r="C80" s="626">
        <v>77</v>
      </c>
      <c r="D80" s="627" t="s">
        <v>455</v>
      </c>
      <c r="E80" s="628" t="s">
        <v>410</v>
      </c>
      <c r="F80" s="629" t="s">
        <v>1700</v>
      </c>
    </row>
    <row r="81" spans="1:7" ht="14.4">
      <c r="A81" s="625" t="s">
        <v>38</v>
      </c>
      <c r="B81" s="626" t="s">
        <v>22</v>
      </c>
      <c r="C81" s="626">
        <v>78</v>
      </c>
      <c r="D81" s="627" t="s">
        <v>456</v>
      </c>
      <c r="E81" s="628" t="s">
        <v>6</v>
      </c>
      <c r="F81" s="629" t="s">
        <v>1700</v>
      </c>
    </row>
    <row r="82" spans="1:7" ht="14.4">
      <c r="A82" s="625" t="s">
        <v>38</v>
      </c>
      <c r="B82" s="626" t="s">
        <v>23</v>
      </c>
      <c r="C82" s="626">
        <v>79</v>
      </c>
      <c r="D82" s="627" t="s">
        <v>457</v>
      </c>
      <c r="E82" s="628" t="s">
        <v>6</v>
      </c>
      <c r="F82" s="629" t="s">
        <v>1700</v>
      </c>
    </row>
    <row r="83" spans="1:7" ht="14.4">
      <c r="A83" s="625" t="s">
        <v>38</v>
      </c>
      <c r="B83" s="626" t="s">
        <v>24</v>
      </c>
      <c r="C83" s="626">
        <v>80</v>
      </c>
      <c r="D83" s="627" t="s">
        <v>25</v>
      </c>
      <c r="E83" s="628" t="s">
        <v>3</v>
      </c>
      <c r="F83" s="629" t="s">
        <v>1779</v>
      </c>
    </row>
    <row r="84" spans="1:7" ht="14.4">
      <c r="A84" s="625" t="s">
        <v>38</v>
      </c>
      <c r="B84" s="626" t="s">
        <v>26</v>
      </c>
      <c r="C84" s="626">
        <v>81</v>
      </c>
      <c r="D84" s="627" t="s">
        <v>458</v>
      </c>
      <c r="E84" s="628" t="s">
        <v>3</v>
      </c>
      <c r="F84" s="629" t="s">
        <v>1700</v>
      </c>
    </row>
    <row r="85" spans="1:7" ht="14.4">
      <c r="A85" s="625" t="s">
        <v>38</v>
      </c>
      <c r="B85" s="626" t="s">
        <v>459</v>
      </c>
      <c r="C85" s="626">
        <v>82</v>
      </c>
      <c r="D85" s="627" t="s">
        <v>460</v>
      </c>
      <c r="E85" s="628" t="s">
        <v>3</v>
      </c>
      <c r="F85" s="629" t="s">
        <v>1700</v>
      </c>
    </row>
    <row r="86" spans="1:7" ht="14.4">
      <c r="A86" s="625" t="s">
        <v>38</v>
      </c>
      <c r="B86" s="626" t="s">
        <v>27</v>
      </c>
      <c r="C86" s="626">
        <v>83</v>
      </c>
      <c r="D86" s="627" t="s">
        <v>461</v>
      </c>
      <c r="E86" s="628" t="s">
        <v>3</v>
      </c>
      <c r="F86" s="629" t="s">
        <v>1700</v>
      </c>
    </row>
    <row r="87" spans="1:7" ht="14.4">
      <c r="A87" s="625" t="s">
        <v>38</v>
      </c>
      <c r="B87" s="626" t="s">
        <v>462</v>
      </c>
      <c r="C87" s="626">
        <v>84</v>
      </c>
      <c r="D87" s="627" t="s">
        <v>463</v>
      </c>
      <c r="E87" s="628" t="s">
        <v>6</v>
      </c>
      <c r="F87" s="629" t="s">
        <v>1700</v>
      </c>
    </row>
    <row r="88" spans="1:7" ht="14.4">
      <c r="A88" s="625" t="s">
        <v>38</v>
      </c>
      <c r="B88" s="626" t="s">
        <v>28</v>
      </c>
      <c r="C88" s="626">
        <v>85</v>
      </c>
      <c r="D88" s="627" t="s">
        <v>464</v>
      </c>
      <c r="E88" s="628" t="s">
        <v>3</v>
      </c>
      <c r="F88" s="629" t="s">
        <v>1700</v>
      </c>
    </row>
    <row r="89" spans="1:7" ht="14.4">
      <c r="A89" s="625" t="s">
        <v>38</v>
      </c>
      <c r="B89" s="626" t="s">
        <v>29</v>
      </c>
      <c r="C89" s="626">
        <v>86</v>
      </c>
      <c r="D89" s="627" t="s">
        <v>465</v>
      </c>
      <c r="E89" s="628" t="s">
        <v>3</v>
      </c>
      <c r="F89" s="629" t="s">
        <v>1700</v>
      </c>
      <c r="G89" s="566"/>
    </row>
    <row r="90" spans="1:7" ht="14.4">
      <c r="A90" s="625" t="s">
        <v>38</v>
      </c>
      <c r="B90" s="626" t="s">
        <v>30</v>
      </c>
      <c r="C90" s="626">
        <v>87</v>
      </c>
      <c r="D90" s="627" t="s">
        <v>466</v>
      </c>
      <c r="E90" s="628" t="s">
        <v>3</v>
      </c>
      <c r="F90" s="629" t="s">
        <v>1700</v>
      </c>
    </row>
    <row r="91" spans="1:7" ht="14.4">
      <c r="A91" s="625" t="s">
        <v>38</v>
      </c>
      <c r="B91" s="626" t="s">
        <v>467</v>
      </c>
      <c r="C91" s="626">
        <v>88</v>
      </c>
      <c r="D91" s="627" t="s">
        <v>468</v>
      </c>
      <c r="E91" s="628" t="s">
        <v>3</v>
      </c>
      <c r="F91" s="629" t="s">
        <v>1700</v>
      </c>
    </row>
    <row r="92" spans="1:7" ht="14.4">
      <c r="A92" s="625" t="s">
        <v>38</v>
      </c>
      <c r="B92" s="626" t="s">
        <v>31</v>
      </c>
      <c r="C92" s="626">
        <v>89</v>
      </c>
      <c r="D92" s="627" t="s">
        <v>469</v>
      </c>
      <c r="E92" s="628" t="s">
        <v>6</v>
      </c>
      <c r="F92" s="629" t="s">
        <v>1700</v>
      </c>
    </row>
    <row r="93" spans="1:7" ht="14.4">
      <c r="A93" s="625" t="s">
        <v>38</v>
      </c>
      <c r="B93" s="626" t="s">
        <v>32</v>
      </c>
      <c r="C93" s="626">
        <v>90</v>
      </c>
      <c r="D93" s="627" t="s">
        <v>470</v>
      </c>
      <c r="E93" s="628" t="s">
        <v>3</v>
      </c>
      <c r="F93" s="629" t="s">
        <v>1700</v>
      </c>
    </row>
    <row r="94" spans="1:7" ht="14.4">
      <c r="A94" s="625" t="s">
        <v>38</v>
      </c>
      <c r="B94" s="626" t="s">
        <v>33</v>
      </c>
      <c r="C94" s="626">
        <v>91</v>
      </c>
      <c r="D94" s="627" t="s">
        <v>471</v>
      </c>
      <c r="E94" s="628" t="s">
        <v>3</v>
      </c>
      <c r="F94" s="629" t="s">
        <v>1700</v>
      </c>
    </row>
    <row r="95" spans="1:7" ht="14.4">
      <c r="A95" s="625" t="s">
        <v>38</v>
      </c>
      <c r="B95" s="626" t="s">
        <v>34</v>
      </c>
      <c r="C95" s="626">
        <v>92</v>
      </c>
      <c r="D95" s="627" t="s">
        <v>472</v>
      </c>
      <c r="E95" s="628" t="s">
        <v>3</v>
      </c>
      <c r="F95" s="629" t="s">
        <v>1783</v>
      </c>
    </row>
    <row r="96" spans="1:7" ht="14.4">
      <c r="A96" s="625" t="s">
        <v>38</v>
      </c>
      <c r="B96" s="626" t="s">
        <v>35</v>
      </c>
      <c r="C96" s="626">
        <v>93</v>
      </c>
      <c r="D96" s="627" t="s">
        <v>473</v>
      </c>
      <c r="E96" s="628" t="s">
        <v>3</v>
      </c>
      <c r="F96" s="629" t="s">
        <v>1700</v>
      </c>
    </row>
    <row r="97" spans="1:6" ht="14.4">
      <c r="A97" s="625" t="s">
        <v>38</v>
      </c>
      <c r="B97" s="626" t="s">
        <v>36</v>
      </c>
      <c r="C97" s="626">
        <v>94</v>
      </c>
      <c r="D97" s="627" t="s">
        <v>474</v>
      </c>
      <c r="E97" s="628" t="s">
        <v>3</v>
      </c>
      <c r="F97" s="629" t="s">
        <v>1700</v>
      </c>
    </row>
    <row r="98" spans="1:6" ht="14.4">
      <c r="A98" s="625" t="s">
        <v>38</v>
      </c>
      <c r="B98" s="626" t="s">
        <v>475</v>
      </c>
      <c r="C98" s="626">
        <v>95</v>
      </c>
      <c r="D98" s="627" t="s">
        <v>476</v>
      </c>
      <c r="E98" s="628" t="s">
        <v>3</v>
      </c>
      <c r="F98" s="629" t="s">
        <v>1700</v>
      </c>
    </row>
    <row r="99" spans="1:6" ht="14.4">
      <c r="A99" s="625" t="s">
        <v>38</v>
      </c>
      <c r="B99" s="626" t="s">
        <v>477</v>
      </c>
      <c r="C99" s="626">
        <v>96</v>
      </c>
      <c r="D99" s="627" t="s">
        <v>478</v>
      </c>
      <c r="E99" s="628" t="s">
        <v>3</v>
      </c>
      <c r="F99" s="629" t="s">
        <v>1700</v>
      </c>
    </row>
    <row r="100" spans="1:6" ht="14.4">
      <c r="A100" s="625" t="s">
        <v>38</v>
      </c>
      <c r="B100" s="626" t="s">
        <v>37</v>
      </c>
      <c r="C100" s="626">
        <v>97</v>
      </c>
      <c r="D100" s="627" t="s">
        <v>479</v>
      </c>
      <c r="E100" s="628" t="s">
        <v>6</v>
      </c>
      <c r="F100" s="629" t="s">
        <v>1700</v>
      </c>
    </row>
    <row r="101" spans="1:6" ht="14.4">
      <c r="A101" s="625" t="s">
        <v>38</v>
      </c>
      <c r="B101" s="626" t="s">
        <v>480</v>
      </c>
      <c r="C101" s="626">
        <v>98</v>
      </c>
      <c r="D101" s="627" t="s">
        <v>481</v>
      </c>
      <c r="E101" s="628" t="s">
        <v>3</v>
      </c>
      <c r="F101" s="629" t="s">
        <v>1700</v>
      </c>
    </row>
    <row r="102" spans="1:6" ht="14.4">
      <c r="A102" s="625" t="s">
        <v>38</v>
      </c>
      <c r="B102" s="626" t="s">
        <v>39</v>
      </c>
      <c r="C102" s="626">
        <v>99</v>
      </c>
      <c r="D102" s="627" t="s">
        <v>40</v>
      </c>
      <c r="E102" s="628" t="s">
        <v>410</v>
      </c>
      <c r="F102" s="629" t="s">
        <v>1700</v>
      </c>
    </row>
    <row r="103" spans="1:6" ht="14.4">
      <c r="A103" s="625" t="s">
        <v>38</v>
      </c>
      <c r="B103" s="626" t="s">
        <v>482</v>
      </c>
      <c r="C103" s="626">
        <v>100</v>
      </c>
      <c r="D103" s="627" t="s">
        <v>483</v>
      </c>
      <c r="E103" s="628" t="s">
        <v>3</v>
      </c>
      <c r="F103" s="629" t="s">
        <v>1700</v>
      </c>
    </row>
    <row r="104" spans="1:6" ht="14.4">
      <c r="A104" s="625" t="s">
        <v>38</v>
      </c>
      <c r="B104" s="626" t="s">
        <v>484</v>
      </c>
      <c r="C104" s="626">
        <v>101</v>
      </c>
      <c r="D104" s="627" t="s">
        <v>485</v>
      </c>
      <c r="E104" s="628" t="s">
        <v>6</v>
      </c>
      <c r="F104" s="629" t="s">
        <v>1700</v>
      </c>
    </row>
    <row r="105" spans="1:6" ht="14.4">
      <c r="A105" s="625" t="s">
        <v>38</v>
      </c>
      <c r="B105" s="626" t="s">
        <v>486</v>
      </c>
      <c r="C105" s="626">
        <v>102</v>
      </c>
      <c r="D105" s="627" t="s">
        <v>487</v>
      </c>
      <c r="E105" s="628" t="s">
        <v>3</v>
      </c>
      <c r="F105" s="629" t="s">
        <v>1700</v>
      </c>
    </row>
    <row r="106" spans="1:6" ht="14.4">
      <c r="A106" s="625" t="s">
        <v>38</v>
      </c>
      <c r="B106" s="626" t="s">
        <v>41</v>
      </c>
      <c r="C106" s="626">
        <v>103</v>
      </c>
      <c r="D106" s="627" t="s">
        <v>488</v>
      </c>
      <c r="E106" s="628" t="s">
        <v>3</v>
      </c>
      <c r="F106" s="629" t="s">
        <v>1700</v>
      </c>
    </row>
    <row r="107" spans="1:6" ht="14.4">
      <c r="A107" s="625" t="s">
        <v>38</v>
      </c>
      <c r="B107" s="626" t="s">
        <v>489</v>
      </c>
      <c r="C107" s="626">
        <v>104</v>
      </c>
      <c r="D107" s="627" t="s">
        <v>220</v>
      </c>
      <c r="E107" s="628" t="s">
        <v>3</v>
      </c>
      <c r="F107" s="629" t="s">
        <v>1784</v>
      </c>
    </row>
    <row r="108" spans="1:6" ht="14.4">
      <c r="A108" s="625" t="s">
        <v>38</v>
      </c>
      <c r="B108" s="626" t="s">
        <v>490</v>
      </c>
      <c r="C108" s="626">
        <v>105</v>
      </c>
      <c r="D108" s="627" t="s">
        <v>491</v>
      </c>
      <c r="E108" s="628" t="s">
        <v>6</v>
      </c>
      <c r="F108" s="629" t="s">
        <v>1700</v>
      </c>
    </row>
    <row r="109" spans="1:6" ht="14.4">
      <c r="A109" s="625" t="s">
        <v>38</v>
      </c>
      <c r="B109" s="626" t="s">
        <v>492</v>
      </c>
      <c r="C109" s="626">
        <v>106</v>
      </c>
      <c r="D109" s="627" t="s">
        <v>493</v>
      </c>
      <c r="E109" s="628" t="s">
        <v>6</v>
      </c>
      <c r="F109" s="629" t="s">
        <v>1785</v>
      </c>
    </row>
    <row r="110" spans="1:6" ht="14.4">
      <c r="A110" s="625" t="s">
        <v>38</v>
      </c>
      <c r="B110" s="626" t="s">
        <v>494</v>
      </c>
      <c r="C110" s="626">
        <v>107</v>
      </c>
      <c r="D110" s="627" t="s">
        <v>495</v>
      </c>
      <c r="E110" s="628" t="s">
        <v>3</v>
      </c>
      <c r="F110" s="629" t="s">
        <v>1700</v>
      </c>
    </row>
    <row r="111" spans="1:6" ht="14.4">
      <c r="A111" s="625" t="s">
        <v>38</v>
      </c>
      <c r="B111" s="626" t="s">
        <v>496</v>
      </c>
      <c r="C111" s="626">
        <v>108</v>
      </c>
      <c r="D111" s="627" t="s">
        <v>497</v>
      </c>
      <c r="E111" s="628" t="s">
        <v>3</v>
      </c>
      <c r="F111" s="629" t="s">
        <v>1700</v>
      </c>
    </row>
    <row r="112" spans="1:6" ht="14.4">
      <c r="A112" s="625" t="s">
        <v>38</v>
      </c>
      <c r="B112" s="626" t="s">
        <v>498</v>
      </c>
      <c r="C112" s="626">
        <v>109</v>
      </c>
      <c r="D112" s="627" t="s">
        <v>499</v>
      </c>
      <c r="E112" s="628" t="s">
        <v>410</v>
      </c>
      <c r="F112" s="629" t="s">
        <v>1700</v>
      </c>
    </row>
    <row r="113" spans="1:6" ht="14.4">
      <c r="A113" s="625" t="s">
        <v>500</v>
      </c>
      <c r="B113" s="626" t="s">
        <v>42</v>
      </c>
      <c r="C113" s="626">
        <v>110</v>
      </c>
      <c r="D113" s="627" t="s">
        <v>501</v>
      </c>
      <c r="E113" s="628" t="s">
        <v>3</v>
      </c>
      <c r="F113" s="629" t="s">
        <v>1700</v>
      </c>
    </row>
    <row r="114" spans="1:6" ht="14.4">
      <c r="A114" s="625" t="s">
        <v>500</v>
      </c>
      <c r="B114" s="626" t="s">
        <v>43</v>
      </c>
      <c r="C114" s="626">
        <v>111</v>
      </c>
      <c r="D114" s="627" t="s">
        <v>502</v>
      </c>
      <c r="E114" s="628" t="s">
        <v>3</v>
      </c>
      <c r="F114" s="629" t="s">
        <v>1700</v>
      </c>
    </row>
    <row r="115" spans="1:6" ht="14.4">
      <c r="A115" s="625" t="s">
        <v>500</v>
      </c>
      <c r="B115" s="626" t="s">
        <v>44</v>
      </c>
      <c r="C115" s="626">
        <v>112</v>
      </c>
      <c r="D115" s="627" t="s">
        <v>503</v>
      </c>
      <c r="E115" s="628" t="s">
        <v>3</v>
      </c>
      <c r="F115" s="629" t="s">
        <v>1700</v>
      </c>
    </row>
    <row r="116" spans="1:6" ht="14.4">
      <c r="A116" s="625" t="s">
        <v>504</v>
      </c>
      <c r="B116" s="626" t="s">
        <v>45</v>
      </c>
      <c r="C116" s="626">
        <v>113</v>
      </c>
      <c r="D116" s="627" t="s">
        <v>505</v>
      </c>
      <c r="E116" s="628" t="s">
        <v>3</v>
      </c>
      <c r="F116" s="629" t="s">
        <v>1700</v>
      </c>
    </row>
    <row r="117" spans="1:6" ht="14.4">
      <c r="A117" s="625" t="s">
        <v>504</v>
      </c>
      <c r="B117" s="626" t="s">
        <v>46</v>
      </c>
      <c r="C117" s="626">
        <v>114</v>
      </c>
      <c r="D117" s="627" t="s">
        <v>506</v>
      </c>
      <c r="E117" s="628" t="s">
        <v>3</v>
      </c>
      <c r="F117" s="629" t="s">
        <v>1700</v>
      </c>
    </row>
    <row r="118" spans="1:6" ht="14.4">
      <c r="A118" s="625" t="s">
        <v>504</v>
      </c>
      <c r="B118" s="626" t="s">
        <v>47</v>
      </c>
      <c r="C118" s="626">
        <v>115</v>
      </c>
      <c r="D118" s="627" t="s">
        <v>507</v>
      </c>
      <c r="E118" s="628" t="s">
        <v>3</v>
      </c>
      <c r="F118" s="629" t="s">
        <v>1700</v>
      </c>
    </row>
    <row r="119" spans="1:6" ht="14.4">
      <c r="A119" s="625" t="s">
        <v>508</v>
      </c>
      <c r="B119" s="626" t="s">
        <v>48</v>
      </c>
      <c r="C119" s="626">
        <v>116</v>
      </c>
      <c r="D119" s="627" t="s">
        <v>509</v>
      </c>
      <c r="E119" s="628" t="s">
        <v>3</v>
      </c>
      <c r="F119" s="629" t="s">
        <v>1786</v>
      </c>
    </row>
    <row r="120" spans="1:6" ht="14.4">
      <c r="A120" s="625" t="s">
        <v>508</v>
      </c>
      <c r="B120" s="626" t="s">
        <v>49</v>
      </c>
      <c r="C120" s="626">
        <v>117</v>
      </c>
      <c r="D120" s="627" t="s">
        <v>510</v>
      </c>
      <c r="E120" s="628" t="s">
        <v>3</v>
      </c>
      <c r="F120" s="629" t="s">
        <v>1785</v>
      </c>
    </row>
    <row r="121" spans="1:6" ht="14.4">
      <c r="A121" s="625" t="s">
        <v>508</v>
      </c>
      <c r="B121" s="626" t="s">
        <v>50</v>
      </c>
      <c r="C121" s="626">
        <v>118</v>
      </c>
      <c r="D121" s="627" t="s">
        <v>511</v>
      </c>
      <c r="E121" s="628" t="s">
        <v>3</v>
      </c>
      <c r="F121" s="629" t="s">
        <v>1785</v>
      </c>
    </row>
    <row r="122" spans="1:6" ht="14.4">
      <c r="A122" s="625" t="s">
        <v>508</v>
      </c>
      <c r="B122" s="626" t="s">
        <v>512</v>
      </c>
      <c r="C122" s="626">
        <v>119</v>
      </c>
      <c r="D122" s="627" t="s">
        <v>513</v>
      </c>
      <c r="E122" s="628" t="s">
        <v>410</v>
      </c>
      <c r="F122" s="629" t="s">
        <v>1785</v>
      </c>
    </row>
    <row r="123" spans="1:6" ht="14.4">
      <c r="A123" s="625" t="s">
        <v>508</v>
      </c>
      <c r="B123" s="626" t="s">
        <v>514</v>
      </c>
      <c r="C123" s="626">
        <v>120</v>
      </c>
      <c r="D123" s="627" t="s">
        <v>515</v>
      </c>
      <c r="E123" s="628" t="s">
        <v>3</v>
      </c>
      <c r="F123" s="629" t="s">
        <v>1700</v>
      </c>
    </row>
    <row r="124" spans="1:6" ht="14.4">
      <c r="A124" s="625" t="s">
        <v>508</v>
      </c>
      <c r="B124" s="626" t="s">
        <v>516</v>
      </c>
      <c r="C124" s="626">
        <v>121</v>
      </c>
      <c r="D124" s="627" t="s">
        <v>517</v>
      </c>
      <c r="E124" s="628" t="s">
        <v>3</v>
      </c>
      <c r="F124" s="629" t="s">
        <v>1785</v>
      </c>
    </row>
    <row r="125" spans="1:6" ht="14.4">
      <c r="A125" s="625" t="s">
        <v>508</v>
      </c>
      <c r="B125" s="626" t="s">
        <v>518</v>
      </c>
      <c r="C125" s="626">
        <v>122</v>
      </c>
      <c r="D125" s="627" t="s">
        <v>519</v>
      </c>
      <c r="E125" s="628" t="s">
        <v>3</v>
      </c>
      <c r="F125" s="629" t="s">
        <v>1785</v>
      </c>
    </row>
    <row r="126" spans="1:6" ht="14.4">
      <c r="A126" s="625" t="s">
        <v>508</v>
      </c>
      <c r="B126" s="626" t="s">
        <v>520</v>
      </c>
      <c r="C126" s="626">
        <v>123</v>
      </c>
      <c r="D126" s="627" t="s">
        <v>521</v>
      </c>
      <c r="E126" s="628" t="s">
        <v>3</v>
      </c>
      <c r="F126" s="629" t="s">
        <v>1785</v>
      </c>
    </row>
    <row r="127" spans="1:6" ht="14.4">
      <c r="A127" s="625" t="s">
        <v>245</v>
      </c>
      <c r="B127" s="626" t="s">
        <v>51</v>
      </c>
      <c r="C127" s="626">
        <v>124</v>
      </c>
      <c r="D127" s="627" t="s">
        <v>522</v>
      </c>
      <c r="E127" s="628" t="s">
        <v>3</v>
      </c>
      <c r="F127" s="629" t="s">
        <v>1772</v>
      </c>
    </row>
    <row r="128" spans="1:6" ht="14.4">
      <c r="A128" s="625" t="s">
        <v>245</v>
      </c>
      <c r="B128" s="626" t="s">
        <v>52</v>
      </c>
      <c r="C128" s="626">
        <v>125</v>
      </c>
      <c r="D128" s="627" t="s">
        <v>523</v>
      </c>
      <c r="E128" s="628" t="s">
        <v>3</v>
      </c>
      <c r="F128" s="629" t="s">
        <v>1778</v>
      </c>
    </row>
    <row r="129" spans="1:6" ht="14.4">
      <c r="A129" s="625" t="s">
        <v>245</v>
      </c>
      <c r="B129" s="626" t="s">
        <v>524</v>
      </c>
      <c r="C129" s="626">
        <v>126</v>
      </c>
      <c r="D129" s="627" t="s">
        <v>525</v>
      </c>
      <c r="E129" s="628" t="s">
        <v>6</v>
      </c>
      <c r="F129" s="629" t="s">
        <v>1768</v>
      </c>
    </row>
    <row r="130" spans="1:6" ht="14.4">
      <c r="A130" s="625" t="s">
        <v>245</v>
      </c>
      <c r="B130" s="626" t="s">
        <v>53</v>
      </c>
      <c r="C130" s="626">
        <v>127</v>
      </c>
      <c r="D130" s="627" t="s">
        <v>526</v>
      </c>
      <c r="E130" s="628" t="s">
        <v>3</v>
      </c>
      <c r="F130" s="629" t="s">
        <v>431</v>
      </c>
    </row>
    <row r="131" spans="1:6" ht="14.4">
      <c r="A131" s="625" t="s">
        <v>245</v>
      </c>
      <c r="B131" s="626" t="s">
        <v>246</v>
      </c>
      <c r="C131" s="626">
        <v>128</v>
      </c>
      <c r="D131" s="627" t="s">
        <v>247</v>
      </c>
      <c r="E131" s="628" t="s">
        <v>3</v>
      </c>
      <c r="F131" s="629" t="s">
        <v>1774</v>
      </c>
    </row>
    <row r="132" spans="1:6" ht="14.4">
      <c r="A132" s="632" t="s">
        <v>527</v>
      </c>
      <c r="B132" s="633" t="s">
        <v>528</v>
      </c>
      <c r="C132" s="633">
        <v>129</v>
      </c>
      <c r="D132" s="634" t="s">
        <v>529</v>
      </c>
      <c r="E132" s="635" t="s">
        <v>530</v>
      </c>
      <c r="F132" s="636" t="s">
        <v>1776</v>
      </c>
    </row>
    <row r="133" spans="1:6" ht="14.4">
      <c r="A133" s="632" t="s">
        <v>527</v>
      </c>
      <c r="B133" s="633" t="s">
        <v>531</v>
      </c>
      <c r="C133" s="633">
        <v>130</v>
      </c>
      <c r="D133" s="634" t="s">
        <v>532</v>
      </c>
      <c r="E133" s="635" t="s">
        <v>533</v>
      </c>
      <c r="F133" s="636" t="s">
        <v>1776</v>
      </c>
    </row>
    <row r="134" spans="1:6" ht="14.4">
      <c r="A134" s="632" t="s">
        <v>527</v>
      </c>
      <c r="B134" s="633" t="s">
        <v>534</v>
      </c>
      <c r="C134" s="633">
        <v>131</v>
      </c>
      <c r="D134" s="634" t="s">
        <v>535</v>
      </c>
      <c r="E134" s="635" t="s">
        <v>533</v>
      </c>
      <c r="F134" s="636" t="s">
        <v>1776</v>
      </c>
    </row>
    <row r="135" spans="1:6" ht="14.4">
      <c r="A135" s="632" t="s">
        <v>527</v>
      </c>
      <c r="B135" s="633" t="s">
        <v>536</v>
      </c>
      <c r="C135" s="633">
        <v>132</v>
      </c>
      <c r="D135" s="634" t="s">
        <v>537</v>
      </c>
      <c r="E135" s="635" t="s">
        <v>533</v>
      </c>
      <c r="F135" s="636" t="s">
        <v>1776</v>
      </c>
    </row>
    <row r="136" spans="1:6" ht="14.4">
      <c r="A136" s="632" t="s">
        <v>527</v>
      </c>
      <c r="B136" s="633" t="s">
        <v>538</v>
      </c>
      <c r="C136" s="633">
        <v>133</v>
      </c>
      <c r="D136" s="634" t="s">
        <v>539</v>
      </c>
      <c r="E136" s="635" t="s">
        <v>530</v>
      </c>
      <c r="F136" s="636" t="s">
        <v>1776</v>
      </c>
    </row>
    <row r="137" spans="1:6" ht="14.4">
      <c r="A137" s="632" t="s">
        <v>527</v>
      </c>
      <c r="B137" s="633" t="s">
        <v>540</v>
      </c>
      <c r="C137" s="633">
        <v>134</v>
      </c>
      <c r="D137" s="634" t="s">
        <v>541</v>
      </c>
      <c r="E137" s="635" t="s">
        <v>180</v>
      </c>
      <c r="F137" s="636" t="s">
        <v>1776</v>
      </c>
    </row>
    <row r="138" spans="1:6" ht="14.4">
      <c r="A138" s="632" t="s">
        <v>527</v>
      </c>
      <c r="B138" s="633" t="s">
        <v>542</v>
      </c>
      <c r="C138" s="633">
        <v>135</v>
      </c>
      <c r="D138" s="634" t="s">
        <v>543</v>
      </c>
      <c r="E138" s="635" t="s">
        <v>175</v>
      </c>
      <c r="F138" s="636" t="s">
        <v>1776</v>
      </c>
    </row>
    <row r="139" spans="1:6" ht="15" thickBot="1">
      <c r="A139" s="637" t="s">
        <v>544</v>
      </c>
      <c r="B139" s="638" t="s">
        <v>545</v>
      </c>
      <c r="C139" s="638">
        <v>136</v>
      </c>
      <c r="D139" s="639" t="s">
        <v>546</v>
      </c>
      <c r="E139" s="640" t="s">
        <v>530</v>
      </c>
      <c r="F139" s="641" t="s">
        <v>1776</v>
      </c>
    </row>
    <row r="140" spans="1:6" ht="14.4">
      <c r="A140" s="36" t="s">
        <v>212</v>
      </c>
      <c r="B140" s="36"/>
      <c r="C140" s="36"/>
      <c r="D140" s="36"/>
      <c r="E140" s="36"/>
      <c r="F140" s="36"/>
    </row>
    <row r="141" spans="1:6" ht="14.4">
      <c r="A141" s="36" t="s">
        <v>213</v>
      </c>
      <c r="B141" s="36"/>
      <c r="C141" s="36"/>
      <c r="D141" s="36"/>
      <c r="E141" s="36"/>
      <c r="F141" s="36"/>
    </row>
    <row r="142" spans="1:6" ht="14.4">
      <c r="A142" s="36" t="s">
        <v>214</v>
      </c>
      <c r="B142" s="36"/>
      <c r="C142" s="36"/>
      <c r="D142" s="36"/>
      <c r="E142" s="36"/>
      <c r="F142" s="36"/>
    </row>
    <row r="143" spans="1:6" ht="14.4"/>
  </sheetData>
  <mergeCells count="2">
    <mergeCell ref="A1:F1"/>
    <mergeCell ref="B3:D3"/>
  </mergeCells>
  <phoneticPr fontId="6" type="noConversion"/>
  <conditionalFormatting sqref="C4:C131">
    <cfRule type="duplicateValues" dxfId="17" priority="2"/>
  </conditionalFormatting>
  <conditionalFormatting sqref="C132:C139">
    <cfRule type="duplicateValues" dxfId="16" priority="1"/>
  </conditionalFormatting>
  <pageMargins left="0.7" right="0.7" top="0.75" bottom="0.75" header="0.3" footer="0.3"/>
  <pageSetup paperSize="9" scale="88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theme="4"/>
    <pageSetUpPr autoPageBreaks="0" fitToPage="1"/>
  </sheetPr>
  <dimension ref="A1:L145"/>
  <sheetViews>
    <sheetView showGridLines="0" tabSelected="1" zoomScale="145" zoomScaleNormal="145" zoomScaleSheetLayoutView="70" workbookViewId="0">
      <pane ySplit="3" topLeftCell="A4" activePane="bottomLeft" state="frozen"/>
      <selection activeCell="F9" sqref="F9"/>
      <selection pane="bottomLeft" activeCell="A4" sqref="A4"/>
    </sheetView>
  </sheetViews>
  <sheetFormatPr defaultColWidth="0" defaultRowHeight="14.4" zeroHeight="1"/>
  <cols>
    <col min="1" max="1" width="13.796875" style="1" customWidth="1"/>
    <col min="2" max="2" width="5.59765625" style="1" bestFit="1" customWidth="1"/>
    <col min="3" max="3" width="4" style="1" bestFit="1" customWidth="1"/>
    <col min="4" max="4" width="34.19921875" style="1" customWidth="1"/>
    <col min="5" max="5" width="4.09765625" style="1" bestFit="1" customWidth="1"/>
    <col min="6" max="6" width="12.3984375" style="1" bestFit="1" customWidth="1"/>
    <col min="7" max="7" width="4" style="1" bestFit="1" customWidth="1"/>
    <col min="8" max="11" width="14" style="1" hidden="1" customWidth="1"/>
    <col min="12" max="12" width="2" style="1" hidden="1" customWidth="1"/>
    <col min="13" max="16384" width="8.8984375" style="1" hidden="1"/>
  </cols>
  <sheetData>
    <row r="1" spans="1:11" ht="22.2">
      <c r="A1" s="642" t="s">
        <v>176</v>
      </c>
      <c r="B1" s="642"/>
      <c r="C1" s="642"/>
      <c r="D1" s="642"/>
      <c r="E1" s="642"/>
      <c r="F1" s="642"/>
      <c r="G1" s="32"/>
      <c r="H1" s="32"/>
      <c r="I1" s="32"/>
      <c r="J1" s="32"/>
      <c r="K1" s="32"/>
    </row>
    <row r="2" spans="1:11" ht="15" thickBot="1"/>
    <row r="3" spans="1:11">
      <c r="A3" s="439" t="s">
        <v>172</v>
      </c>
      <c r="B3" s="643" t="s">
        <v>181</v>
      </c>
      <c r="C3" s="643"/>
      <c r="D3" s="643"/>
      <c r="E3" s="440" t="s">
        <v>174</v>
      </c>
      <c r="F3" s="441" t="s">
        <v>1771</v>
      </c>
      <c r="G3" s="134"/>
      <c r="H3" s="134"/>
      <c r="I3" s="134"/>
      <c r="J3" s="134"/>
      <c r="K3" s="134"/>
    </row>
    <row r="4" spans="1:11" s="534" customFormat="1" ht="10.8">
      <c r="A4" s="533" t="s">
        <v>316</v>
      </c>
      <c r="B4" s="35" t="s">
        <v>317</v>
      </c>
      <c r="C4" s="35">
        <v>1</v>
      </c>
      <c r="D4" s="34" t="s">
        <v>318</v>
      </c>
      <c r="E4" s="35" t="s">
        <v>3</v>
      </c>
      <c r="F4" s="133" t="s">
        <v>319</v>
      </c>
      <c r="G4" s="135"/>
      <c r="H4" s="135"/>
      <c r="I4" s="135"/>
      <c r="J4" s="135"/>
      <c r="K4" s="135"/>
    </row>
    <row r="5" spans="1:11" s="534" customFormat="1" ht="10.8">
      <c r="A5" s="533" t="s">
        <v>316</v>
      </c>
      <c r="B5" s="35" t="s">
        <v>320</v>
      </c>
      <c r="C5" s="35">
        <v>2</v>
      </c>
      <c r="D5" s="34" t="s">
        <v>321</v>
      </c>
      <c r="E5" s="35" t="s">
        <v>6</v>
      </c>
      <c r="F5" s="133" t="s">
        <v>1765</v>
      </c>
      <c r="G5" s="135"/>
      <c r="H5" s="135"/>
      <c r="I5" s="135"/>
      <c r="J5" s="135"/>
      <c r="K5" s="135"/>
    </row>
    <row r="6" spans="1:11" s="534" customFormat="1" ht="10.8">
      <c r="A6" s="533" t="s">
        <v>316</v>
      </c>
      <c r="B6" s="35" t="s">
        <v>322</v>
      </c>
      <c r="C6" s="35">
        <v>3</v>
      </c>
      <c r="D6" s="34" t="s">
        <v>323</v>
      </c>
      <c r="E6" s="35" t="s">
        <v>6</v>
      </c>
      <c r="F6" s="133" t="s">
        <v>1767</v>
      </c>
      <c r="G6" s="135"/>
      <c r="H6" s="135"/>
      <c r="I6" s="135"/>
      <c r="J6" s="135"/>
      <c r="K6" s="135"/>
    </row>
    <row r="7" spans="1:11" s="534" customFormat="1" ht="10.8">
      <c r="A7" s="533" t="s">
        <v>316</v>
      </c>
      <c r="B7" s="35" t="s">
        <v>324</v>
      </c>
      <c r="C7" s="35">
        <v>4</v>
      </c>
      <c r="D7" s="34" t="s">
        <v>325</v>
      </c>
      <c r="E7" s="35" t="s">
        <v>6</v>
      </c>
      <c r="F7" s="133" t="s">
        <v>1765</v>
      </c>
      <c r="G7" s="135"/>
      <c r="H7" s="135"/>
      <c r="I7" s="135"/>
      <c r="J7" s="135"/>
      <c r="K7" s="135"/>
    </row>
    <row r="8" spans="1:11" s="534" customFormat="1" ht="10.8">
      <c r="A8" s="535" t="s">
        <v>316</v>
      </c>
      <c r="B8" s="536" t="s">
        <v>0</v>
      </c>
      <c r="C8" s="536">
        <v>5</v>
      </c>
      <c r="D8" s="537" t="s">
        <v>326</v>
      </c>
      <c r="E8" s="536" t="s">
        <v>3</v>
      </c>
      <c r="F8" s="538" t="s">
        <v>1769</v>
      </c>
      <c r="G8" s="135"/>
      <c r="H8" s="135"/>
      <c r="I8" s="135"/>
      <c r="J8" s="135"/>
      <c r="K8" s="135"/>
    </row>
    <row r="9" spans="1:11" s="534" customFormat="1" ht="10.8">
      <c r="A9" s="577" t="s">
        <v>316</v>
      </c>
      <c r="B9" s="539" t="s">
        <v>1395</v>
      </c>
      <c r="C9" s="578">
        <v>6</v>
      </c>
      <c r="D9" s="579" t="s">
        <v>1396</v>
      </c>
      <c r="E9" s="578" t="s">
        <v>3</v>
      </c>
      <c r="F9" s="580" t="s">
        <v>1770</v>
      </c>
      <c r="G9" s="135"/>
      <c r="H9" s="135"/>
      <c r="I9" s="135"/>
      <c r="J9" s="135"/>
      <c r="K9" s="135"/>
    </row>
    <row r="10" spans="1:11" s="534" customFormat="1" ht="10.8">
      <c r="A10" s="535" t="s">
        <v>316</v>
      </c>
      <c r="B10" s="536" t="s">
        <v>329</v>
      </c>
      <c r="C10" s="536">
        <v>7</v>
      </c>
      <c r="D10" s="537" t="s">
        <v>330</v>
      </c>
      <c r="E10" s="536" t="s">
        <v>3</v>
      </c>
      <c r="F10" s="538" t="s">
        <v>1769</v>
      </c>
      <c r="G10" s="135"/>
      <c r="H10" s="135"/>
      <c r="I10" s="135"/>
      <c r="J10" s="135"/>
      <c r="K10" s="135"/>
    </row>
    <row r="11" spans="1:11" s="534" customFormat="1" ht="10.8">
      <c r="A11" s="535" t="s">
        <v>316</v>
      </c>
      <c r="B11" s="536" t="s">
        <v>331</v>
      </c>
      <c r="C11" s="536">
        <v>8</v>
      </c>
      <c r="D11" s="537" t="s">
        <v>332</v>
      </c>
      <c r="E11" s="536" t="s">
        <v>3</v>
      </c>
      <c r="F11" s="538" t="s">
        <v>1769</v>
      </c>
      <c r="G11" s="135"/>
      <c r="H11" s="135"/>
      <c r="I11" s="135"/>
      <c r="J11" s="135"/>
      <c r="K11" s="135"/>
    </row>
    <row r="12" spans="1:11" s="534" customFormat="1" ht="10.8">
      <c r="A12" s="535" t="s">
        <v>316</v>
      </c>
      <c r="B12" s="536" t="s">
        <v>333</v>
      </c>
      <c r="C12" s="536">
        <v>9</v>
      </c>
      <c r="D12" s="537" t="s">
        <v>334</v>
      </c>
      <c r="E12" s="536" t="s">
        <v>3</v>
      </c>
      <c r="F12" s="538" t="s">
        <v>1769</v>
      </c>
      <c r="G12" s="135"/>
      <c r="H12" s="135"/>
      <c r="I12" s="135"/>
      <c r="J12" s="135"/>
      <c r="K12" s="135"/>
    </row>
    <row r="13" spans="1:11" s="540" customFormat="1" ht="10.8">
      <c r="A13" s="535" t="s">
        <v>316</v>
      </c>
      <c r="B13" s="536" t="s">
        <v>335</v>
      </c>
      <c r="C13" s="536">
        <v>10</v>
      </c>
      <c r="D13" s="537" t="s">
        <v>336</v>
      </c>
      <c r="E13" s="536" t="s">
        <v>3</v>
      </c>
      <c r="F13" s="538" t="s">
        <v>1769</v>
      </c>
      <c r="G13" s="135"/>
      <c r="H13" s="135"/>
      <c r="I13" s="135"/>
      <c r="J13" s="135"/>
      <c r="K13" s="135"/>
    </row>
    <row r="14" spans="1:11" s="541" customFormat="1" ht="10.8">
      <c r="A14" s="535" t="s">
        <v>316</v>
      </c>
      <c r="B14" s="536" t="s">
        <v>337</v>
      </c>
      <c r="C14" s="536">
        <v>11</v>
      </c>
      <c r="D14" s="537" t="s">
        <v>338</v>
      </c>
      <c r="E14" s="536" t="s">
        <v>3</v>
      </c>
      <c r="F14" s="538" t="s">
        <v>1769</v>
      </c>
      <c r="G14" s="135"/>
      <c r="H14" s="135"/>
      <c r="I14" s="135"/>
      <c r="J14" s="135"/>
      <c r="K14" s="135"/>
    </row>
    <row r="15" spans="1:11" s="540" customFormat="1" ht="10.8">
      <c r="A15" s="535" t="s">
        <v>316</v>
      </c>
      <c r="B15" s="536" t="s">
        <v>339</v>
      </c>
      <c r="C15" s="536">
        <v>12</v>
      </c>
      <c r="D15" s="537" t="s">
        <v>340</v>
      </c>
      <c r="E15" s="536" t="s">
        <v>3</v>
      </c>
      <c r="F15" s="538" t="s">
        <v>1769</v>
      </c>
      <c r="G15" s="135"/>
      <c r="H15" s="135"/>
      <c r="I15" s="135"/>
      <c r="J15" s="135"/>
      <c r="K15" s="135"/>
    </row>
    <row r="16" spans="1:11" s="534" customFormat="1" ht="10.8">
      <c r="A16" s="535" t="s">
        <v>316</v>
      </c>
      <c r="B16" s="536" t="s">
        <v>341</v>
      </c>
      <c r="C16" s="536">
        <v>13</v>
      </c>
      <c r="D16" s="537" t="s">
        <v>342</v>
      </c>
      <c r="E16" s="536" t="s">
        <v>3</v>
      </c>
      <c r="F16" s="538" t="s">
        <v>1769</v>
      </c>
      <c r="G16" s="135"/>
      <c r="H16" s="135"/>
      <c r="I16" s="135"/>
      <c r="J16" s="135"/>
      <c r="K16" s="135"/>
    </row>
    <row r="17" spans="1:11" s="534" customFormat="1" ht="10.8">
      <c r="A17" s="535" t="s">
        <v>316</v>
      </c>
      <c r="B17" s="536" t="s">
        <v>343</v>
      </c>
      <c r="C17" s="536">
        <v>14</v>
      </c>
      <c r="D17" s="537" t="s">
        <v>344</v>
      </c>
      <c r="E17" s="536" t="s">
        <v>3</v>
      </c>
      <c r="F17" s="538" t="s">
        <v>1769</v>
      </c>
      <c r="G17" s="135"/>
      <c r="H17" s="135"/>
      <c r="I17" s="135"/>
      <c r="J17" s="135"/>
      <c r="K17" s="135"/>
    </row>
    <row r="18" spans="1:11" s="534" customFormat="1" ht="10.8">
      <c r="A18" s="535" t="s">
        <v>316</v>
      </c>
      <c r="B18" s="536" t="s">
        <v>345</v>
      </c>
      <c r="C18" s="536">
        <v>15</v>
      </c>
      <c r="D18" s="537" t="s">
        <v>346</v>
      </c>
      <c r="E18" s="536" t="s">
        <v>3</v>
      </c>
      <c r="F18" s="538" t="s">
        <v>1769</v>
      </c>
      <c r="G18" s="135"/>
      <c r="H18" s="135"/>
      <c r="I18" s="135"/>
      <c r="J18" s="135"/>
      <c r="K18" s="135"/>
    </row>
    <row r="19" spans="1:11" s="534" customFormat="1" ht="10.8">
      <c r="A19" s="535" t="s">
        <v>316</v>
      </c>
      <c r="B19" s="536" t="s">
        <v>347</v>
      </c>
      <c r="C19" s="536">
        <v>16</v>
      </c>
      <c r="D19" s="537" t="s">
        <v>348</v>
      </c>
      <c r="E19" s="536" t="s">
        <v>3</v>
      </c>
      <c r="F19" s="538" t="s">
        <v>1765</v>
      </c>
      <c r="G19" s="135"/>
      <c r="H19" s="135"/>
      <c r="I19" s="135"/>
      <c r="J19" s="135"/>
      <c r="K19" s="135"/>
    </row>
    <row r="20" spans="1:11" s="534" customFormat="1" ht="10.8">
      <c r="A20" s="535" t="s">
        <v>316</v>
      </c>
      <c r="B20" s="536" t="s">
        <v>349</v>
      </c>
      <c r="C20" s="536">
        <v>17</v>
      </c>
      <c r="D20" s="537" t="s">
        <v>350</v>
      </c>
      <c r="E20" s="536" t="s">
        <v>3</v>
      </c>
      <c r="F20" s="538" t="s">
        <v>351</v>
      </c>
      <c r="G20" s="135"/>
      <c r="H20" s="135"/>
      <c r="I20" s="135"/>
      <c r="J20" s="135"/>
      <c r="K20" s="135"/>
    </row>
    <row r="21" spans="1:11" s="541" customFormat="1" ht="10.8">
      <c r="A21" s="577" t="s">
        <v>316</v>
      </c>
      <c r="B21" s="607" t="s">
        <v>1788</v>
      </c>
      <c r="C21" s="578">
        <v>18</v>
      </c>
      <c r="D21" s="579" t="s">
        <v>1404</v>
      </c>
      <c r="E21" s="578" t="s">
        <v>175</v>
      </c>
      <c r="F21" s="580" t="s">
        <v>1770</v>
      </c>
      <c r="G21" s="135"/>
    </row>
    <row r="22" spans="1:11" s="534" customFormat="1" ht="10.8">
      <c r="A22" s="577" t="s">
        <v>1</v>
      </c>
      <c r="B22" s="607" t="s">
        <v>352</v>
      </c>
      <c r="C22" s="578">
        <v>19</v>
      </c>
      <c r="D22" s="579" t="s">
        <v>1731</v>
      </c>
      <c r="E22" s="578" t="s">
        <v>3</v>
      </c>
      <c r="F22" s="580" t="s">
        <v>1770</v>
      </c>
      <c r="G22" s="135"/>
      <c r="H22" s="135"/>
      <c r="I22" s="135"/>
      <c r="J22" s="135"/>
      <c r="K22" s="135"/>
    </row>
    <row r="23" spans="1:11" s="534" customFormat="1" ht="10.8">
      <c r="A23" s="577" t="s">
        <v>1</v>
      </c>
      <c r="B23" s="607" t="s">
        <v>354</v>
      </c>
      <c r="C23" s="578">
        <v>20</v>
      </c>
      <c r="D23" s="579" t="s">
        <v>1732</v>
      </c>
      <c r="E23" s="578" t="s">
        <v>3</v>
      </c>
      <c r="F23" s="580" t="s">
        <v>1770</v>
      </c>
      <c r="G23" s="135"/>
      <c r="H23" s="135"/>
      <c r="I23" s="135"/>
      <c r="J23" s="135"/>
      <c r="K23" s="135"/>
    </row>
    <row r="24" spans="1:11" s="534" customFormat="1" ht="10.8">
      <c r="A24" s="577" t="s">
        <v>1</v>
      </c>
      <c r="B24" s="539" t="s">
        <v>355</v>
      </c>
      <c r="C24" s="578">
        <v>21</v>
      </c>
      <c r="D24" s="579" t="s">
        <v>1405</v>
      </c>
      <c r="E24" s="578" t="s">
        <v>3</v>
      </c>
      <c r="F24" s="580" t="s">
        <v>1770</v>
      </c>
      <c r="G24" s="135"/>
      <c r="H24" s="135"/>
      <c r="I24" s="135"/>
      <c r="J24" s="135"/>
      <c r="K24" s="135"/>
    </row>
    <row r="25" spans="1:11" s="541" customFormat="1" ht="10.8">
      <c r="A25" s="535" t="s">
        <v>1</v>
      </c>
      <c r="B25" s="536" t="s">
        <v>356</v>
      </c>
      <c r="C25" s="536">
        <v>22</v>
      </c>
      <c r="D25" s="537" t="s">
        <v>357</v>
      </c>
      <c r="E25" s="536" t="s">
        <v>3</v>
      </c>
      <c r="F25" s="538" t="s">
        <v>1700</v>
      </c>
      <c r="G25" s="135"/>
      <c r="H25" s="135"/>
      <c r="I25" s="135"/>
      <c r="J25" s="135"/>
      <c r="K25" s="135"/>
    </row>
    <row r="26" spans="1:11" s="541" customFormat="1" ht="10.8">
      <c r="A26" s="535" t="s">
        <v>1</v>
      </c>
      <c r="B26" s="536" t="s">
        <v>358</v>
      </c>
      <c r="C26" s="536">
        <v>23</v>
      </c>
      <c r="D26" s="542" t="s">
        <v>359</v>
      </c>
      <c r="E26" s="536" t="s">
        <v>3</v>
      </c>
      <c r="F26" s="538" t="s">
        <v>1700</v>
      </c>
      <c r="G26" s="135"/>
      <c r="H26" s="135"/>
      <c r="I26" s="135"/>
      <c r="J26" s="135"/>
      <c r="K26" s="135"/>
    </row>
    <row r="27" spans="1:11" s="541" customFormat="1" ht="10.8">
      <c r="A27" s="535" t="s">
        <v>1</v>
      </c>
      <c r="B27" s="536" t="s">
        <v>360</v>
      </c>
      <c r="C27" s="536">
        <v>24</v>
      </c>
      <c r="D27" s="537" t="s">
        <v>361</v>
      </c>
      <c r="E27" s="536" t="s">
        <v>3</v>
      </c>
      <c r="F27" s="538" t="s">
        <v>1700</v>
      </c>
      <c r="G27" s="135"/>
      <c r="H27" s="135"/>
      <c r="I27" s="135"/>
      <c r="J27" s="135"/>
      <c r="K27" s="135"/>
    </row>
    <row r="28" spans="1:11" s="534" customFormat="1" ht="10.8">
      <c r="A28" s="535" t="s">
        <v>1</v>
      </c>
      <c r="B28" s="536" t="s">
        <v>362</v>
      </c>
      <c r="C28" s="536">
        <v>25</v>
      </c>
      <c r="D28" s="537" t="s">
        <v>363</v>
      </c>
      <c r="E28" s="536" t="s">
        <v>6</v>
      </c>
      <c r="F28" s="538" t="s">
        <v>1700</v>
      </c>
      <c r="G28" s="135"/>
      <c r="H28" s="135"/>
      <c r="I28" s="135"/>
      <c r="J28" s="135"/>
      <c r="K28" s="135"/>
    </row>
    <row r="29" spans="1:11" s="534" customFormat="1" ht="10.8">
      <c r="A29" s="535" t="s">
        <v>1</v>
      </c>
      <c r="B29" s="536" t="s">
        <v>364</v>
      </c>
      <c r="C29" s="536">
        <v>26</v>
      </c>
      <c r="D29" s="537" t="s">
        <v>365</v>
      </c>
      <c r="E29" s="536" t="s">
        <v>6</v>
      </c>
      <c r="F29" s="538" t="s">
        <v>1700</v>
      </c>
      <c r="G29" s="135"/>
      <c r="H29" s="135"/>
      <c r="I29" s="135"/>
      <c r="J29" s="135"/>
      <c r="K29" s="135"/>
    </row>
    <row r="30" spans="1:11" s="541" customFormat="1" ht="10.8">
      <c r="A30" s="535" t="s">
        <v>1</v>
      </c>
      <c r="B30" s="536" t="s">
        <v>366</v>
      </c>
      <c r="C30" s="536">
        <v>27</v>
      </c>
      <c r="D30" s="537" t="s">
        <v>367</v>
      </c>
      <c r="E30" s="536" t="s">
        <v>3</v>
      </c>
      <c r="F30" s="538" t="s">
        <v>1700</v>
      </c>
      <c r="G30" s="135"/>
      <c r="H30" s="135"/>
      <c r="I30" s="135"/>
      <c r="J30" s="135"/>
      <c r="K30" s="135"/>
    </row>
    <row r="31" spans="1:11" s="534" customFormat="1" ht="10.8">
      <c r="A31" s="535" t="s">
        <v>1</v>
      </c>
      <c r="B31" s="536" t="s">
        <v>368</v>
      </c>
      <c r="C31" s="536">
        <v>28</v>
      </c>
      <c r="D31" s="537" t="s">
        <v>369</v>
      </c>
      <c r="E31" s="536" t="s">
        <v>6</v>
      </c>
      <c r="F31" s="538" t="s">
        <v>1700</v>
      </c>
      <c r="G31" s="135"/>
      <c r="H31" s="135"/>
      <c r="I31" s="135"/>
      <c r="J31" s="135"/>
      <c r="K31" s="135"/>
    </row>
    <row r="32" spans="1:11" s="534" customFormat="1" ht="10.8">
      <c r="A32" s="535" t="s">
        <v>1</v>
      </c>
      <c r="B32" s="536" t="s">
        <v>370</v>
      </c>
      <c r="C32" s="536">
        <v>29</v>
      </c>
      <c r="D32" s="537" t="s">
        <v>371</v>
      </c>
      <c r="E32" s="536" t="s">
        <v>3</v>
      </c>
      <c r="F32" s="538" t="s">
        <v>1700</v>
      </c>
      <c r="G32" s="135"/>
      <c r="H32" s="135"/>
      <c r="I32" s="135"/>
      <c r="J32" s="135"/>
      <c r="K32" s="135"/>
    </row>
    <row r="33" spans="1:11" s="534" customFormat="1" ht="10.8">
      <c r="A33" s="535" t="s">
        <v>1</v>
      </c>
      <c r="B33" s="536" t="s">
        <v>372</v>
      </c>
      <c r="C33" s="536">
        <v>30</v>
      </c>
      <c r="D33" s="537" t="s">
        <v>373</v>
      </c>
      <c r="E33" s="536" t="s">
        <v>6</v>
      </c>
      <c r="F33" s="538" t="s">
        <v>1700</v>
      </c>
      <c r="G33" s="135"/>
      <c r="H33" s="135"/>
      <c r="I33" s="135"/>
      <c r="J33" s="135"/>
      <c r="K33" s="135"/>
    </row>
    <row r="34" spans="1:11" s="534" customFormat="1" ht="10.8">
      <c r="A34" s="535" t="s">
        <v>1</v>
      </c>
      <c r="B34" s="536" t="s">
        <v>374</v>
      </c>
      <c r="C34" s="536">
        <v>31</v>
      </c>
      <c r="D34" s="537" t="s">
        <v>375</v>
      </c>
      <c r="E34" s="536" t="s">
        <v>6</v>
      </c>
      <c r="F34" s="538" t="s">
        <v>1700</v>
      </c>
      <c r="G34" s="135"/>
      <c r="H34" s="135"/>
      <c r="I34" s="135"/>
      <c r="J34" s="135"/>
      <c r="K34" s="135"/>
    </row>
    <row r="35" spans="1:11" s="534" customFormat="1" ht="10.8">
      <c r="A35" s="535" t="s">
        <v>1</v>
      </c>
      <c r="B35" s="536" t="s">
        <v>376</v>
      </c>
      <c r="C35" s="536">
        <v>32</v>
      </c>
      <c r="D35" s="537" t="s">
        <v>377</v>
      </c>
      <c r="E35" s="536" t="s">
        <v>6</v>
      </c>
      <c r="F35" s="538" t="s">
        <v>1700</v>
      </c>
      <c r="G35" s="135"/>
      <c r="H35" s="135"/>
      <c r="I35" s="135"/>
      <c r="J35" s="135"/>
      <c r="K35" s="135"/>
    </row>
    <row r="36" spans="1:11" s="534" customFormat="1" ht="10.8">
      <c r="A36" s="535" t="s">
        <v>1</v>
      </c>
      <c r="B36" s="536" t="s">
        <v>378</v>
      </c>
      <c r="C36" s="536">
        <v>33</v>
      </c>
      <c r="D36" s="537" t="s">
        <v>379</v>
      </c>
      <c r="E36" s="536" t="s">
        <v>3</v>
      </c>
      <c r="F36" s="538" t="s">
        <v>1700</v>
      </c>
      <c r="G36" s="135"/>
      <c r="H36" s="135"/>
      <c r="I36" s="135"/>
      <c r="J36" s="135"/>
      <c r="K36" s="135"/>
    </row>
    <row r="37" spans="1:11" s="534" customFormat="1" ht="10.8">
      <c r="A37" s="535" t="s">
        <v>1</v>
      </c>
      <c r="B37" s="536" t="s">
        <v>380</v>
      </c>
      <c r="C37" s="536">
        <v>34</v>
      </c>
      <c r="D37" s="537" t="s">
        <v>381</v>
      </c>
      <c r="E37" s="536" t="s">
        <v>3</v>
      </c>
      <c r="F37" s="538" t="s">
        <v>1700</v>
      </c>
      <c r="G37" s="135"/>
      <c r="H37" s="135"/>
      <c r="I37" s="135"/>
      <c r="J37" s="135"/>
      <c r="K37" s="135"/>
    </row>
    <row r="38" spans="1:11" s="534" customFormat="1" ht="10.8">
      <c r="A38" s="535" t="s">
        <v>1</v>
      </c>
      <c r="B38" s="536" t="s">
        <v>382</v>
      </c>
      <c r="C38" s="536">
        <v>35</v>
      </c>
      <c r="D38" s="537" t="s">
        <v>383</v>
      </c>
      <c r="E38" s="536" t="s">
        <v>3</v>
      </c>
      <c r="F38" s="538" t="s">
        <v>1700</v>
      </c>
      <c r="G38" s="135"/>
      <c r="H38" s="135"/>
      <c r="I38" s="135"/>
      <c r="J38" s="135"/>
      <c r="K38" s="135"/>
    </row>
    <row r="39" spans="1:11" s="534" customFormat="1" ht="10.8">
      <c r="A39" s="535" t="s">
        <v>1</v>
      </c>
      <c r="B39" s="536" t="s">
        <v>384</v>
      </c>
      <c r="C39" s="536">
        <v>36</v>
      </c>
      <c r="D39" s="537" t="s">
        <v>385</v>
      </c>
      <c r="E39" s="536" t="s">
        <v>6</v>
      </c>
      <c r="F39" s="538" t="s">
        <v>1700</v>
      </c>
      <c r="G39" s="135"/>
      <c r="H39" s="135"/>
      <c r="I39" s="135"/>
      <c r="J39" s="135"/>
      <c r="K39" s="135"/>
    </row>
    <row r="40" spans="1:11" s="534" customFormat="1" ht="10.8">
      <c r="A40" s="535" t="s">
        <v>1</v>
      </c>
      <c r="B40" s="536" t="s">
        <v>386</v>
      </c>
      <c r="C40" s="536">
        <v>37</v>
      </c>
      <c r="D40" s="537" t="s">
        <v>387</v>
      </c>
      <c r="E40" s="536" t="s">
        <v>3</v>
      </c>
      <c r="F40" s="538" t="s">
        <v>1700</v>
      </c>
      <c r="G40" s="135"/>
      <c r="H40" s="135"/>
      <c r="I40" s="135"/>
      <c r="J40" s="135"/>
      <c r="K40" s="135"/>
    </row>
    <row r="41" spans="1:11" s="534" customFormat="1" ht="10.8">
      <c r="A41" s="535" t="s">
        <v>1</v>
      </c>
      <c r="B41" s="536" t="s">
        <v>388</v>
      </c>
      <c r="C41" s="536">
        <v>38</v>
      </c>
      <c r="D41" s="537" t="s">
        <v>389</v>
      </c>
      <c r="E41" s="536" t="s">
        <v>3</v>
      </c>
      <c r="F41" s="538" t="s">
        <v>1700</v>
      </c>
      <c r="G41" s="135"/>
      <c r="H41" s="135"/>
      <c r="I41" s="135"/>
      <c r="J41" s="135"/>
      <c r="K41" s="135"/>
    </row>
    <row r="42" spans="1:11" s="534" customFormat="1" ht="10.8">
      <c r="A42" s="535" t="s">
        <v>1</v>
      </c>
      <c r="B42" s="536" t="s">
        <v>390</v>
      </c>
      <c r="C42" s="536">
        <v>39</v>
      </c>
      <c r="D42" s="537" t="s">
        <v>391</v>
      </c>
      <c r="E42" s="536" t="s">
        <v>3</v>
      </c>
      <c r="F42" s="538" t="s">
        <v>1700</v>
      </c>
      <c r="G42" s="135"/>
      <c r="H42" s="135"/>
      <c r="I42" s="135"/>
      <c r="J42" s="135"/>
      <c r="K42" s="135"/>
    </row>
    <row r="43" spans="1:11" s="540" customFormat="1" ht="10.8">
      <c r="A43" s="535" t="s">
        <v>1</v>
      </c>
      <c r="B43" s="536" t="s">
        <v>392</v>
      </c>
      <c r="C43" s="536">
        <v>40</v>
      </c>
      <c r="D43" s="537" t="s">
        <v>393</v>
      </c>
      <c r="E43" s="536" t="s">
        <v>3</v>
      </c>
      <c r="F43" s="538" t="s">
        <v>1700</v>
      </c>
      <c r="G43" s="135"/>
      <c r="H43" s="135"/>
      <c r="I43" s="135"/>
      <c r="J43" s="135"/>
      <c r="K43" s="135"/>
    </row>
    <row r="44" spans="1:11" s="540" customFormat="1" ht="10.8">
      <c r="A44" s="535" t="s">
        <v>1</v>
      </c>
      <c r="B44" s="536" t="s">
        <v>394</v>
      </c>
      <c r="C44" s="536">
        <v>41</v>
      </c>
      <c r="D44" s="537" t="s">
        <v>395</v>
      </c>
      <c r="E44" s="536" t="s">
        <v>3</v>
      </c>
      <c r="F44" s="538" t="s">
        <v>1700</v>
      </c>
      <c r="G44" s="135"/>
      <c r="H44" s="135"/>
      <c r="I44" s="135"/>
      <c r="J44" s="135"/>
      <c r="K44" s="135"/>
    </row>
    <row r="45" spans="1:11" s="541" customFormat="1" ht="10.8">
      <c r="A45" s="535" t="s">
        <v>1</v>
      </c>
      <c r="B45" s="536" t="s">
        <v>396</v>
      </c>
      <c r="C45" s="536">
        <v>42</v>
      </c>
      <c r="D45" s="537" t="s">
        <v>2</v>
      </c>
      <c r="E45" s="536" t="s">
        <v>3</v>
      </c>
      <c r="F45" s="538" t="s">
        <v>1700</v>
      </c>
      <c r="G45" s="135"/>
      <c r="H45" s="135"/>
      <c r="I45" s="135"/>
      <c r="J45" s="135"/>
      <c r="K45" s="135"/>
    </row>
    <row r="46" spans="1:11" s="534" customFormat="1" ht="10.8">
      <c r="A46" s="535" t="s">
        <v>1</v>
      </c>
      <c r="B46" s="536" t="s">
        <v>397</v>
      </c>
      <c r="C46" s="536">
        <v>43</v>
      </c>
      <c r="D46" s="537" t="s">
        <v>4</v>
      </c>
      <c r="E46" s="536" t="s">
        <v>3</v>
      </c>
      <c r="F46" s="538" t="s">
        <v>1700</v>
      </c>
      <c r="G46" s="135"/>
      <c r="H46" s="135"/>
      <c r="I46" s="135"/>
      <c r="J46" s="135"/>
      <c r="K46" s="135"/>
    </row>
    <row r="47" spans="1:11" s="534" customFormat="1" ht="10.8">
      <c r="A47" s="535" t="s">
        <v>1</v>
      </c>
      <c r="B47" s="536" t="s">
        <v>398</v>
      </c>
      <c r="C47" s="536">
        <v>44</v>
      </c>
      <c r="D47" s="537" t="s">
        <v>5</v>
      </c>
      <c r="E47" s="536" t="s">
        <v>6</v>
      </c>
      <c r="F47" s="538" t="s">
        <v>1700</v>
      </c>
      <c r="G47" s="135"/>
      <c r="H47" s="135"/>
      <c r="I47" s="135"/>
      <c r="J47" s="135"/>
      <c r="K47" s="135"/>
    </row>
    <row r="48" spans="1:11" s="534" customFormat="1" ht="10.8">
      <c r="A48" s="535" t="s">
        <v>1</v>
      </c>
      <c r="B48" s="536" t="s">
        <v>399</v>
      </c>
      <c r="C48" s="536">
        <v>45</v>
      </c>
      <c r="D48" s="537" t="s">
        <v>400</v>
      </c>
      <c r="E48" s="536" t="s">
        <v>3</v>
      </c>
      <c r="F48" s="538" t="s">
        <v>1700</v>
      </c>
      <c r="G48" s="135"/>
      <c r="H48" s="135"/>
      <c r="I48" s="135"/>
      <c r="J48" s="135"/>
      <c r="K48" s="135"/>
    </row>
    <row r="49" spans="1:11" s="534" customFormat="1" ht="10.8">
      <c r="A49" s="535" t="s">
        <v>1</v>
      </c>
      <c r="B49" s="536" t="s">
        <v>401</v>
      </c>
      <c r="C49" s="536">
        <v>46</v>
      </c>
      <c r="D49" s="537" t="s">
        <v>402</v>
      </c>
      <c r="E49" s="536" t="s">
        <v>6</v>
      </c>
      <c r="F49" s="538" t="s">
        <v>1700</v>
      </c>
      <c r="G49" s="135"/>
      <c r="H49" s="135"/>
      <c r="I49" s="135"/>
      <c r="J49" s="135"/>
      <c r="K49" s="135"/>
    </row>
    <row r="50" spans="1:11" s="534" customFormat="1" ht="10.8">
      <c r="A50" s="535" t="s">
        <v>1</v>
      </c>
      <c r="B50" s="536" t="s">
        <v>403</v>
      </c>
      <c r="C50" s="536">
        <v>47</v>
      </c>
      <c r="D50" s="537" t="s">
        <v>404</v>
      </c>
      <c r="E50" s="536" t="s">
        <v>3</v>
      </c>
      <c r="F50" s="538" t="s">
        <v>1700</v>
      </c>
      <c r="G50" s="135"/>
      <c r="H50" s="135"/>
      <c r="I50" s="135"/>
      <c r="J50" s="135"/>
      <c r="K50" s="135"/>
    </row>
    <row r="51" spans="1:11" s="534" customFormat="1" ht="10.8">
      <c r="A51" s="535" t="s">
        <v>1</v>
      </c>
      <c r="B51" s="536" t="s">
        <v>405</v>
      </c>
      <c r="C51" s="536">
        <v>48</v>
      </c>
      <c r="D51" s="537" t="s">
        <v>406</v>
      </c>
      <c r="E51" s="536" t="s">
        <v>3</v>
      </c>
      <c r="F51" s="538" t="s">
        <v>1700</v>
      </c>
      <c r="G51" s="135"/>
      <c r="H51" s="135"/>
      <c r="I51" s="135"/>
      <c r="J51" s="135"/>
      <c r="K51" s="135"/>
    </row>
    <row r="52" spans="1:11" s="534" customFormat="1" ht="10.8">
      <c r="A52" s="535" t="s">
        <v>1</v>
      </c>
      <c r="B52" s="536" t="s">
        <v>209</v>
      </c>
      <c r="C52" s="536">
        <v>49</v>
      </c>
      <c r="D52" s="537" t="s">
        <v>210</v>
      </c>
      <c r="E52" s="536" t="s">
        <v>6</v>
      </c>
      <c r="F52" s="538" t="s">
        <v>1700</v>
      </c>
      <c r="G52" s="135"/>
      <c r="H52" s="135"/>
      <c r="I52" s="135"/>
      <c r="J52" s="135"/>
      <c r="K52" s="135"/>
    </row>
    <row r="53" spans="1:11" s="534" customFormat="1" ht="10.8">
      <c r="A53" s="535" t="s">
        <v>1</v>
      </c>
      <c r="B53" s="536" t="s">
        <v>211</v>
      </c>
      <c r="C53" s="536">
        <v>50</v>
      </c>
      <c r="D53" s="537" t="s">
        <v>219</v>
      </c>
      <c r="E53" s="536" t="s">
        <v>3</v>
      </c>
      <c r="F53" s="538" t="s">
        <v>1700</v>
      </c>
      <c r="G53" s="135"/>
      <c r="H53" s="135"/>
      <c r="I53" s="135"/>
      <c r="J53" s="135"/>
      <c r="K53" s="135"/>
    </row>
    <row r="54" spans="1:11" s="534" customFormat="1" ht="10.8">
      <c r="A54" s="535" t="s">
        <v>1</v>
      </c>
      <c r="B54" s="536" t="s">
        <v>407</v>
      </c>
      <c r="C54" s="543">
        <v>51</v>
      </c>
      <c r="D54" s="537" t="s">
        <v>409</v>
      </c>
      <c r="E54" s="536" t="s">
        <v>410</v>
      </c>
      <c r="F54" s="538" t="s">
        <v>1700</v>
      </c>
      <c r="G54" s="135"/>
      <c r="H54" s="135"/>
      <c r="I54" s="135"/>
      <c r="J54" s="135"/>
      <c r="K54" s="135"/>
    </row>
    <row r="55" spans="1:11" s="534" customFormat="1" ht="10.8">
      <c r="A55" s="577" t="s">
        <v>411</v>
      </c>
      <c r="B55" s="539" t="s">
        <v>412</v>
      </c>
      <c r="C55" s="578">
        <v>52</v>
      </c>
      <c r="D55" s="579" t="s">
        <v>1397</v>
      </c>
      <c r="E55" s="578" t="s">
        <v>175</v>
      </c>
      <c r="F55" s="580" t="s">
        <v>1770</v>
      </c>
      <c r="G55" s="135"/>
      <c r="H55" s="135"/>
      <c r="I55" s="135"/>
      <c r="J55" s="135"/>
      <c r="K55" s="135"/>
    </row>
    <row r="56" spans="1:11" s="534" customFormat="1" ht="10.8">
      <c r="A56" s="535" t="s">
        <v>411</v>
      </c>
      <c r="B56" s="536" t="s">
        <v>414</v>
      </c>
      <c r="C56" s="536">
        <v>53</v>
      </c>
      <c r="D56" s="537" t="s">
        <v>415</v>
      </c>
      <c r="E56" s="536" t="s">
        <v>3</v>
      </c>
      <c r="F56" s="538" t="s">
        <v>1700</v>
      </c>
      <c r="G56" s="135"/>
      <c r="H56" s="135"/>
      <c r="I56" s="135"/>
      <c r="J56" s="135"/>
      <c r="K56" s="135"/>
    </row>
    <row r="57" spans="1:11" s="534" customFormat="1" ht="10.8">
      <c r="A57" s="535" t="s">
        <v>411</v>
      </c>
      <c r="B57" s="536" t="s">
        <v>9</v>
      </c>
      <c r="C57" s="536">
        <v>54</v>
      </c>
      <c r="D57" s="537" t="s">
        <v>416</v>
      </c>
      <c r="E57" s="536" t="s">
        <v>3</v>
      </c>
      <c r="F57" s="538" t="s">
        <v>1700</v>
      </c>
      <c r="G57" s="135"/>
      <c r="H57" s="135"/>
      <c r="I57" s="135"/>
      <c r="J57" s="135"/>
      <c r="K57" s="135"/>
    </row>
    <row r="58" spans="1:11" s="541" customFormat="1" ht="10.8">
      <c r="A58" s="535" t="s">
        <v>411</v>
      </c>
      <c r="B58" s="536" t="s">
        <v>10</v>
      </c>
      <c r="C58" s="536">
        <v>55</v>
      </c>
      <c r="D58" s="537" t="s">
        <v>417</v>
      </c>
      <c r="E58" s="536" t="s">
        <v>3</v>
      </c>
      <c r="F58" s="538" t="s">
        <v>1700</v>
      </c>
      <c r="G58" s="135"/>
      <c r="H58" s="135"/>
      <c r="I58" s="135"/>
      <c r="J58" s="135"/>
      <c r="K58" s="135"/>
    </row>
    <row r="59" spans="1:11" s="534" customFormat="1" ht="10.8">
      <c r="A59" s="535" t="s">
        <v>411</v>
      </c>
      <c r="B59" s="536" t="s">
        <v>11</v>
      </c>
      <c r="C59" s="536">
        <v>56</v>
      </c>
      <c r="D59" s="537" t="s">
        <v>418</v>
      </c>
      <c r="E59" s="536" t="s">
        <v>3</v>
      </c>
      <c r="F59" s="538" t="s">
        <v>1700</v>
      </c>
      <c r="G59" s="135"/>
      <c r="H59" s="135"/>
      <c r="I59" s="135"/>
      <c r="J59" s="135"/>
      <c r="K59" s="135"/>
    </row>
    <row r="60" spans="1:11" s="534" customFormat="1" ht="10.8">
      <c r="A60" s="577" t="s">
        <v>411</v>
      </c>
      <c r="B60" s="539" t="s">
        <v>1646</v>
      </c>
      <c r="C60" s="578">
        <v>57</v>
      </c>
      <c r="D60" s="579" t="s">
        <v>1056</v>
      </c>
      <c r="E60" s="578" t="s">
        <v>6</v>
      </c>
      <c r="F60" s="580" t="s">
        <v>1770</v>
      </c>
      <c r="G60" s="135"/>
      <c r="H60" s="135"/>
      <c r="I60" s="135"/>
      <c r="J60" s="135"/>
      <c r="K60" s="135"/>
    </row>
    <row r="61" spans="1:11" s="534" customFormat="1" ht="10.8">
      <c r="A61" s="535" t="s">
        <v>411</v>
      </c>
      <c r="B61" s="536" t="s">
        <v>421</v>
      </c>
      <c r="C61" s="536">
        <v>58</v>
      </c>
      <c r="D61" s="537" t="s">
        <v>422</v>
      </c>
      <c r="E61" s="536" t="s">
        <v>3</v>
      </c>
      <c r="F61" s="538" t="s">
        <v>1700</v>
      </c>
      <c r="G61" s="135"/>
      <c r="H61" s="135"/>
      <c r="I61" s="135"/>
      <c r="J61" s="135"/>
      <c r="K61" s="135"/>
    </row>
    <row r="62" spans="1:11" s="534" customFormat="1" ht="10.8">
      <c r="A62" s="535" t="s">
        <v>423</v>
      </c>
      <c r="B62" s="536" t="s">
        <v>12</v>
      </c>
      <c r="C62" s="536">
        <v>59</v>
      </c>
      <c r="D62" s="537" t="s">
        <v>424</v>
      </c>
      <c r="E62" s="536" t="s">
        <v>3</v>
      </c>
      <c r="F62" s="538" t="s">
        <v>1700</v>
      </c>
      <c r="G62" s="135"/>
      <c r="H62" s="135"/>
      <c r="I62" s="135"/>
      <c r="J62" s="135"/>
      <c r="K62" s="135"/>
    </row>
    <row r="63" spans="1:11" s="534" customFormat="1" ht="10.8">
      <c r="A63" s="535" t="s">
        <v>423</v>
      </c>
      <c r="B63" s="536" t="s">
        <v>13</v>
      </c>
      <c r="C63" s="536">
        <v>60</v>
      </c>
      <c r="D63" s="537" t="s">
        <v>425</v>
      </c>
      <c r="E63" s="536" t="s">
        <v>3</v>
      </c>
      <c r="F63" s="538" t="s">
        <v>1700</v>
      </c>
      <c r="G63" s="135"/>
      <c r="H63" s="135"/>
      <c r="I63" s="135"/>
      <c r="J63" s="135"/>
      <c r="K63" s="135"/>
    </row>
    <row r="64" spans="1:11" s="534" customFormat="1" ht="12" customHeight="1">
      <c r="A64" s="577" t="s">
        <v>423</v>
      </c>
      <c r="B64" s="578" t="s">
        <v>14</v>
      </c>
      <c r="C64" s="578">
        <v>61</v>
      </c>
      <c r="D64" s="579" t="s">
        <v>1398</v>
      </c>
      <c r="E64" s="578" t="s">
        <v>3</v>
      </c>
      <c r="F64" s="580" t="s">
        <v>1785</v>
      </c>
      <c r="G64" s="135"/>
      <c r="H64" s="135"/>
      <c r="I64" s="135"/>
      <c r="J64" s="135"/>
      <c r="K64" s="135"/>
    </row>
    <row r="65" spans="1:11" s="534" customFormat="1" ht="10.8">
      <c r="A65" s="535" t="s">
        <v>423</v>
      </c>
      <c r="B65" s="536" t="s">
        <v>15</v>
      </c>
      <c r="C65" s="536">
        <v>62</v>
      </c>
      <c r="D65" s="537" t="s">
        <v>427</v>
      </c>
      <c r="E65" s="536" t="s">
        <v>3</v>
      </c>
      <c r="F65" s="538" t="s">
        <v>1700</v>
      </c>
      <c r="G65" s="135"/>
      <c r="H65" s="135"/>
      <c r="I65" s="135"/>
      <c r="J65" s="135"/>
      <c r="K65" s="135"/>
    </row>
    <row r="66" spans="1:11" s="534" customFormat="1" ht="10.8">
      <c r="A66" s="535" t="s">
        <v>423</v>
      </c>
      <c r="B66" s="536" t="s">
        <v>16</v>
      </c>
      <c r="C66" s="536">
        <v>63</v>
      </c>
      <c r="D66" s="537" t="s">
        <v>428</v>
      </c>
      <c r="E66" s="536" t="s">
        <v>3</v>
      </c>
      <c r="F66" s="538" t="s">
        <v>1700</v>
      </c>
      <c r="G66" s="135"/>
      <c r="H66" s="135"/>
      <c r="I66" s="135"/>
      <c r="J66" s="135"/>
      <c r="K66" s="135"/>
    </row>
    <row r="67" spans="1:11" s="534" customFormat="1" ht="10.8">
      <c r="A67" s="577" t="s">
        <v>423</v>
      </c>
      <c r="B67" s="539" t="s">
        <v>429</v>
      </c>
      <c r="C67" s="578">
        <v>64</v>
      </c>
      <c r="D67" s="579" t="s">
        <v>1399</v>
      </c>
      <c r="E67" s="578" t="s">
        <v>3</v>
      </c>
      <c r="F67" s="580" t="s">
        <v>1770</v>
      </c>
      <c r="G67" s="135"/>
      <c r="H67" s="135"/>
      <c r="I67" s="135"/>
      <c r="J67" s="135"/>
      <c r="K67" s="135"/>
    </row>
    <row r="68" spans="1:11" s="534" customFormat="1" ht="10.8">
      <c r="A68" s="535" t="s">
        <v>423</v>
      </c>
      <c r="B68" s="536" t="s">
        <v>432</v>
      </c>
      <c r="C68" s="536">
        <v>65</v>
      </c>
      <c r="D68" s="537" t="s">
        <v>433</v>
      </c>
      <c r="E68" s="536" t="s">
        <v>3</v>
      </c>
      <c r="F68" s="538" t="s">
        <v>1700</v>
      </c>
      <c r="G68" s="135"/>
      <c r="H68" s="135"/>
      <c r="I68" s="135"/>
      <c r="J68" s="135"/>
      <c r="K68" s="135"/>
    </row>
    <row r="69" spans="1:11" s="534" customFormat="1" ht="10.8">
      <c r="A69" s="535" t="s">
        <v>423</v>
      </c>
      <c r="B69" s="536" t="s">
        <v>17</v>
      </c>
      <c r="C69" s="536">
        <v>66</v>
      </c>
      <c r="D69" s="537" t="s">
        <v>434</v>
      </c>
      <c r="E69" s="536" t="s">
        <v>3</v>
      </c>
      <c r="F69" s="538" t="s">
        <v>1700</v>
      </c>
      <c r="G69" s="135"/>
      <c r="H69" s="135"/>
      <c r="I69" s="135"/>
      <c r="J69" s="135"/>
      <c r="K69" s="135"/>
    </row>
    <row r="70" spans="1:11" s="534" customFormat="1" ht="10.8">
      <c r="A70" s="535" t="s">
        <v>423</v>
      </c>
      <c r="B70" s="536" t="s">
        <v>435</v>
      </c>
      <c r="C70" s="536">
        <v>67</v>
      </c>
      <c r="D70" s="537" t="s">
        <v>436</v>
      </c>
      <c r="E70" s="536" t="s">
        <v>3</v>
      </c>
      <c r="F70" s="538" t="s">
        <v>1700</v>
      </c>
      <c r="G70" s="135"/>
      <c r="H70" s="135"/>
      <c r="I70" s="135"/>
      <c r="J70" s="135"/>
      <c r="K70" s="135"/>
    </row>
    <row r="71" spans="1:11" s="534" customFormat="1" ht="10.8">
      <c r="A71" s="577" t="s">
        <v>21</v>
      </c>
      <c r="B71" s="539" t="s">
        <v>437</v>
      </c>
      <c r="C71" s="578">
        <v>68</v>
      </c>
      <c r="D71" s="579" t="s">
        <v>438</v>
      </c>
      <c r="E71" s="578" t="s">
        <v>410</v>
      </c>
      <c r="F71" s="580" t="s">
        <v>1770</v>
      </c>
      <c r="G71" s="135"/>
      <c r="H71" s="135"/>
      <c r="I71" s="135"/>
      <c r="J71" s="135"/>
      <c r="K71" s="135"/>
    </row>
    <row r="72" spans="1:11" s="534" customFormat="1" ht="10.8">
      <c r="A72" s="577" t="s">
        <v>21</v>
      </c>
      <c r="B72" s="539" t="s">
        <v>439</v>
      </c>
      <c r="C72" s="578">
        <v>69</v>
      </c>
      <c r="D72" s="579" t="s">
        <v>440</v>
      </c>
      <c r="E72" s="578" t="s">
        <v>410</v>
      </c>
      <c r="F72" s="580" t="s">
        <v>1770</v>
      </c>
      <c r="G72" s="135"/>
      <c r="H72" s="135"/>
      <c r="I72" s="135"/>
      <c r="J72" s="135"/>
      <c r="K72" s="135"/>
    </row>
    <row r="73" spans="1:11" s="534" customFormat="1" ht="10.8">
      <c r="A73" s="535" t="s">
        <v>21</v>
      </c>
      <c r="B73" s="536" t="s">
        <v>18</v>
      </c>
      <c r="C73" s="536">
        <v>70</v>
      </c>
      <c r="D73" s="537" t="s">
        <v>441</v>
      </c>
      <c r="E73" s="536" t="s">
        <v>410</v>
      </c>
      <c r="F73" s="538" t="s">
        <v>1700</v>
      </c>
      <c r="G73" s="135"/>
      <c r="H73" s="135"/>
      <c r="I73" s="135"/>
      <c r="J73" s="135"/>
      <c r="K73" s="135"/>
    </row>
    <row r="74" spans="1:11" s="534" customFormat="1" ht="10.8">
      <c r="A74" s="535" t="s">
        <v>21</v>
      </c>
      <c r="B74" s="536" t="s">
        <v>19</v>
      </c>
      <c r="C74" s="536">
        <v>71</v>
      </c>
      <c r="D74" s="537" t="s">
        <v>442</v>
      </c>
      <c r="E74" s="536" t="s">
        <v>410</v>
      </c>
      <c r="F74" s="538" t="s">
        <v>1700</v>
      </c>
      <c r="G74" s="135"/>
      <c r="H74" s="135"/>
      <c r="I74" s="135"/>
      <c r="J74" s="135"/>
      <c r="K74" s="135"/>
    </row>
    <row r="75" spans="1:11" s="534" customFormat="1" ht="10.8">
      <c r="A75" s="535" t="s">
        <v>21</v>
      </c>
      <c r="B75" s="536" t="s">
        <v>443</v>
      </c>
      <c r="C75" s="536">
        <v>72</v>
      </c>
      <c r="D75" s="537" t="s">
        <v>444</v>
      </c>
      <c r="E75" s="536" t="s">
        <v>410</v>
      </c>
      <c r="F75" s="538" t="s">
        <v>1700</v>
      </c>
      <c r="G75" s="135"/>
      <c r="H75" s="135"/>
      <c r="I75" s="135"/>
      <c r="J75" s="135"/>
      <c r="K75" s="135"/>
    </row>
    <row r="76" spans="1:11" s="534" customFormat="1" ht="12" customHeight="1">
      <c r="A76" s="535" t="s">
        <v>21</v>
      </c>
      <c r="B76" s="536" t="s">
        <v>20</v>
      </c>
      <c r="C76" s="536">
        <v>73</v>
      </c>
      <c r="D76" s="537" t="s">
        <v>445</v>
      </c>
      <c r="E76" s="536" t="s">
        <v>3</v>
      </c>
      <c r="F76" s="538" t="s">
        <v>1700</v>
      </c>
      <c r="G76" s="135"/>
      <c r="H76" s="135"/>
      <c r="I76" s="135"/>
      <c r="J76" s="135"/>
      <c r="K76" s="135"/>
    </row>
    <row r="77" spans="1:11" s="534" customFormat="1" ht="10.8">
      <c r="A77" s="535" t="s">
        <v>21</v>
      </c>
      <c r="B77" s="536" t="s">
        <v>446</v>
      </c>
      <c r="C77" s="536">
        <v>74</v>
      </c>
      <c r="D77" s="537" t="s">
        <v>447</v>
      </c>
      <c r="E77" s="536" t="s">
        <v>3</v>
      </c>
      <c r="F77" s="538" t="s">
        <v>1700</v>
      </c>
      <c r="G77" s="135"/>
      <c r="H77" s="135"/>
      <c r="I77" s="135"/>
      <c r="J77" s="135"/>
      <c r="K77" s="135"/>
    </row>
    <row r="78" spans="1:11" s="534" customFormat="1" ht="10.8">
      <c r="A78" s="535" t="s">
        <v>21</v>
      </c>
      <c r="B78" s="536" t="s">
        <v>448</v>
      </c>
      <c r="C78" s="536">
        <v>75</v>
      </c>
      <c r="D78" s="537" t="s">
        <v>449</v>
      </c>
      <c r="E78" s="536" t="s">
        <v>3</v>
      </c>
      <c r="F78" s="538" t="s">
        <v>1700</v>
      </c>
      <c r="G78" s="135"/>
      <c r="H78" s="135"/>
      <c r="I78" s="135"/>
      <c r="J78" s="135"/>
      <c r="K78" s="135"/>
    </row>
    <row r="79" spans="1:11" s="534" customFormat="1" ht="10.8">
      <c r="A79" s="535" t="s">
        <v>21</v>
      </c>
      <c r="B79" s="536" t="s">
        <v>450</v>
      </c>
      <c r="C79" s="536">
        <v>76</v>
      </c>
      <c r="D79" s="537" t="s">
        <v>451</v>
      </c>
      <c r="E79" s="536" t="s">
        <v>410</v>
      </c>
      <c r="F79" s="538" t="s">
        <v>1700</v>
      </c>
      <c r="G79" s="135"/>
      <c r="H79" s="135"/>
      <c r="I79" s="135"/>
      <c r="J79" s="135"/>
      <c r="K79" s="135"/>
    </row>
    <row r="80" spans="1:11" s="534" customFormat="1" ht="10.8">
      <c r="A80" s="535" t="s">
        <v>21</v>
      </c>
      <c r="B80" s="536" t="s">
        <v>452</v>
      </c>
      <c r="C80" s="536">
        <v>77</v>
      </c>
      <c r="D80" s="537" t="s">
        <v>453</v>
      </c>
      <c r="E80" s="536" t="s">
        <v>410</v>
      </c>
      <c r="F80" s="538" t="s">
        <v>1700</v>
      </c>
      <c r="G80" s="135"/>
      <c r="H80" s="135"/>
      <c r="I80" s="135"/>
      <c r="J80" s="135"/>
      <c r="K80" s="135"/>
    </row>
    <row r="81" spans="1:11" s="534" customFormat="1" ht="10.8">
      <c r="A81" s="535" t="s">
        <v>21</v>
      </c>
      <c r="B81" s="536" t="s">
        <v>454</v>
      </c>
      <c r="C81" s="536">
        <v>78</v>
      </c>
      <c r="D81" s="537" t="s">
        <v>455</v>
      </c>
      <c r="E81" s="536" t="s">
        <v>410</v>
      </c>
      <c r="F81" s="538" t="s">
        <v>1700</v>
      </c>
      <c r="G81" s="135"/>
      <c r="H81" s="135"/>
      <c r="I81" s="135"/>
      <c r="J81" s="135"/>
      <c r="K81" s="135"/>
    </row>
    <row r="82" spans="1:11" s="534" customFormat="1" ht="10.8">
      <c r="A82" s="535" t="s">
        <v>38</v>
      </c>
      <c r="B82" s="536" t="s">
        <v>22</v>
      </c>
      <c r="C82" s="536">
        <v>79</v>
      </c>
      <c r="D82" s="537" t="s">
        <v>456</v>
      </c>
      <c r="E82" s="536" t="s">
        <v>6</v>
      </c>
      <c r="F82" s="538" t="s">
        <v>1700</v>
      </c>
      <c r="G82" s="135"/>
      <c r="H82" s="135"/>
      <c r="I82" s="135"/>
      <c r="J82" s="135"/>
      <c r="K82" s="135"/>
    </row>
    <row r="83" spans="1:11" s="534" customFormat="1" ht="10.8">
      <c r="A83" s="535" t="s">
        <v>38</v>
      </c>
      <c r="B83" s="536" t="s">
        <v>23</v>
      </c>
      <c r="C83" s="536">
        <v>80</v>
      </c>
      <c r="D83" s="537" t="s">
        <v>457</v>
      </c>
      <c r="E83" s="536" t="s">
        <v>6</v>
      </c>
      <c r="F83" s="538" t="s">
        <v>1700</v>
      </c>
      <c r="G83" s="135"/>
      <c r="H83" s="135"/>
      <c r="I83" s="135"/>
      <c r="J83" s="135"/>
      <c r="K83" s="135"/>
    </row>
    <row r="84" spans="1:11" s="534" customFormat="1" ht="10.8">
      <c r="A84" s="577" t="s">
        <v>38</v>
      </c>
      <c r="B84" s="539" t="s">
        <v>24</v>
      </c>
      <c r="C84" s="578">
        <v>81</v>
      </c>
      <c r="D84" s="579" t="s">
        <v>1400</v>
      </c>
      <c r="E84" s="578" t="s">
        <v>3</v>
      </c>
      <c r="F84" s="580" t="s">
        <v>1770</v>
      </c>
      <c r="G84" s="135"/>
      <c r="H84" s="135"/>
      <c r="I84" s="135"/>
      <c r="J84" s="135"/>
      <c r="K84" s="135"/>
    </row>
    <row r="85" spans="1:11" s="534" customFormat="1" ht="10.8">
      <c r="A85" s="535" t="s">
        <v>38</v>
      </c>
      <c r="B85" s="536" t="s">
        <v>26</v>
      </c>
      <c r="C85" s="536">
        <v>82</v>
      </c>
      <c r="D85" s="537" t="s">
        <v>458</v>
      </c>
      <c r="E85" s="536" t="s">
        <v>3</v>
      </c>
      <c r="F85" s="538" t="s">
        <v>1700</v>
      </c>
      <c r="G85" s="135"/>
      <c r="H85" s="135"/>
      <c r="I85" s="135"/>
      <c r="J85" s="135"/>
      <c r="K85" s="135"/>
    </row>
    <row r="86" spans="1:11" s="534" customFormat="1" ht="10.8">
      <c r="A86" s="535" t="s">
        <v>38</v>
      </c>
      <c r="B86" s="536" t="s">
        <v>459</v>
      </c>
      <c r="C86" s="536">
        <v>83</v>
      </c>
      <c r="D86" s="537" t="s">
        <v>1649</v>
      </c>
      <c r="E86" s="536" t="s">
        <v>3</v>
      </c>
      <c r="F86" s="538" t="s">
        <v>1700</v>
      </c>
      <c r="G86" s="135"/>
      <c r="H86" s="135"/>
      <c r="I86" s="135"/>
      <c r="J86" s="135"/>
      <c r="K86" s="135"/>
    </row>
    <row r="87" spans="1:11" s="534" customFormat="1" ht="10.8">
      <c r="A87" s="535" t="s">
        <v>38</v>
      </c>
      <c r="B87" s="536" t="s">
        <v>27</v>
      </c>
      <c r="C87" s="536">
        <v>84</v>
      </c>
      <c r="D87" s="537" t="s">
        <v>461</v>
      </c>
      <c r="E87" s="536" t="s">
        <v>3</v>
      </c>
      <c r="F87" s="538" t="s">
        <v>1700</v>
      </c>
      <c r="G87" s="135"/>
      <c r="H87" s="135"/>
      <c r="I87" s="135"/>
      <c r="J87" s="135"/>
      <c r="K87" s="135"/>
    </row>
    <row r="88" spans="1:11" s="534" customFormat="1" ht="10.8">
      <c r="A88" s="535" t="s">
        <v>38</v>
      </c>
      <c r="B88" s="536" t="s">
        <v>462</v>
      </c>
      <c r="C88" s="536">
        <v>85</v>
      </c>
      <c r="D88" s="537" t="s">
        <v>463</v>
      </c>
      <c r="E88" s="536" t="s">
        <v>6</v>
      </c>
      <c r="F88" s="538" t="s">
        <v>1700</v>
      </c>
      <c r="G88" s="135"/>
      <c r="H88" s="135"/>
      <c r="I88" s="135"/>
      <c r="J88" s="135"/>
      <c r="K88" s="135"/>
    </row>
    <row r="89" spans="1:11" s="534" customFormat="1" ht="10.8">
      <c r="A89" s="535" t="s">
        <v>38</v>
      </c>
      <c r="B89" s="536" t="s">
        <v>28</v>
      </c>
      <c r="C89" s="536">
        <v>86</v>
      </c>
      <c r="D89" s="537" t="s">
        <v>464</v>
      </c>
      <c r="E89" s="536" t="s">
        <v>3</v>
      </c>
      <c r="F89" s="538" t="s">
        <v>1700</v>
      </c>
      <c r="G89" s="135"/>
      <c r="H89" s="135"/>
      <c r="I89" s="135"/>
      <c r="J89" s="135"/>
      <c r="K89" s="135"/>
    </row>
    <row r="90" spans="1:11" s="534" customFormat="1" ht="10.8">
      <c r="A90" s="567" t="s">
        <v>38</v>
      </c>
      <c r="B90" s="564" t="s">
        <v>29</v>
      </c>
      <c r="C90" s="564">
        <v>86</v>
      </c>
      <c r="D90" s="563" t="s">
        <v>465</v>
      </c>
      <c r="E90" s="564" t="s">
        <v>3</v>
      </c>
      <c r="F90" s="565" t="s">
        <v>1700</v>
      </c>
      <c r="G90" s="562"/>
      <c r="H90" s="135"/>
      <c r="I90" s="135"/>
      <c r="J90" s="135"/>
      <c r="K90" s="135"/>
    </row>
    <row r="91" spans="1:11" s="534" customFormat="1" ht="10.8">
      <c r="A91" s="535" t="s">
        <v>38</v>
      </c>
      <c r="B91" s="536" t="s">
        <v>30</v>
      </c>
      <c r="C91" s="536">
        <v>88</v>
      </c>
      <c r="D91" s="537" t="s">
        <v>466</v>
      </c>
      <c r="E91" s="536" t="s">
        <v>3</v>
      </c>
      <c r="F91" s="538" t="s">
        <v>1700</v>
      </c>
      <c r="G91" s="135"/>
      <c r="H91" s="135"/>
      <c r="I91" s="135"/>
      <c r="J91" s="135"/>
      <c r="K91" s="135"/>
    </row>
    <row r="92" spans="1:11" s="534" customFormat="1" ht="10.8">
      <c r="A92" s="535" t="s">
        <v>38</v>
      </c>
      <c r="B92" s="536" t="s">
        <v>467</v>
      </c>
      <c r="C92" s="536">
        <v>89</v>
      </c>
      <c r="D92" s="537" t="s">
        <v>468</v>
      </c>
      <c r="E92" s="536" t="s">
        <v>3</v>
      </c>
      <c r="F92" s="538" t="s">
        <v>1700</v>
      </c>
      <c r="G92" s="135"/>
      <c r="H92" s="135"/>
      <c r="I92" s="135"/>
      <c r="J92" s="135"/>
      <c r="K92" s="135"/>
    </row>
    <row r="93" spans="1:11" s="534" customFormat="1" ht="10.8">
      <c r="A93" s="535" t="s">
        <v>38</v>
      </c>
      <c r="B93" s="536" t="s">
        <v>31</v>
      </c>
      <c r="C93" s="536">
        <v>90</v>
      </c>
      <c r="D93" s="537" t="s">
        <v>469</v>
      </c>
      <c r="E93" s="536" t="s">
        <v>6</v>
      </c>
      <c r="F93" s="538" t="s">
        <v>1700</v>
      </c>
      <c r="G93" s="135"/>
      <c r="H93" s="135"/>
      <c r="I93" s="135"/>
      <c r="J93" s="135"/>
      <c r="K93" s="135"/>
    </row>
    <row r="94" spans="1:11" s="534" customFormat="1" ht="10.8">
      <c r="A94" s="535" t="s">
        <v>38</v>
      </c>
      <c r="B94" s="536" t="s">
        <v>32</v>
      </c>
      <c r="C94" s="536">
        <v>91</v>
      </c>
      <c r="D94" s="537" t="s">
        <v>470</v>
      </c>
      <c r="E94" s="536" t="s">
        <v>3</v>
      </c>
      <c r="F94" s="538" t="s">
        <v>1700</v>
      </c>
      <c r="G94" s="135"/>
      <c r="H94" s="135"/>
      <c r="I94" s="135"/>
      <c r="J94" s="135"/>
      <c r="K94" s="135"/>
    </row>
    <row r="95" spans="1:11" s="534" customFormat="1" ht="10.8">
      <c r="A95" s="535" t="s">
        <v>38</v>
      </c>
      <c r="B95" s="536" t="s">
        <v>33</v>
      </c>
      <c r="C95" s="536">
        <v>92</v>
      </c>
      <c r="D95" s="537" t="s">
        <v>471</v>
      </c>
      <c r="E95" s="536" t="s">
        <v>3</v>
      </c>
      <c r="F95" s="538" t="s">
        <v>1700</v>
      </c>
      <c r="G95" s="135"/>
      <c r="H95" s="135"/>
      <c r="I95" s="135"/>
      <c r="J95" s="135"/>
      <c r="K95" s="135"/>
    </row>
    <row r="96" spans="1:11" s="534" customFormat="1" ht="10.8">
      <c r="A96" s="577" t="s">
        <v>38</v>
      </c>
      <c r="B96" s="539" t="s">
        <v>34</v>
      </c>
      <c r="C96" s="578">
        <v>93</v>
      </c>
      <c r="D96" s="579" t="s">
        <v>1401</v>
      </c>
      <c r="E96" s="578" t="s">
        <v>3</v>
      </c>
      <c r="F96" s="580" t="s">
        <v>1770</v>
      </c>
      <c r="G96" s="135"/>
      <c r="H96" s="135"/>
      <c r="I96" s="135"/>
      <c r="J96" s="135"/>
      <c r="K96" s="135"/>
    </row>
    <row r="97" spans="1:11" s="534" customFormat="1" ht="10.8">
      <c r="A97" s="535" t="s">
        <v>38</v>
      </c>
      <c r="B97" s="536" t="s">
        <v>35</v>
      </c>
      <c r="C97" s="536">
        <v>94</v>
      </c>
      <c r="D97" s="537" t="s">
        <v>473</v>
      </c>
      <c r="E97" s="536" t="s">
        <v>3</v>
      </c>
      <c r="F97" s="538" t="s">
        <v>1700</v>
      </c>
      <c r="G97" s="135"/>
      <c r="H97" s="135"/>
      <c r="I97" s="135"/>
      <c r="J97" s="135"/>
      <c r="K97" s="135"/>
    </row>
    <row r="98" spans="1:11" s="534" customFormat="1" ht="10.8">
      <c r="A98" s="535" t="s">
        <v>38</v>
      </c>
      <c r="B98" s="536" t="s">
        <v>36</v>
      </c>
      <c r="C98" s="536">
        <v>95</v>
      </c>
      <c r="D98" s="537" t="s">
        <v>474</v>
      </c>
      <c r="E98" s="536" t="s">
        <v>3</v>
      </c>
      <c r="F98" s="538" t="s">
        <v>1700</v>
      </c>
      <c r="G98" s="135"/>
      <c r="H98" s="135"/>
      <c r="I98" s="135"/>
      <c r="J98" s="135"/>
      <c r="K98" s="135"/>
    </row>
    <row r="99" spans="1:11" s="534" customFormat="1" ht="10.8">
      <c r="A99" s="535" t="s">
        <v>38</v>
      </c>
      <c r="B99" s="536" t="s">
        <v>475</v>
      </c>
      <c r="C99" s="536">
        <v>96</v>
      </c>
      <c r="D99" s="537" t="s">
        <v>476</v>
      </c>
      <c r="E99" s="536" t="s">
        <v>3</v>
      </c>
      <c r="F99" s="538" t="s">
        <v>1700</v>
      </c>
      <c r="G99" s="135"/>
      <c r="H99" s="135"/>
      <c r="I99" s="135"/>
      <c r="J99" s="135"/>
      <c r="K99" s="135"/>
    </row>
    <row r="100" spans="1:11" s="534" customFormat="1" ht="10.8">
      <c r="A100" s="535" t="s">
        <v>38</v>
      </c>
      <c r="B100" s="536" t="s">
        <v>477</v>
      </c>
      <c r="C100" s="536">
        <v>97</v>
      </c>
      <c r="D100" s="537" t="s">
        <v>478</v>
      </c>
      <c r="E100" s="536" t="s">
        <v>3</v>
      </c>
      <c r="F100" s="538" t="s">
        <v>1700</v>
      </c>
      <c r="G100" s="135"/>
      <c r="H100" s="135"/>
      <c r="I100" s="135"/>
      <c r="J100" s="135"/>
      <c r="K100" s="135"/>
    </row>
    <row r="101" spans="1:11" s="534" customFormat="1" ht="10.8">
      <c r="A101" s="535" t="s">
        <v>38</v>
      </c>
      <c r="B101" s="536" t="s">
        <v>37</v>
      </c>
      <c r="C101" s="536">
        <v>98</v>
      </c>
      <c r="D101" s="537" t="s">
        <v>479</v>
      </c>
      <c r="E101" s="536" t="s">
        <v>6</v>
      </c>
      <c r="F101" s="538" t="s">
        <v>1700</v>
      </c>
      <c r="G101" s="135"/>
      <c r="H101" s="135"/>
      <c r="I101" s="135"/>
      <c r="J101" s="135"/>
      <c r="K101" s="135"/>
    </row>
    <row r="102" spans="1:11" s="534" customFormat="1" ht="10.8">
      <c r="A102" s="535" t="s">
        <v>38</v>
      </c>
      <c r="B102" s="536" t="s">
        <v>480</v>
      </c>
      <c r="C102" s="536">
        <v>99</v>
      </c>
      <c r="D102" s="537" t="s">
        <v>481</v>
      </c>
      <c r="E102" s="536" t="s">
        <v>3</v>
      </c>
      <c r="F102" s="538" t="s">
        <v>1700</v>
      </c>
      <c r="G102" s="135"/>
      <c r="H102" s="135"/>
      <c r="I102" s="135"/>
      <c r="J102" s="135"/>
      <c r="K102" s="135"/>
    </row>
    <row r="103" spans="1:11" s="534" customFormat="1" ht="10.8">
      <c r="A103" s="535" t="s">
        <v>38</v>
      </c>
      <c r="B103" s="536" t="s">
        <v>39</v>
      </c>
      <c r="C103" s="536">
        <v>100</v>
      </c>
      <c r="D103" s="537" t="s">
        <v>40</v>
      </c>
      <c r="E103" s="536" t="s">
        <v>410</v>
      </c>
      <c r="F103" s="538" t="s">
        <v>1700</v>
      </c>
      <c r="G103" s="135"/>
      <c r="H103" s="135"/>
      <c r="I103" s="135"/>
      <c r="J103" s="135"/>
      <c r="K103" s="135"/>
    </row>
    <row r="104" spans="1:11" s="534" customFormat="1" ht="10.8">
      <c r="A104" s="535" t="s">
        <v>38</v>
      </c>
      <c r="B104" s="536" t="s">
        <v>482</v>
      </c>
      <c r="C104" s="536">
        <v>101</v>
      </c>
      <c r="D104" s="537" t="s">
        <v>483</v>
      </c>
      <c r="E104" s="536" t="s">
        <v>3</v>
      </c>
      <c r="F104" s="538" t="s">
        <v>1700</v>
      </c>
      <c r="G104" s="135"/>
      <c r="H104" s="135"/>
      <c r="I104" s="135"/>
      <c r="J104" s="135"/>
      <c r="K104" s="135"/>
    </row>
    <row r="105" spans="1:11" s="534" customFormat="1" ht="10.8">
      <c r="A105" s="535" t="s">
        <v>38</v>
      </c>
      <c r="B105" s="536" t="s">
        <v>484</v>
      </c>
      <c r="C105" s="536">
        <v>102</v>
      </c>
      <c r="D105" s="537" t="s">
        <v>485</v>
      </c>
      <c r="E105" s="536" t="s">
        <v>6</v>
      </c>
      <c r="F105" s="538" t="s">
        <v>1700</v>
      </c>
      <c r="G105" s="135"/>
      <c r="H105" s="135"/>
      <c r="I105" s="135"/>
      <c r="J105" s="135"/>
      <c r="K105" s="135"/>
    </row>
    <row r="106" spans="1:11" s="534" customFormat="1" ht="10.8">
      <c r="A106" s="535" t="s">
        <v>38</v>
      </c>
      <c r="B106" s="536" t="s">
        <v>486</v>
      </c>
      <c r="C106" s="536">
        <v>103</v>
      </c>
      <c r="D106" s="537" t="s">
        <v>487</v>
      </c>
      <c r="E106" s="536" t="s">
        <v>3</v>
      </c>
      <c r="F106" s="538" t="s">
        <v>1700</v>
      </c>
      <c r="G106" s="135"/>
      <c r="H106" s="135"/>
      <c r="I106" s="135"/>
      <c r="J106" s="135"/>
      <c r="K106" s="135"/>
    </row>
    <row r="107" spans="1:11" s="534" customFormat="1" ht="10.8">
      <c r="A107" s="535" t="s">
        <v>38</v>
      </c>
      <c r="B107" s="536" t="s">
        <v>41</v>
      </c>
      <c r="C107" s="536">
        <v>104</v>
      </c>
      <c r="D107" s="537" t="s">
        <v>488</v>
      </c>
      <c r="E107" s="536" t="s">
        <v>3</v>
      </c>
      <c r="F107" s="538" t="s">
        <v>1700</v>
      </c>
      <c r="G107" s="135"/>
      <c r="H107" s="135"/>
      <c r="I107" s="135"/>
      <c r="J107" s="135"/>
      <c r="K107" s="135"/>
    </row>
    <row r="108" spans="1:11" s="534" customFormat="1" ht="10.8" customHeight="1">
      <c r="A108" s="577" t="s">
        <v>38</v>
      </c>
      <c r="B108" s="539" t="s">
        <v>489</v>
      </c>
      <c r="C108" s="578">
        <v>105</v>
      </c>
      <c r="D108" s="579" t="s">
        <v>1402</v>
      </c>
      <c r="E108" s="578" t="s">
        <v>3</v>
      </c>
      <c r="F108" s="580" t="s">
        <v>1770</v>
      </c>
      <c r="G108" s="135"/>
      <c r="H108" s="135"/>
      <c r="I108" s="135"/>
      <c r="J108" s="135"/>
      <c r="K108" s="135"/>
    </row>
    <row r="109" spans="1:11" s="534" customFormat="1" ht="10.8">
      <c r="A109" s="535" t="s">
        <v>38</v>
      </c>
      <c r="B109" s="536" t="s">
        <v>490</v>
      </c>
      <c r="C109" s="536">
        <v>106</v>
      </c>
      <c r="D109" s="537" t="s">
        <v>491</v>
      </c>
      <c r="E109" s="536" t="s">
        <v>6</v>
      </c>
      <c r="F109" s="538" t="s">
        <v>1700</v>
      </c>
      <c r="G109" s="135"/>
      <c r="H109" s="135"/>
      <c r="I109" s="135"/>
      <c r="J109" s="135"/>
      <c r="K109" s="135"/>
    </row>
    <row r="110" spans="1:11" s="534" customFormat="1" ht="10.8">
      <c r="A110" s="577" t="s">
        <v>38</v>
      </c>
      <c r="B110" s="539" t="s">
        <v>492</v>
      </c>
      <c r="C110" s="578">
        <v>107</v>
      </c>
      <c r="D110" s="579" t="s">
        <v>1403</v>
      </c>
      <c r="E110" s="578" t="s">
        <v>6</v>
      </c>
      <c r="F110" s="580" t="s">
        <v>1770</v>
      </c>
      <c r="G110" s="135"/>
      <c r="H110" s="135"/>
      <c r="I110" s="135"/>
      <c r="J110" s="135"/>
      <c r="K110" s="135"/>
    </row>
    <row r="111" spans="1:11" s="534" customFormat="1" ht="10.8">
      <c r="A111" s="535" t="s">
        <v>38</v>
      </c>
      <c r="B111" s="536" t="s">
        <v>494</v>
      </c>
      <c r="C111" s="536">
        <v>108</v>
      </c>
      <c r="D111" s="537" t="s">
        <v>495</v>
      </c>
      <c r="E111" s="536" t="s">
        <v>3</v>
      </c>
      <c r="F111" s="538" t="s">
        <v>1700</v>
      </c>
      <c r="G111" s="135"/>
      <c r="H111" s="135"/>
      <c r="I111" s="135"/>
      <c r="J111" s="135"/>
      <c r="K111" s="135"/>
    </row>
    <row r="112" spans="1:11" s="534" customFormat="1" ht="10.8">
      <c r="A112" s="535" t="s">
        <v>38</v>
      </c>
      <c r="B112" s="536" t="s">
        <v>496</v>
      </c>
      <c r="C112" s="536">
        <v>109</v>
      </c>
      <c r="D112" s="537" t="s">
        <v>497</v>
      </c>
      <c r="E112" s="536" t="s">
        <v>3</v>
      </c>
      <c r="F112" s="538" t="s">
        <v>1700</v>
      </c>
      <c r="G112" s="135"/>
      <c r="H112" s="135"/>
      <c r="I112" s="135"/>
      <c r="J112" s="135"/>
      <c r="K112" s="135"/>
    </row>
    <row r="113" spans="1:11" s="534" customFormat="1" ht="10.8">
      <c r="A113" s="535" t="s">
        <v>38</v>
      </c>
      <c r="B113" s="536" t="s">
        <v>498</v>
      </c>
      <c r="C113" s="536">
        <v>110</v>
      </c>
      <c r="D113" s="537" t="s">
        <v>499</v>
      </c>
      <c r="E113" s="536" t="s">
        <v>410</v>
      </c>
      <c r="F113" s="538" t="s">
        <v>1700</v>
      </c>
      <c r="G113" s="135"/>
      <c r="H113" s="135"/>
      <c r="I113" s="135"/>
      <c r="J113" s="135"/>
      <c r="K113" s="135"/>
    </row>
    <row r="114" spans="1:11" s="534" customFormat="1" ht="10.8">
      <c r="A114" s="535" t="s">
        <v>500</v>
      </c>
      <c r="B114" s="536" t="s">
        <v>42</v>
      </c>
      <c r="C114" s="536">
        <v>111</v>
      </c>
      <c r="D114" s="537" t="s">
        <v>501</v>
      </c>
      <c r="E114" s="536" t="s">
        <v>3</v>
      </c>
      <c r="F114" s="538" t="s">
        <v>1700</v>
      </c>
      <c r="G114" s="135"/>
      <c r="H114" s="135"/>
      <c r="I114" s="135"/>
      <c r="J114" s="135"/>
      <c r="K114" s="135"/>
    </row>
    <row r="115" spans="1:11" s="534" customFormat="1" ht="10.8">
      <c r="A115" s="535" t="s">
        <v>500</v>
      </c>
      <c r="B115" s="536" t="s">
        <v>43</v>
      </c>
      <c r="C115" s="536">
        <v>112</v>
      </c>
      <c r="D115" s="537" t="s">
        <v>502</v>
      </c>
      <c r="E115" s="536" t="s">
        <v>3</v>
      </c>
      <c r="F115" s="538" t="s">
        <v>1700</v>
      </c>
      <c r="G115" s="135"/>
      <c r="H115" s="135"/>
      <c r="I115" s="135"/>
      <c r="J115" s="135"/>
      <c r="K115" s="135"/>
    </row>
    <row r="116" spans="1:11" s="534" customFormat="1" ht="10.8">
      <c r="A116" s="535" t="s">
        <v>500</v>
      </c>
      <c r="B116" s="536" t="s">
        <v>44</v>
      </c>
      <c r="C116" s="536">
        <v>113</v>
      </c>
      <c r="D116" s="537" t="s">
        <v>503</v>
      </c>
      <c r="E116" s="536" t="s">
        <v>3</v>
      </c>
      <c r="F116" s="538" t="s">
        <v>1700</v>
      </c>
      <c r="G116" s="135"/>
      <c r="H116" s="135"/>
      <c r="I116" s="135"/>
      <c r="J116" s="135"/>
      <c r="K116" s="135"/>
    </row>
    <row r="117" spans="1:11" s="534" customFormat="1" ht="10.8">
      <c r="A117" s="535" t="s">
        <v>504</v>
      </c>
      <c r="B117" s="536" t="s">
        <v>45</v>
      </c>
      <c r="C117" s="536">
        <v>114</v>
      </c>
      <c r="D117" s="537" t="s">
        <v>505</v>
      </c>
      <c r="E117" s="536" t="s">
        <v>3</v>
      </c>
      <c r="F117" s="538" t="s">
        <v>1700</v>
      </c>
      <c r="G117" s="135"/>
      <c r="H117" s="135"/>
      <c r="I117" s="135"/>
      <c r="J117" s="135"/>
      <c r="K117" s="135"/>
    </row>
    <row r="118" spans="1:11" s="534" customFormat="1" ht="10.8">
      <c r="A118" s="535" t="s">
        <v>504</v>
      </c>
      <c r="B118" s="536" t="s">
        <v>46</v>
      </c>
      <c r="C118" s="536">
        <v>115</v>
      </c>
      <c r="D118" s="537" t="s">
        <v>506</v>
      </c>
      <c r="E118" s="536" t="s">
        <v>3</v>
      </c>
      <c r="F118" s="538" t="s">
        <v>1700</v>
      </c>
      <c r="G118" s="135"/>
      <c r="H118" s="135"/>
      <c r="I118" s="135"/>
      <c r="J118" s="135"/>
      <c r="K118" s="135"/>
    </row>
    <row r="119" spans="1:11" s="534" customFormat="1" ht="10.8">
      <c r="A119" s="535" t="s">
        <v>504</v>
      </c>
      <c r="B119" s="536" t="s">
        <v>47</v>
      </c>
      <c r="C119" s="536">
        <v>116</v>
      </c>
      <c r="D119" s="537" t="s">
        <v>507</v>
      </c>
      <c r="E119" s="536" t="s">
        <v>3</v>
      </c>
      <c r="F119" s="538" t="s">
        <v>1700</v>
      </c>
      <c r="G119" s="135"/>
      <c r="H119" s="135"/>
      <c r="I119" s="135"/>
      <c r="J119" s="135"/>
      <c r="K119" s="135"/>
    </row>
    <row r="120" spans="1:11" s="534" customFormat="1" ht="10.8">
      <c r="A120" s="577" t="s">
        <v>508</v>
      </c>
      <c r="B120" s="539" t="s">
        <v>48</v>
      </c>
      <c r="C120" s="578">
        <v>117</v>
      </c>
      <c r="D120" s="579" t="s">
        <v>509</v>
      </c>
      <c r="E120" s="578" t="s">
        <v>3</v>
      </c>
      <c r="F120" s="580" t="s">
        <v>1770</v>
      </c>
      <c r="G120" s="135"/>
      <c r="H120" s="135"/>
      <c r="I120" s="135"/>
      <c r="J120" s="135"/>
      <c r="K120" s="135"/>
    </row>
    <row r="121" spans="1:11" s="534" customFormat="1" ht="10.8">
      <c r="A121" s="577" t="s">
        <v>508</v>
      </c>
      <c r="B121" s="539" t="s">
        <v>49</v>
      </c>
      <c r="C121" s="578">
        <v>118</v>
      </c>
      <c r="D121" s="579" t="s">
        <v>510</v>
      </c>
      <c r="E121" s="578" t="s">
        <v>3</v>
      </c>
      <c r="F121" s="580" t="s">
        <v>1770</v>
      </c>
      <c r="G121" s="135"/>
      <c r="H121" s="135"/>
      <c r="I121" s="135"/>
      <c r="J121" s="135"/>
      <c r="K121" s="135"/>
    </row>
    <row r="122" spans="1:11" s="534" customFormat="1" ht="10.8">
      <c r="A122" s="577" t="s">
        <v>508</v>
      </c>
      <c r="B122" s="539" t="s">
        <v>50</v>
      </c>
      <c r="C122" s="578">
        <v>119</v>
      </c>
      <c r="D122" s="579" t="s">
        <v>511</v>
      </c>
      <c r="E122" s="578" t="s">
        <v>3</v>
      </c>
      <c r="F122" s="580" t="s">
        <v>1770</v>
      </c>
      <c r="G122" s="135"/>
      <c r="H122" s="135"/>
      <c r="I122" s="135"/>
      <c r="J122" s="135"/>
      <c r="K122" s="135"/>
    </row>
    <row r="123" spans="1:11" s="534" customFormat="1" ht="10.8">
      <c r="A123" s="577" t="s">
        <v>508</v>
      </c>
      <c r="B123" s="539" t="s">
        <v>512</v>
      </c>
      <c r="C123" s="578">
        <v>120</v>
      </c>
      <c r="D123" s="579" t="s">
        <v>513</v>
      </c>
      <c r="E123" s="578" t="s">
        <v>410</v>
      </c>
      <c r="F123" s="580" t="s">
        <v>1770</v>
      </c>
      <c r="G123" s="135"/>
      <c r="H123" s="135"/>
      <c r="I123" s="135"/>
      <c r="J123" s="135"/>
      <c r="K123" s="135"/>
    </row>
    <row r="124" spans="1:11" s="534" customFormat="1" ht="10.8">
      <c r="A124" s="535" t="s">
        <v>508</v>
      </c>
      <c r="B124" s="536" t="s">
        <v>514</v>
      </c>
      <c r="C124" s="536">
        <v>121</v>
      </c>
      <c r="D124" s="537" t="s">
        <v>515</v>
      </c>
      <c r="E124" s="536" t="s">
        <v>3</v>
      </c>
      <c r="F124" s="538" t="s">
        <v>1700</v>
      </c>
      <c r="G124" s="135"/>
      <c r="H124" s="135"/>
      <c r="I124" s="135"/>
      <c r="J124" s="135"/>
      <c r="K124" s="135"/>
    </row>
    <row r="125" spans="1:11" s="534" customFormat="1" ht="10.8">
      <c r="A125" s="577" t="s">
        <v>508</v>
      </c>
      <c r="B125" s="539" t="s">
        <v>516</v>
      </c>
      <c r="C125" s="578">
        <v>122</v>
      </c>
      <c r="D125" s="579" t="s">
        <v>517</v>
      </c>
      <c r="E125" s="578" t="s">
        <v>3</v>
      </c>
      <c r="F125" s="580" t="s">
        <v>1770</v>
      </c>
      <c r="G125" s="135"/>
      <c r="H125" s="135"/>
      <c r="I125" s="135"/>
      <c r="J125" s="135"/>
      <c r="K125" s="135"/>
    </row>
    <row r="126" spans="1:11" s="534" customFormat="1" ht="10.8">
      <c r="A126" s="577" t="s">
        <v>508</v>
      </c>
      <c r="B126" s="539" t="s">
        <v>518</v>
      </c>
      <c r="C126" s="578">
        <v>123</v>
      </c>
      <c r="D126" s="579" t="s">
        <v>519</v>
      </c>
      <c r="E126" s="578" t="s">
        <v>3</v>
      </c>
      <c r="F126" s="580" t="s">
        <v>1770</v>
      </c>
      <c r="G126" s="135"/>
      <c r="H126" s="135"/>
      <c r="I126" s="135"/>
      <c r="J126" s="135"/>
      <c r="K126" s="135"/>
    </row>
    <row r="127" spans="1:11" s="534" customFormat="1" ht="10.8">
      <c r="A127" s="577" t="s">
        <v>508</v>
      </c>
      <c r="B127" s="539" t="s">
        <v>520</v>
      </c>
      <c r="C127" s="578">
        <v>124</v>
      </c>
      <c r="D127" s="579" t="s">
        <v>521</v>
      </c>
      <c r="E127" s="578" t="s">
        <v>3</v>
      </c>
      <c r="F127" s="580" t="s">
        <v>1770</v>
      </c>
      <c r="G127" s="135"/>
      <c r="H127" s="135"/>
      <c r="I127" s="135"/>
      <c r="J127" s="135"/>
      <c r="K127" s="135"/>
    </row>
    <row r="128" spans="1:11" s="534" customFormat="1" ht="10.8">
      <c r="A128" s="535" t="s">
        <v>245</v>
      </c>
      <c r="B128" s="536" t="s">
        <v>51</v>
      </c>
      <c r="C128" s="536">
        <v>125</v>
      </c>
      <c r="D128" s="537" t="s">
        <v>522</v>
      </c>
      <c r="E128" s="536" t="s">
        <v>3</v>
      </c>
      <c r="F128" s="538" t="s">
        <v>1773</v>
      </c>
      <c r="G128" s="135"/>
      <c r="H128" s="135"/>
      <c r="I128" s="135"/>
      <c r="J128" s="135"/>
      <c r="K128" s="135"/>
    </row>
    <row r="129" spans="1:12" s="534" customFormat="1" ht="10.8">
      <c r="A129" s="535" t="s">
        <v>245</v>
      </c>
      <c r="B129" s="536" t="s">
        <v>52</v>
      </c>
      <c r="C129" s="536">
        <v>126</v>
      </c>
      <c r="D129" s="537" t="s">
        <v>523</v>
      </c>
      <c r="E129" s="536" t="s">
        <v>3</v>
      </c>
      <c r="F129" s="538" t="s">
        <v>1779</v>
      </c>
      <c r="G129" s="135"/>
      <c r="H129" s="135"/>
      <c r="I129" s="135"/>
      <c r="J129" s="135"/>
      <c r="K129" s="135"/>
    </row>
    <row r="130" spans="1:12" s="534" customFormat="1" ht="10.8">
      <c r="A130" s="535" t="s">
        <v>245</v>
      </c>
      <c r="B130" s="536" t="s">
        <v>524</v>
      </c>
      <c r="C130" s="536">
        <v>127</v>
      </c>
      <c r="D130" s="537" t="s">
        <v>525</v>
      </c>
      <c r="E130" s="536" t="s">
        <v>6</v>
      </c>
      <c r="F130" s="538" t="s">
        <v>1769</v>
      </c>
      <c r="G130" s="135"/>
      <c r="H130" s="135"/>
      <c r="I130" s="135"/>
      <c r="J130" s="135"/>
      <c r="K130" s="135"/>
    </row>
    <row r="131" spans="1:12" s="534" customFormat="1" ht="10.8">
      <c r="A131" s="535" t="s">
        <v>245</v>
      </c>
      <c r="B131" s="536" t="s">
        <v>53</v>
      </c>
      <c r="C131" s="536">
        <v>128</v>
      </c>
      <c r="D131" s="537" t="s">
        <v>526</v>
      </c>
      <c r="E131" s="536" t="s">
        <v>3</v>
      </c>
      <c r="F131" s="538" t="s">
        <v>1765</v>
      </c>
      <c r="G131" s="135"/>
      <c r="H131" s="135"/>
      <c r="I131" s="135"/>
      <c r="J131" s="135"/>
      <c r="K131" s="135"/>
    </row>
    <row r="132" spans="1:12" s="534" customFormat="1" ht="10.8">
      <c r="A132" s="535" t="s">
        <v>245</v>
      </c>
      <c r="B132" s="536" t="s">
        <v>246</v>
      </c>
      <c r="C132" s="536">
        <v>129</v>
      </c>
      <c r="D132" s="537" t="s">
        <v>247</v>
      </c>
      <c r="E132" s="536" t="s">
        <v>3</v>
      </c>
      <c r="F132" s="538" t="s">
        <v>1775</v>
      </c>
      <c r="G132" s="135"/>
      <c r="H132" s="135"/>
      <c r="I132" s="135"/>
      <c r="J132" s="135"/>
      <c r="K132" s="135"/>
    </row>
    <row r="133" spans="1:12" s="534" customFormat="1" ht="10.8">
      <c r="A133" s="535" t="s">
        <v>527</v>
      </c>
      <c r="B133" s="536" t="s">
        <v>528</v>
      </c>
      <c r="C133" s="536">
        <v>130</v>
      </c>
      <c r="D133" s="537" t="s">
        <v>529</v>
      </c>
      <c r="E133" s="536" t="s">
        <v>530</v>
      </c>
      <c r="F133" s="538" t="s">
        <v>1777</v>
      </c>
      <c r="G133" s="135"/>
      <c r="H133" s="136"/>
      <c r="I133" s="136"/>
      <c r="J133" s="136"/>
      <c r="K133" s="136"/>
    </row>
    <row r="134" spans="1:12" s="534" customFormat="1" ht="10.8">
      <c r="A134" s="535" t="s">
        <v>527</v>
      </c>
      <c r="B134" s="536" t="s">
        <v>531</v>
      </c>
      <c r="C134" s="536">
        <v>131</v>
      </c>
      <c r="D134" s="537" t="s">
        <v>532</v>
      </c>
      <c r="E134" s="536" t="s">
        <v>533</v>
      </c>
      <c r="F134" s="538" t="s">
        <v>1776</v>
      </c>
      <c r="G134" s="135"/>
      <c r="H134" s="136"/>
      <c r="I134" s="136"/>
      <c r="J134" s="136"/>
      <c r="K134" s="136"/>
    </row>
    <row r="135" spans="1:12" s="534" customFormat="1" ht="10.8">
      <c r="A135" s="535" t="s">
        <v>527</v>
      </c>
      <c r="B135" s="536" t="s">
        <v>534</v>
      </c>
      <c r="C135" s="536">
        <v>132</v>
      </c>
      <c r="D135" s="537" t="s">
        <v>535</v>
      </c>
      <c r="E135" s="536" t="s">
        <v>533</v>
      </c>
      <c r="F135" s="538" t="s">
        <v>1776</v>
      </c>
      <c r="G135" s="135"/>
      <c r="H135" s="136"/>
      <c r="I135" s="136"/>
      <c r="J135" s="136"/>
      <c r="K135" s="136"/>
      <c r="L135" s="544"/>
    </row>
    <row r="136" spans="1:12" s="534" customFormat="1" ht="10.8">
      <c r="A136" s="535" t="s">
        <v>527</v>
      </c>
      <c r="B136" s="536" t="s">
        <v>536</v>
      </c>
      <c r="C136" s="536">
        <v>133</v>
      </c>
      <c r="D136" s="537" t="s">
        <v>537</v>
      </c>
      <c r="E136" s="536" t="s">
        <v>533</v>
      </c>
      <c r="F136" s="538" t="s">
        <v>1776</v>
      </c>
      <c r="G136" s="135"/>
      <c r="H136" s="136"/>
      <c r="I136" s="136"/>
      <c r="J136" s="136"/>
      <c r="K136" s="136"/>
      <c r="L136" s="544"/>
    </row>
    <row r="137" spans="1:12" s="534" customFormat="1" ht="10.8">
      <c r="A137" s="535" t="s">
        <v>527</v>
      </c>
      <c r="B137" s="536" t="s">
        <v>538</v>
      </c>
      <c r="C137" s="536">
        <v>134</v>
      </c>
      <c r="D137" s="537" t="s">
        <v>539</v>
      </c>
      <c r="E137" s="536" t="s">
        <v>530</v>
      </c>
      <c r="F137" s="538" t="s">
        <v>1776</v>
      </c>
      <c r="G137" s="135"/>
      <c r="H137" s="136"/>
      <c r="I137" s="136"/>
      <c r="J137" s="136"/>
      <c r="K137" s="136"/>
      <c r="L137" s="544"/>
    </row>
    <row r="138" spans="1:12" s="534" customFormat="1" ht="10.8">
      <c r="A138" s="535" t="s">
        <v>527</v>
      </c>
      <c r="B138" s="536" t="s">
        <v>540</v>
      </c>
      <c r="C138" s="536">
        <v>135</v>
      </c>
      <c r="D138" s="537" t="s">
        <v>541</v>
      </c>
      <c r="E138" s="536" t="s">
        <v>180</v>
      </c>
      <c r="F138" s="538" t="s">
        <v>1776</v>
      </c>
      <c r="G138" s="135"/>
      <c r="H138" s="136"/>
      <c r="I138" s="136"/>
      <c r="J138" s="136"/>
      <c r="K138" s="136"/>
      <c r="L138" s="544"/>
    </row>
    <row r="139" spans="1:12" s="534" customFormat="1" ht="10.8">
      <c r="A139" s="535" t="s">
        <v>527</v>
      </c>
      <c r="B139" s="536" t="s">
        <v>542</v>
      </c>
      <c r="C139" s="536">
        <v>136</v>
      </c>
      <c r="D139" s="537" t="s">
        <v>543</v>
      </c>
      <c r="E139" s="536" t="s">
        <v>175</v>
      </c>
      <c r="F139" s="538" t="s">
        <v>1776</v>
      </c>
      <c r="G139" s="135"/>
      <c r="H139" s="136"/>
      <c r="I139" s="136"/>
      <c r="J139" s="136"/>
      <c r="K139" s="136"/>
    </row>
    <row r="140" spans="1:12" s="534" customFormat="1" ht="11.4" thickBot="1">
      <c r="A140" s="545" t="s">
        <v>544</v>
      </c>
      <c r="B140" s="546" t="s">
        <v>545</v>
      </c>
      <c r="C140" s="546">
        <v>137</v>
      </c>
      <c r="D140" s="547" t="s">
        <v>546</v>
      </c>
      <c r="E140" s="546" t="s">
        <v>530</v>
      </c>
      <c r="F140" s="548" t="s">
        <v>1776</v>
      </c>
      <c r="G140" s="135"/>
      <c r="H140" s="136"/>
      <c r="I140" s="136"/>
      <c r="J140" s="136"/>
      <c r="K140" s="136"/>
    </row>
    <row r="141" spans="1:12" s="534" customFormat="1" ht="10.8">
      <c r="A141" s="549" t="s">
        <v>212</v>
      </c>
      <c r="B141" s="549"/>
      <c r="C141" s="549"/>
      <c r="D141" s="549"/>
      <c r="E141" s="549"/>
      <c r="F141" s="549"/>
      <c r="G141" s="550"/>
      <c r="H141" s="550"/>
      <c r="I141" s="550"/>
      <c r="J141" s="550"/>
      <c r="K141" s="550"/>
    </row>
    <row r="142" spans="1:12" s="534" customFormat="1" ht="10.8">
      <c r="A142" s="549" t="s">
        <v>213</v>
      </c>
      <c r="B142" s="549"/>
      <c r="C142" s="549"/>
      <c r="D142" s="549"/>
      <c r="E142" s="549"/>
      <c r="F142" s="549"/>
      <c r="G142" s="550"/>
      <c r="H142" s="550"/>
      <c r="I142" s="550"/>
      <c r="J142" s="550"/>
      <c r="K142" s="550"/>
    </row>
    <row r="143" spans="1:12" s="534" customFormat="1" ht="10.8">
      <c r="A143" s="549" t="s">
        <v>214</v>
      </c>
      <c r="B143" s="549"/>
      <c r="C143" s="549"/>
      <c r="D143" s="549"/>
      <c r="E143" s="549"/>
      <c r="F143" s="549"/>
      <c r="G143" s="550"/>
      <c r="H143" s="550"/>
      <c r="I143" s="550"/>
      <c r="J143" s="550"/>
      <c r="K143" s="550"/>
    </row>
    <row r="144" spans="1:12" s="534" customFormat="1" ht="10.8">
      <c r="A144" s="549" t="s">
        <v>214</v>
      </c>
      <c r="B144" s="549"/>
      <c r="C144" s="549"/>
      <c r="D144" s="549"/>
      <c r="E144" s="549"/>
      <c r="F144" s="549"/>
    </row>
    <row r="145"/>
  </sheetData>
  <mergeCells count="2">
    <mergeCell ref="A1:F1"/>
    <mergeCell ref="B3:D3"/>
  </mergeCells>
  <phoneticPr fontId="6" type="noConversion"/>
  <conditionalFormatting sqref="C21">
    <cfRule type="duplicateValues" dxfId="15" priority="19"/>
  </conditionalFormatting>
  <conditionalFormatting sqref="C25:C54 C4:C8 C10:C20 C22:C23 C71:C81 C114:C119 C124 C128:C132">
    <cfRule type="duplicateValues" dxfId="14" priority="16"/>
  </conditionalFormatting>
  <conditionalFormatting sqref="C133:C140">
    <cfRule type="duplicateValues" dxfId="13" priority="15"/>
  </conditionalFormatting>
  <conditionalFormatting sqref="C9">
    <cfRule type="duplicateValues" dxfId="12" priority="14"/>
  </conditionalFormatting>
  <conditionalFormatting sqref="C22:C24">
    <cfRule type="duplicateValues" dxfId="11" priority="13"/>
  </conditionalFormatting>
  <conditionalFormatting sqref="C55:C61">
    <cfRule type="duplicateValues" dxfId="10" priority="12"/>
  </conditionalFormatting>
  <conditionalFormatting sqref="C62:C63 C68:C70 C65:C66">
    <cfRule type="duplicateValues" dxfId="9" priority="11"/>
  </conditionalFormatting>
  <conditionalFormatting sqref="C67">
    <cfRule type="duplicateValues" dxfId="8" priority="10"/>
  </conditionalFormatting>
  <conditionalFormatting sqref="C82:C89 C91:C113">
    <cfRule type="duplicateValues" dxfId="7" priority="9"/>
  </conditionalFormatting>
  <conditionalFormatting sqref="C127 C122:C123 C120">
    <cfRule type="duplicateValues" dxfId="6" priority="8"/>
  </conditionalFormatting>
  <conditionalFormatting sqref="C121">
    <cfRule type="duplicateValues" dxfId="5" priority="7"/>
  </conditionalFormatting>
  <conditionalFormatting sqref="C125">
    <cfRule type="duplicateValues" dxfId="4" priority="6"/>
  </conditionalFormatting>
  <conditionalFormatting sqref="C126">
    <cfRule type="duplicateValues" dxfId="3" priority="5"/>
  </conditionalFormatting>
  <conditionalFormatting sqref="B60">
    <cfRule type="duplicateValues" dxfId="2" priority="3"/>
  </conditionalFormatting>
  <conditionalFormatting sqref="C90">
    <cfRule type="duplicateValues" dxfId="1" priority="2"/>
  </conditionalFormatting>
  <conditionalFormatting sqref="C64">
    <cfRule type="duplicateValues" dxfId="0" priority="1"/>
  </conditionalFormatting>
  <hyperlinks>
    <hyperlink ref="B120" location="AC285_현행!Print_Area" display="AC285" xr:uid="{C99F0136-8D01-49CD-9D8A-DE9396836FDD}"/>
    <hyperlink ref="B121" location="AC286_개정!Print_Area" display="AC286" xr:uid="{BCC7F732-2E12-4E75-B76E-9ED575C29A6B}"/>
    <hyperlink ref="B126" location="AC411_개정!Print_Area" display="AC411" xr:uid="{5FE2D1AC-44F8-4765-AFA9-FE1E007F196D}"/>
    <hyperlink ref="B125" location="AC410_개정!A1" display="AC410" xr:uid="{FAA30F99-798C-444C-B5AE-DCAB5BDF6E8C}"/>
    <hyperlink ref="B122" location="AC287_개정!A1" display="AC287" xr:uid="{B5015273-7BE5-4CD1-9DB5-F796CD763E44}"/>
    <hyperlink ref="B123" location="AC361_개정!A1" display="AC361" xr:uid="{FD37186A-8E73-4D58-9AD5-F16397FF2D8A}"/>
    <hyperlink ref="B127" location="AC412_개정!A1" display="AC412" xr:uid="{59C2FF08-8023-4DB3-847F-E375317FC06A}"/>
    <hyperlink ref="B71" location="AC236_개정안!Print_Area" display="AC236" xr:uid="{183A7EE1-3BFB-4C6A-8B70-BFB22E7EE6F5}"/>
    <hyperlink ref="B72" location="AC237_개정안!Print_Area" display="AC237" xr:uid="{81D82B22-C561-4D5E-81D1-D57EAE87DC88}"/>
    <hyperlink ref="B96" location="AC266_개정!Print_Area" display="AC266" xr:uid="{286DDE8F-D84E-493F-9DC7-BD6B2B4DE29A}"/>
    <hyperlink ref="B110" location="AC406_개정!A1" display="AC406" xr:uid="{93EBE55F-56EF-45C6-B107-13EAC2B9843C}"/>
    <hyperlink ref="B67" location="AC300_개정!A1" display="AC300" xr:uid="{C738E4E5-1050-4AB1-AF0D-6631850D5A4F}"/>
    <hyperlink ref="B60" location="AC425_개정안!A1" display="AC227" xr:uid="{0C929F0F-41A3-4E00-A2BF-6A68790E2EF7}"/>
    <hyperlink ref="B55" location="AC233_개정!Print_Area" display="AC223" xr:uid="{ACFE6687-E0A0-4DB9-BC9A-5FAB78BC64B8}"/>
    <hyperlink ref="B9" location="AC304_개정!Print_Area" display="AC304" xr:uid="{37D3F9FD-9B4A-436B-8801-743898A7AC08}"/>
    <hyperlink ref="B84" location="AC251_개정!Print_Area" display="AC251" xr:uid="{7F80CEA6-41C7-4EC5-9791-D3B14B09D441}"/>
    <hyperlink ref="B64" location="AC233_개정!Print_Area" display="AC233" xr:uid="{5D717CAB-B4D6-4703-971E-9117754897AD}"/>
    <hyperlink ref="B24" location="AC211_개정!A1" display="AC211" xr:uid="{F84B9533-4A3B-4EF7-BF9D-A9BC6263BD7A}"/>
    <hyperlink ref="B21" location="'AC437(신설)'!Print_Area" display="AC437" xr:uid="{E35DA2B9-A466-47DB-A6ED-F50A913F913B}"/>
    <hyperlink ref="B108" location="AC402_개정!Print_Area" display="AC402" xr:uid="{3236C314-4074-4A81-BBEC-63227002C186}"/>
    <hyperlink ref="B22" location="AC209_개정!Print_Area" display="AC209" xr:uid="{3A2A8F9D-496C-44EC-A88E-AC11AFA73145}"/>
    <hyperlink ref="B23" location="AC210_개정!Print_Area" display="AC210" xr:uid="{8F548999-782E-4EB3-80D0-4045C03B260C}"/>
  </hyperlinks>
  <pageMargins left="0.7" right="0.7" top="0.75" bottom="0.75" header="0.3" footer="0.3"/>
  <pageSetup paperSize="9" fitToHeight="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EA7545-0C1C-44FB-A38E-7BE55AFFCE07}">
  <sheetPr codeName="Sheet3">
    <tabColor rgb="FFFFFF00"/>
  </sheetPr>
  <dimension ref="A4:U56"/>
  <sheetViews>
    <sheetView showGridLines="0" view="pageBreakPreview" zoomScale="85" zoomScaleNormal="70" zoomScaleSheetLayoutView="85" workbookViewId="0">
      <selection activeCell="E5" sqref="E5"/>
    </sheetView>
  </sheetViews>
  <sheetFormatPr defaultColWidth="8.8984375" defaultRowHeight="17.399999999999999"/>
  <cols>
    <col min="1" max="1" width="3.59765625" style="39" bestFit="1" customWidth="1"/>
    <col min="2" max="2" width="8.8984375" style="39"/>
    <col min="3" max="3" width="15.09765625" style="38" customWidth="1"/>
    <col min="4" max="4" width="26.296875" style="39" bestFit="1" customWidth="1"/>
    <col min="5" max="6" width="16.69921875" style="39" customWidth="1"/>
    <col min="7" max="8" width="16.69921875" style="40" customWidth="1"/>
    <col min="9" max="9" width="16.3984375" style="39" customWidth="1"/>
    <col min="10" max="10" width="13.09765625" style="39" customWidth="1"/>
    <col min="11" max="12" width="8.8984375" style="39"/>
    <col min="13" max="13" width="5.69921875" style="39" customWidth="1"/>
    <col min="14" max="14" width="11.3984375" style="39" bestFit="1" customWidth="1"/>
    <col min="15" max="16384" width="8.8984375" style="39"/>
  </cols>
  <sheetData>
    <row r="4" spans="1:11">
      <c r="K4" s="532"/>
    </row>
    <row r="6" spans="1:11" ht="20.399999999999999">
      <c r="A6" s="16" t="s">
        <v>1787</v>
      </c>
      <c r="D6" s="16"/>
    </row>
    <row r="7" spans="1:11">
      <c r="D7" s="15"/>
    </row>
    <row r="8" spans="1:11">
      <c r="A8" s="17" t="s">
        <v>252</v>
      </c>
      <c r="D8" s="17"/>
    </row>
    <row r="9" spans="1:11">
      <c r="A9" s="658" t="s">
        <v>54</v>
      </c>
      <c r="B9" s="659"/>
      <c r="C9" s="659"/>
      <c r="D9" s="660"/>
      <c r="E9" s="414" t="s">
        <v>1511</v>
      </c>
      <c r="F9" s="416" t="s">
        <v>557</v>
      </c>
      <c r="G9" s="437" t="s">
        <v>695</v>
      </c>
      <c r="H9" s="437" t="s">
        <v>696</v>
      </c>
      <c r="I9" s="416" t="s">
        <v>558</v>
      </c>
      <c r="J9" s="416" t="s">
        <v>559</v>
      </c>
    </row>
    <row r="10" spans="1:11" ht="16.5" customHeight="1">
      <c r="A10" s="661"/>
      <c r="B10" s="662"/>
      <c r="C10" s="662"/>
      <c r="D10" s="663"/>
      <c r="E10" s="654" t="s">
        <v>1510</v>
      </c>
      <c r="F10" s="652" t="s">
        <v>1512</v>
      </c>
      <c r="G10" s="653"/>
      <c r="H10" s="654"/>
      <c r="I10" s="655" t="s">
        <v>307</v>
      </c>
      <c r="J10" s="655" t="s">
        <v>1513</v>
      </c>
    </row>
    <row r="11" spans="1:11">
      <c r="A11" s="664"/>
      <c r="B11" s="665"/>
      <c r="C11" s="665"/>
      <c r="D11" s="666"/>
      <c r="E11" s="657"/>
      <c r="F11" s="415" t="s">
        <v>581</v>
      </c>
      <c r="G11" s="414" t="s">
        <v>1515</v>
      </c>
      <c r="H11" s="414" t="s">
        <v>1514</v>
      </c>
      <c r="I11" s="656"/>
      <c r="J11" s="656"/>
    </row>
    <row r="12" spans="1:11" ht="15.75" customHeight="1">
      <c r="A12" s="407" t="s">
        <v>693</v>
      </c>
      <c r="B12" s="644" t="s">
        <v>300</v>
      </c>
      <c r="C12" s="649" t="s">
        <v>1503</v>
      </c>
      <c r="D12" s="417" t="s">
        <v>301</v>
      </c>
      <c r="E12" s="418"/>
      <c r="F12" s="418">
        <f>G12+H12</f>
        <v>0</v>
      </c>
      <c r="G12" s="419"/>
      <c r="H12" s="419"/>
      <c r="I12" s="418"/>
      <c r="J12" s="418">
        <f>E12+F12+I12</f>
        <v>0</v>
      </c>
    </row>
    <row r="13" spans="1:11">
      <c r="A13" s="420" t="s">
        <v>694</v>
      </c>
      <c r="B13" s="644"/>
      <c r="C13" s="650"/>
      <c r="D13" s="417" t="s">
        <v>302</v>
      </c>
      <c r="E13" s="418"/>
      <c r="F13" s="418">
        <f t="shared" ref="F13:F32" si="0">G13+H13</f>
        <v>0</v>
      </c>
      <c r="G13" s="419"/>
      <c r="H13" s="419"/>
      <c r="I13" s="418"/>
      <c r="J13" s="418">
        <f t="shared" ref="J13:J32" si="1">E13+F13+I13</f>
        <v>0</v>
      </c>
    </row>
    <row r="14" spans="1:11">
      <c r="A14" s="420" t="s">
        <v>752</v>
      </c>
      <c r="B14" s="644"/>
      <c r="C14" s="650"/>
      <c r="D14" s="417" t="s">
        <v>303</v>
      </c>
      <c r="E14" s="418"/>
      <c r="F14" s="418">
        <f t="shared" si="0"/>
        <v>0</v>
      </c>
      <c r="G14" s="419"/>
      <c r="H14" s="419"/>
      <c r="I14" s="418"/>
      <c r="J14" s="418">
        <f t="shared" si="1"/>
        <v>0</v>
      </c>
    </row>
    <row r="15" spans="1:11">
      <c r="A15" s="420" t="s">
        <v>753</v>
      </c>
      <c r="B15" s="644"/>
      <c r="C15" s="650"/>
      <c r="D15" s="417" t="s">
        <v>304</v>
      </c>
      <c r="E15" s="418"/>
      <c r="F15" s="418">
        <f t="shared" si="0"/>
        <v>0</v>
      </c>
      <c r="G15" s="419"/>
      <c r="H15" s="419"/>
      <c r="I15" s="418"/>
      <c r="J15" s="418">
        <f t="shared" si="1"/>
        <v>0</v>
      </c>
    </row>
    <row r="16" spans="1:11">
      <c r="A16" s="420" t="s">
        <v>556</v>
      </c>
      <c r="B16" s="645"/>
      <c r="C16" s="651"/>
      <c r="D16" s="417" t="s">
        <v>1500</v>
      </c>
      <c r="E16" s="420">
        <f>SUM(E12:E15)</f>
        <v>0</v>
      </c>
      <c r="F16" s="420">
        <f t="shared" ref="F16:J16" si="2">SUM(F12:F15)</f>
        <v>0</v>
      </c>
      <c r="G16" s="420">
        <f t="shared" si="2"/>
        <v>0</v>
      </c>
      <c r="H16" s="420">
        <f t="shared" si="2"/>
        <v>0</v>
      </c>
      <c r="I16" s="420">
        <f t="shared" si="2"/>
        <v>0</v>
      </c>
      <c r="J16" s="420">
        <f t="shared" si="2"/>
        <v>0</v>
      </c>
    </row>
    <row r="17" spans="1:21">
      <c r="A17" s="420" t="s">
        <v>557</v>
      </c>
      <c r="B17" s="644"/>
      <c r="C17" s="646" t="s">
        <v>1504</v>
      </c>
      <c r="D17" s="647"/>
      <c r="E17" s="418"/>
      <c r="F17" s="418">
        <f t="shared" si="0"/>
        <v>0</v>
      </c>
      <c r="G17" s="419"/>
      <c r="H17" s="419"/>
      <c r="I17" s="418"/>
      <c r="J17" s="418">
        <f t="shared" si="1"/>
        <v>0</v>
      </c>
    </row>
    <row r="18" spans="1:21">
      <c r="A18" s="420" t="s">
        <v>558</v>
      </c>
      <c r="B18" s="644"/>
      <c r="C18" s="646" t="s">
        <v>1505</v>
      </c>
      <c r="D18" s="647"/>
      <c r="E18" s="418"/>
      <c r="F18" s="418">
        <f t="shared" si="0"/>
        <v>0</v>
      </c>
      <c r="G18" s="419"/>
      <c r="H18" s="419"/>
      <c r="I18" s="418"/>
      <c r="J18" s="418">
        <f t="shared" si="1"/>
        <v>0</v>
      </c>
    </row>
    <row r="19" spans="1:21">
      <c r="A19" s="420" t="s">
        <v>559</v>
      </c>
      <c r="B19" s="644"/>
      <c r="C19" s="646" t="s">
        <v>1506</v>
      </c>
      <c r="D19" s="647"/>
      <c r="E19" s="418"/>
      <c r="F19" s="418">
        <f t="shared" si="0"/>
        <v>0</v>
      </c>
      <c r="G19" s="419"/>
      <c r="H19" s="419"/>
      <c r="I19" s="418"/>
      <c r="J19" s="418">
        <f t="shared" si="1"/>
        <v>0</v>
      </c>
    </row>
    <row r="20" spans="1:21">
      <c r="A20" s="420" t="s">
        <v>673</v>
      </c>
      <c r="B20" s="644"/>
      <c r="C20" s="648" t="s">
        <v>1501</v>
      </c>
      <c r="D20" s="418" t="s">
        <v>305</v>
      </c>
      <c r="E20" s="418"/>
      <c r="F20" s="418">
        <f t="shared" si="0"/>
        <v>0</v>
      </c>
      <c r="G20" s="419"/>
      <c r="H20" s="419"/>
      <c r="I20" s="418"/>
      <c r="J20" s="418">
        <f t="shared" si="1"/>
        <v>0</v>
      </c>
    </row>
    <row r="21" spans="1:21">
      <c r="A21" s="420" t="s">
        <v>1146</v>
      </c>
      <c r="B21" s="644"/>
      <c r="C21" s="648"/>
      <c r="D21" s="418" t="s">
        <v>306</v>
      </c>
      <c r="E21" s="418"/>
      <c r="F21" s="418">
        <f t="shared" si="0"/>
        <v>0</v>
      </c>
      <c r="G21" s="419"/>
      <c r="H21" s="419"/>
      <c r="I21" s="418"/>
      <c r="J21" s="418">
        <f t="shared" si="1"/>
        <v>0</v>
      </c>
    </row>
    <row r="22" spans="1:21">
      <c r="A22" s="420" t="s">
        <v>1324</v>
      </c>
      <c r="B22" s="644"/>
      <c r="C22" s="648"/>
      <c r="D22" s="418" t="s">
        <v>307</v>
      </c>
      <c r="E22" s="418"/>
      <c r="F22" s="418">
        <f t="shared" si="0"/>
        <v>0</v>
      </c>
      <c r="G22" s="419"/>
      <c r="H22" s="419"/>
      <c r="I22" s="418"/>
      <c r="J22" s="418">
        <f t="shared" si="1"/>
        <v>0</v>
      </c>
    </row>
    <row r="23" spans="1:21">
      <c r="A23" s="420" t="s">
        <v>561</v>
      </c>
      <c r="B23" s="644"/>
      <c r="C23" s="648"/>
      <c r="D23" s="418" t="s">
        <v>308</v>
      </c>
      <c r="E23" s="418"/>
      <c r="F23" s="418">
        <f t="shared" si="0"/>
        <v>0</v>
      </c>
      <c r="G23" s="419"/>
      <c r="H23" s="419"/>
      <c r="I23" s="418"/>
      <c r="J23" s="418">
        <f t="shared" si="1"/>
        <v>0</v>
      </c>
    </row>
    <row r="24" spans="1:21">
      <c r="A24" s="420" t="s">
        <v>674</v>
      </c>
      <c r="B24" s="644"/>
      <c r="C24" s="648" t="s">
        <v>1502</v>
      </c>
      <c r="D24" s="418" t="s">
        <v>309</v>
      </c>
      <c r="E24" s="418"/>
      <c r="F24" s="418">
        <f t="shared" si="0"/>
        <v>0</v>
      </c>
      <c r="G24" s="419"/>
      <c r="H24" s="419"/>
      <c r="I24" s="418"/>
      <c r="J24" s="418">
        <f t="shared" si="1"/>
        <v>0</v>
      </c>
      <c r="L24" s="39" t="s">
        <v>244</v>
      </c>
    </row>
    <row r="25" spans="1:21">
      <c r="A25" s="420" t="s">
        <v>1316</v>
      </c>
      <c r="B25" s="644"/>
      <c r="C25" s="648"/>
      <c r="D25" s="418" t="s">
        <v>310</v>
      </c>
      <c r="E25" s="418"/>
      <c r="F25" s="418">
        <f t="shared" si="0"/>
        <v>0</v>
      </c>
      <c r="G25" s="419"/>
      <c r="H25" s="419"/>
      <c r="I25" s="418"/>
      <c r="J25" s="418">
        <f t="shared" si="1"/>
        <v>0</v>
      </c>
    </row>
    <row r="26" spans="1:21">
      <c r="A26" s="420" t="s">
        <v>1317</v>
      </c>
      <c r="B26" s="644"/>
      <c r="C26" s="648"/>
      <c r="D26" s="418" t="s">
        <v>311</v>
      </c>
      <c r="E26" s="418"/>
      <c r="F26" s="418">
        <f t="shared" si="0"/>
        <v>0</v>
      </c>
      <c r="G26" s="419"/>
      <c r="H26" s="419"/>
      <c r="I26" s="418"/>
      <c r="J26" s="418">
        <f t="shared" si="1"/>
        <v>0</v>
      </c>
    </row>
    <row r="27" spans="1:21">
      <c r="A27" s="420" t="s">
        <v>560</v>
      </c>
      <c r="B27" s="644"/>
      <c r="C27" s="648"/>
      <c r="D27" s="418" t="s">
        <v>312</v>
      </c>
      <c r="E27" s="418"/>
      <c r="F27" s="418">
        <f t="shared" si="0"/>
        <v>0</v>
      </c>
      <c r="G27" s="419"/>
      <c r="H27" s="419"/>
      <c r="I27" s="418"/>
      <c r="J27" s="418">
        <f t="shared" si="1"/>
        <v>0</v>
      </c>
    </row>
    <row r="28" spans="1:21">
      <c r="A28" s="420" t="s">
        <v>170</v>
      </c>
      <c r="B28" s="644"/>
      <c r="C28" s="648" t="s">
        <v>313</v>
      </c>
      <c r="D28" s="648"/>
      <c r="E28" s="418">
        <f>E16+E17+E18+E19+E23+E27</f>
        <v>0</v>
      </c>
      <c r="F28" s="418">
        <f t="shared" ref="F28:J28" si="3">F16+F17+F18+F19+F23+F27</f>
        <v>0</v>
      </c>
      <c r="G28" s="418">
        <f t="shared" si="3"/>
        <v>0</v>
      </c>
      <c r="H28" s="418">
        <f t="shared" si="3"/>
        <v>0</v>
      </c>
      <c r="I28" s="418">
        <f t="shared" si="3"/>
        <v>0</v>
      </c>
      <c r="J28" s="418">
        <f t="shared" si="3"/>
        <v>0</v>
      </c>
      <c r="M28" s="434"/>
      <c r="N28" s="434"/>
      <c r="O28" s="434"/>
      <c r="P28" s="434"/>
      <c r="Q28" s="434"/>
      <c r="R28" s="434"/>
      <c r="S28" s="434"/>
      <c r="T28" s="434"/>
      <c r="U28" s="434"/>
    </row>
    <row r="29" spans="1:21">
      <c r="A29" s="420" t="s">
        <v>743</v>
      </c>
      <c r="B29" s="644" t="s">
        <v>314</v>
      </c>
      <c r="C29" s="648" t="s">
        <v>1696</v>
      </c>
      <c r="D29" s="648"/>
      <c r="E29" s="418"/>
      <c r="F29" s="418">
        <f t="shared" si="0"/>
        <v>0</v>
      </c>
      <c r="G29" s="419"/>
      <c r="H29" s="419"/>
      <c r="I29" s="418"/>
      <c r="J29" s="418">
        <f t="shared" si="1"/>
        <v>0</v>
      </c>
      <c r="M29" s="434"/>
      <c r="N29" s="434"/>
      <c r="O29" s="434"/>
      <c r="P29" s="434"/>
      <c r="Q29" s="434"/>
      <c r="R29" s="434"/>
      <c r="S29" s="434"/>
      <c r="T29" s="434"/>
      <c r="U29" s="434"/>
    </row>
    <row r="30" spans="1:21">
      <c r="A30" s="420" t="s">
        <v>775</v>
      </c>
      <c r="B30" s="644"/>
      <c r="C30" s="648" t="s">
        <v>1697</v>
      </c>
      <c r="D30" s="648"/>
      <c r="E30" s="418"/>
      <c r="F30" s="418">
        <f t="shared" si="0"/>
        <v>0</v>
      </c>
      <c r="G30" s="419"/>
      <c r="H30" s="419"/>
      <c r="I30" s="418"/>
      <c r="J30" s="418">
        <f t="shared" si="1"/>
        <v>0</v>
      </c>
      <c r="M30" s="434"/>
      <c r="N30" s="434"/>
      <c r="O30" s="434"/>
      <c r="P30" s="434"/>
      <c r="Q30" s="434"/>
      <c r="R30" s="434"/>
      <c r="S30" s="434"/>
      <c r="T30" s="434"/>
      <c r="U30" s="434"/>
    </row>
    <row r="31" spans="1:21">
      <c r="A31" s="420" t="s">
        <v>776</v>
      </c>
      <c r="B31" s="644"/>
      <c r="C31" s="648" t="s">
        <v>1698</v>
      </c>
      <c r="D31" s="648"/>
      <c r="E31" s="418"/>
      <c r="F31" s="418">
        <f t="shared" si="0"/>
        <v>0</v>
      </c>
      <c r="G31" s="419"/>
      <c r="H31" s="419"/>
      <c r="I31" s="418"/>
      <c r="J31" s="418">
        <f t="shared" si="1"/>
        <v>0</v>
      </c>
      <c r="M31" s="434"/>
      <c r="N31" s="434"/>
      <c r="O31" s="434"/>
      <c r="P31" s="434"/>
      <c r="Q31" s="434"/>
      <c r="R31" s="434"/>
      <c r="S31" s="434"/>
      <c r="T31" s="434"/>
      <c r="U31" s="434"/>
    </row>
    <row r="32" spans="1:21">
      <c r="A32" s="420" t="s">
        <v>845</v>
      </c>
      <c r="B32" s="644"/>
      <c r="C32" s="648" t="s">
        <v>307</v>
      </c>
      <c r="D32" s="648"/>
      <c r="E32" s="418"/>
      <c r="F32" s="418">
        <f t="shared" si="0"/>
        <v>0</v>
      </c>
      <c r="G32" s="419"/>
      <c r="H32" s="419"/>
      <c r="I32" s="418"/>
      <c r="J32" s="418">
        <f t="shared" si="1"/>
        <v>0</v>
      </c>
      <c r="M32" s="434"/>
      <c r="N32" s="434"/>
      <c r="O32" s="434"/>
      <c r="P32" s="434"/>
      <c r="Q32" s="434"/>
      <c r="R32" s="434"/>
      <c r="S32" s="434"/>
      <c r="T32" s="434"/>
      <c r="U32" s="434"/>
    </row>
    <row r="33" spans="1:21">
      <c r="A33" s="420" t="s">
        <v>249</v>
      </c>
      <c r="B33" s="644"/>
      <c r="C33" s="648" t="s">
        <v>315</v>
      </c>
      <c r="D33" s="648"/>
      <c r="E33" s="418">
        <f>E29+E30+E31+E32</f>
        <v>0</v>
      </c>
      <c r="F33" s="418">
        <f t="shared" ref="F33:J33" si="4">F29+F30+F31+F32</f>
        <v>0</v>
      </c>
      <c r="G33" s="418">
        <f t="shared" si="4"/>
        <v>0</v>
      </c>
      <c r="H33" s="418">
        <f t="shared" si="4"/>
        <v>0</v>
      </c>
      <c r="I33" s="418">
        <f t="shared" si="4"/>
        <v>0</v>
      </c>
      <c r="J33" s="418">
        <f t="shared" si="4"/>
        <v>0</v>
      </c>
      <c r="M33" s="434"/>
      <c r="N33" s="434"/>
      <c r="O33" s="434"/>
      <c r="P33" s="434"/>
      <c r="Q33" s="434"/>
      <c r="R33" s="434"/>
      <c r="S33" s="434"/>
      <c r="T33" s="434"/>
      <c r="U33" s="434"/>
    </row>
    <row r="34" spans="1:21" s="434" customFormat="1">
      <c r="C34" s="435"/>
      <c r="G34" s="436"/>
      <c r="H34" s="436"/>
      <c r="L34" s="39"/>
    </row>
    <row r="35" spans="1:21" s="434" customFormat="1">
      <c r="B35" s="435"/>
      <c r="F35" s="436"/>
      <c r="G35" s="436"/>
      <c r="L35" s="39"/>
      <c r="M35" s="39"/>
      <c r="N35" s="39"/>
      <c r="O35" s="39"/>
      <c r="P35" s="39"/>
    </row>
    <row r="36" spans="1:21" s="434" customFormat="1">
      <c r="A36" s="37" t="s">
        <v>547</v>
      </c>
      <c r="B36" s="435"/>
      <c r="F36" s="436"/>
      <c r="G36" s="436"/>
      <c r="L36" s="39"/>
      <c r="M36" s="39"/>
      <c r="N36" s="39"/>
      <c r="O36" s="39"/>
      <c r="P36" s="39"/>
    </row>
    <row r="37" spans="1:21" s="434" customFormat="1">
      <c r="B37" s="435"/>
      <c r="F37" s="436"/>
      <c r="G37" s="436"/>
      <c r="M37" s="39"/>
      <c r="N37" s="39"/>
      <c r="O37" s="39"/>
      <c r="P37" s="39"/>
    </row>
    <row r="38" spans="1:21" s="434" customFormat="1">
      <c r="A38" s="37" t="s">
        <v>548</v>
      </c>
      <c r="B38" s="435"/>
      <c r="F38" s="436"/>
      <c r="G38" s="436"/>
      <c r="M38" s="39"/>
      <c r="N38" s="39"/>
      <c r="O38" s="39"/>
      <c r="P38" s="39"/>
    </row>
    <row r="39" spans="1:21" s="434" customFormat="1">
      <c r="A39" s="14" t="s">
        <v>549</v>
      </c>
      <c r="B39" s="435"/>
      <c r="F39" s="436"/>
      <c r="G39" s="436"/>
      <c r="M39" s="39"/>
      <c r="N39" s="39"/>
      <c r="O39" s="39"/>
      <c r="P39" s="39"/>
      <c r="Q39" s="39"/>
      <c r="R39" s="39"/>
      <c r="S39" s="39"/>
      <c r="T39" s="39"/>
      <c r="U39" s="39"/>
    </row>
    <row r="40" spans="1:21" s="434" customFormat="1">
      <c r="A40" s="14" t="s">
        <v>550</v>
      </c>
      <c r="B40" s="435"/>
      <c r="F40" s="436"/>
      <c r="G40" s="436"/>
      <c r="M40" s="39"/>
      <c r="N40" s="39"/>
      <c r="O40" s="39"/>
      <c r="P40" s="39"/>
      <c r="Q40" s="39"/>
      <c r="R40" s="39"/>
      <c r="S40" s="39"/>
      <c r="T40" s="39"/>
      <c r="U40" s="39"/>
    </row>
    <row r="41" spans="1:21" s="434" customFormat="1">
      <c r="A41" s="14" t="s">
        <v>1647</v>
      </c>
      <c r="B41" s="435"/>
      <c r="F41" s="436"/>
      <c r="G41" s="436"/>
      <c r="M41" s="39"/>
      <c r="N41" s="39"/>
      <c r="O41" s="39"/>
      <c r="P41" s="39"/>
      <c r="Q41" s="39"/>
      <c r="R41" s="39"/>
      <c r="S41" s="39"/>
      <c r="T41" s="39"/>
      <c r="U41" s="39"/>
    </row>
    <row r="42" spans="1:21" s="434" customFormat="1">
      <c r="A42" s="14" t="s">
        <v>1648</v>
      </c>
      <c r="B42" s="435"/>
      <c r="F42" s="436"/>
      <c r="G42" s="436"/>
      <c r="M42" s="39"/>
      <c r="N42" s="39"/>
      <c r="O42" s="39"/>
      <c r="P42" s="39"/>
      <c r="Q42" s="39"/>
      <c r="R42" s="39"/>
      <c r="S42" s="39"/>
      <c r="T42" s="39"/>
      <c r="U42" s="39"/>
    </row>
    <row r="43" spans="1:21" s="434" customFormat="1">
      <c r="A43" s="14" t="s">
        <v>551</v>
      </c>
      <c r="B43" s="435"/>
      <c r="F43" s="436"/>
      <c r="G43" s="436"/>
      <c r="M43" s="39"/>
      <c r="N43" s="39"/>
      <c r="O43" s="39"/>
      <c r="P43" s="39"/>
      <c r="Q43" s="39"/>
      <c r="R43" s="39"/>
      <c r="S43" s="39"/>
      <c r="T43" s="39"/>
      <c r="U43" s="39"/>
    </row>
    <row r="44" spans="1:21" s="434" customFormat="1">
      <c r="A44" s="14" t="s">
        <v>552</v>
      </c>
      <c r="B44" s="435"/>
      <c r="F44" s="436"/>
      <c r="G44" s="436"/>
      <c r="M44" s="39"/>
      <c r="N44" s="39"/>
      <c r="O44" s="39"/>
      <c r="P44" s="39"/>
      <c r="Q44" s="39"/>
      <c r="R44" s="39"/>
      <c r="S44" s="39"/>
      <c r="T44" s="39"/>
      <c r="U44" s="39"/>
    </row>
    <row r="45" spans="1:21" s="434" customFormat="1">
      <c r="A45" s="14" t="s">
        <v>1699</v>
      </c>
      <c r="B45" s="435"/>
      <c r="F45" s="436"/>
      <c r="G45" s="436"/>
      <c r="M45" s="39"/>
      <c r="N45" s="39"/>
      <c r="O45" s="39"/>
      <c r="P45" s="39"/>
      <c r="Q45" s="39"/>
      <c r="R45" s="39"/>
      <c r="S45" s="39"/>
      <c r="T45" s="39"/>
      <c r="U45" s="39"/>
    </row>
    <row r="46" spans="1:21">
      <c r="A46" s="41"/>
      <c r="B46" s="38"/>
      <c r="C46" s="39"/>
      <c r="F46" s="40"/>
      <c r="H46" s="39"/>
    </row>
    <row r="47" spans="1:21">
      <c r="B47" s="38"/>
      <c r="C47" s="39"/>
      <c r="F47" s="40"/>
      <c r="H47" s="39"/>
    </row>
    <row r="48" spans="1:21">
      <c r="B48" s="38"/>
      <c r="C48" s="39"/>
      <c r="F48" s="40"/>
      <c r="H48" s="39"/>
    </row>
    <row r="49" spans="2:8">
      <c r="B49" s="38"/>
      <c r="C49" s="39"/>
      <c r="F49" s="40"/>
      <c r="H49" s="39"/>
    </row>
    <row r="50" spans="2:8">
      <c r="B50" s="38"/>
      <c r="C50" s="39"/>
      <c r="F50" s="40"/>
      <c r="H50" s="39"/>
    </row>
    <row r="51" spans="2:8">
      <c r="B51" s="38"/>
      <c r="C51" s="39"/>
      <c r="F51" s="40"/>
      <c r="H51" s="39"/>
    </row>
    <row r="52" spans="2:8">
      <c r="B52" s="38"/>
      <c r="C52" s="39"/>
      <c r="F52" s="40"/>
      <c r="H52" s="39"/>
    </row>
    <row r="53" spans="2:8">
      <c r="B53" s="38"/>
      <c r="C53" s="39"/>
      <c r="F53" s="40"/>
      <c r="H53" s="39"/>
    </row>
    <row r="54" spans="2:8">
      <c r="B54" s="38"/>
      <c r="C54" s="39"/>
      <c r="F54" s="40"/>
      <c r="H54" s="39"/>
    </row>
    <row r="55" spans="2:8">
      <c r="B55" s="38"/>
      <c r="C55" s="39"/>
      <c r="F55" s="40"/>
      <c r="H55" s="39"/>
    </row>
    <row r="56" spans="2:8">
      <c r="B56" s="38"/>
      <c r="C56" s="39"/>
      <c r="F56" s="40"/>
      <c r="H56" s="39"/>
    </row>
  </sheetData>
  <mergeCells count="19">
    <mergeCell ref="F10:H10"/>
    <mergeCell ref="J10:J11"/>
    <mergeCell ref="I10:I11"/>
    <mergeCell ref="E10:E11"/>
    <mergeCell ref="A9:D11"/>
    <mergeCell ref="B29:B33"/>
    <mergeCell ref="C29:D29"/>
    <mergeCell ref="C30:D30"/>
    <mergeCell ref="C31:D31"/>
    <mergeCell ref="C32:D32"/>
    <mergeCell ref="C33:D33"/>
    <mergeCell ref="B12:B28"/>
    <mergeCell ref="C17:D17"/>
    <mergeCell ref="C18:D18"/>
    <mergeCell ref="C19:D19"/>
    <mergeCell ref="C20:C23"/>
    <mergeCell ref="C24:C27"/>
    <mergeCell ref="C28:D28"/>
    <mergeCell ref="C12:C16"/>
  </mergeCells>
  <phoneticPr fontId="6" type="noConversion"/>
  <pageMargins left="0.7" right="0.7" top="0.75" bottom="0.75" header="0.3" footer="0.3"/>
  <pageSetup paperSize="9" scale="36" orientation="portrait" r:id="rId1"/>
  <colBreaks count="1" manualBreakCount="1">
    <brk id="10" max="43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35FDE4-20FD-4525-837A-92629EBF1359}">
  <sheetPr codeName="Sheet4">
    <tabColor theme="0" tint="-0.249977111117893"/>
  </sheetPr>
  <dimension ref="A7:N109"/>
  <sheetViews>
    <sheetView showGridLines="0" view="pageBreakPreview" zoomScale="85" zoomScaleNormal="80" zoomScaleSheetLayoutView="85" workbookViewId="0">
      <pane xSplit="6" ySplit="11" topLeftCell="G12" activePane="bottomRight" state="frozen"/>
      <selection activeCell="K1" sqref="K1"/>
      <selection pane="topRight" activeCell="K1" sqref="K1"/>
      <selection pane="bottomLeft" activeCell="K1" sqref="K1"/>
      <selection pane="bottomRight" activeCell="A7" sqref="A7"/>
    </sheetView>
  </sheetViews>
  <sheetFormatPr defaultColWidth="8.8984375" defaultRowHeight="14.4"/>
  <cols>
    <col min="1" max="1" width="5.8984375" style="138" customWidth="1"/>
    <col min="2" max="2" width="6.8984375" style="138" customWidth="1"/>
    <col min="3" max="3" width="12.296875" style="138" customWidth="1"/>
    <col min="4" max="4" width="9.8984375" style="138" customWidth="1"/>
    <col min="5" max="5" width="5.796875" style="138" customWidth="1"/>
    <col min="6" max="6" width="13.8984375" style="138" customWidth="1"/>
    <col min="7" max="12" width="12.09765625" style="138" customWidth="1"/>
    <col min="13" max="13" width="15.296875" style="138" customWidth="1"/>
    <col min="14" max="14" width="17.3984375" style="138" bestFit="1" customWidth="1"/>
    <col min="15" max="15" width="10.69921875" style="138" bestFit="1" customWidth="1"/>
    <col min="16" max="16384" width="8.8984375" style="138"/>
  </cols>
  <sheetData>
    <row r="7" spans="1:14" ht="17.25" customHeight="1">
      <c r="A7" s="137" t="s">
        <v>789</v>
      </c>
      <c r="B7" s="137"/>
      <c r="C7" s="137"/>
      <c r="D7" s="137"/>
      <c r="E7" s="137"/>
      <c r="F7" s="137"/>
      <c r="G7" s="137"/>
    </row>
    <row r="8" spans="1:14" ht="6" customHeight="1"/>
    <row r="9" spans="1:14">
      <c r="A9" s="138" t="s">
        <v>171</v>
      </c>
      <c r="N9" s="139"/>
    </row>
    <row r="10" spans="1:14">
      <c r="A10" s="682" t="s">
        <v>555</v>
      </c>
      <c r="B10" s="682"/>
      <c r="C10" s="682"/>
      <c r="D10" s="682"/>
      <c r="E10" s="682"/>
      <c r="F10" s="682"/>
      <c r="G10" s="140" t="s">
        <v>556</v>
      </c>
      <c r="H10" s="140" t="s">
        <v>557</v>
      </c>
      <c r="I10" s="140" t="s">
        <v>558</v>
      </c>
      <c r="J10" s="140" t="s">
        <v>559</v>
      </c>
      <c r="K10" s="140" t="s">
        <v>561</v>
      </c>
      <c r="L10" s="140" t="s">
        <v>560</v>
      </c>
      <c r="M10" s="140" t="s">
        <v>170</v>
      </c>
      <c r="N10" s="140" t="s">
        <v>743</v>
      </c>
    </row>
    <row r="11" spans="1:14" ht="28.5" customHeight="1">
      <c r="A11" s="682"/>
      <c r="B11" s="682"/>
      <c r="C11" s="682"/>
      <c r="D11" s="682"/>
      <c r="E11" s="682"/>
      <c r="F11" s="682"/>
      <c r="G11" s="141" t="s">
        <v>790</v>
      </c>
      <c r="H11" s="141" t="s">
        <v>791</v>
      </c>
      <c r="I11" s="141" t="s">
        <v>792</v>
      </c>
      <c r="J11" s="141" t="s">
        <v>793</v>
      </c>
      <c r="K11" s="141" t="s">
        <v>794</v>
      </c>
      <c r="L11" s="141" t="s">
        <v>795</v>
      </c>
      <c r="M11" s="140" t="s">
        <v>796</v>
      </c>
      <c r="N11" s="140" t="s">
        <v>581</v>
      </c>
    </row>
    <row r="12" spans="1:14" ht="15" customHeight="1">
      <c r="A12" s="142" t="s">
        <v>693</v>
      </c>
      <c r="B12" s="697" t="s">
        <v>797</v>
      </c>
      <c r="C12" s="689" t="s">
        <v>798</v>
      </c>
      <c r="D12" s="700" t="s">
        <v>799</v>
      </c>
      <c r="E12" s="700"/>
      <c r="F12" s="700"/>
      <c r="G12" s="143"/>
      <c r="H12" s="143"/>
      <c r="I12" s="143"/>
      <c r="J12" s="143"/>
      <c r="K12" s="143"/>
      <c r="L12" s="143"/>
      <c r="M12" s="143"/>
      <c r="N12" s="143">
        <f>K12+L12+M12</f>
        <v>0</v>
      </c>
    </row>
    <row r="13" spans="1:14" ht="15" customHeight="1">
      <c r="A13" s="142" t="s">
        <v>694</v>
      </c>
      <c r="B13" s="698"/>
      <c r="C13" s="689"/>
      <c r="D13" s="700" t="s">
        <v>800</v>
      </c>
      <c r="E13" s="700"/>
      <c r="F13" s="700"/>
      <c r="G13" s="143"/>
      <c r="H13" s="143"/>
      <c r="I13" s="143"/>
      <c r="J13" s="143"/>
      <c r="K13" s="143"/>
      <c r="L13" s="143"/>
      <c r="M13" s="143"/>
      <c r="N13" s="143">
        <f t="shared" ref="N13:N47" si="0">K13+L13+M13</f>
        <v>0</v>
      </c>
    </row>
    <row r="14" spans="1:14" ht="15" customHeight="1">
      <c r="A14" s="142" t="s">
        <v>752</v>
      </c>
      <c r="B14" s="698"/>
      <c r="C14" s="689"/>
      <c r="D14" s="700" t="s">
        <v>186</v>
      </c>
      <c r="E14" s="700"/>
      <c r="F14" s="700"/>
      <c r="G14" s="143"/>
      <c r="H14" s="143"/>
      <c r="I14" s="143"/>
      <c r="J14" s="143"/>
      <c r="K14" s="143"/>
      <c r="L14" s="143"/>
      <c r="M14" s="143"/>
      <c r="N14" s="143">
        <f t="shared" si="0"/>
        <v>0</v>
      </c>
    </row>
    <row r="15" spans="1:14" ht="15" customHeight="1">
      <c r="A15" s="142" t="s">
        <v>753</v>
      </c>
      <c r="B15" s="698"/>
      <c r="C15" s="689"/>
      <c r="D15" s="700" t="s">
        <v>194</v>
      </c>
      <c r="E15" s="700"/>
      <c r="F15" s="700"/>
      <c r="G15" s="143"/>
      <c r="H15" s="143"/>
      <c r="I15" s="143"/>
      <c r="J15" s="143"/>
      <c r="K15" s="143"/>
      <c r="L15" s="143"/>
      <c r="M15" s="143"/>
      <c r="N15" s="143">
        <f t="shared" si="0"/>
        <v>0</v>
      </c>
    </row>
    <row r="16" spans="1:14" ht="15" customHeight="1">
      <c r="A16" s="142" t="s">
        <v>754</v>
      </c>
      <c r="B16" s="698"/>
      <c r="C16" s="689"/>
      <c r="D16" s="700" t="s">
        <v>195</v>
      </c>
      <c r="E16" s="700"/>
      <c r="F16" s="700"/>
      <c r="G16" s="143"/>
      <c r="H16" s="143"/>
      <c r="I16" s="143"/>
      <c r="J16" s="143"/>
      <c r="K16" s="143"/>
      <c r="L16" s="143"/>
      <c r="M16" s="143"/>
      <c r="N16" s="143">
        <f t="shared" si="0"/>
        <v>0</v>
      </c>
    </row>
    <row r="17" spans="1:14" ht="15" customHeight="1">
      <c r="A17" s="142" t="s">
        <v>755</v>
      </c>
      <c r="B17" s="698"/>
      <c r="C17" s="689"/>
      <c r="D17" s="700" t="s">
        <v>801</v>
      </c>
      <c r="E17" s="700"/>
      <c r="F17" s="700"/>
      <c r="G17" s="143"/>
      <c r="H17" s="143"/>
      <c r="I17" s="143"/>
      <c r="J17" s="143"/>
      <c r="K17" s="143"/>
      <c r="L17" s="143"/>
      <c r="M17" s="143"/>
      <c r="N17" s="143">
        <f t="shared" si="0"/>
        <v>0</v>
      </c>
    </row>
    <row r="18" spans="1:14" ht="15" customHeight="1">
      <c r="A18" s="142" t="s">
        <v>802</v>
      </c>
      <c r="B18" s="698"/>
      <c r="C18" s="689"/>
      <c r="D18" s="700" t="s">
        <v>803</v>
      </c>
      <c r="E18" s="687" t="s">
        <v>804</v>
      </c>
      <c r="F18" s="687"/>
      <c r="G18" s="143"/>
      <c r="H18" s="143"/>
      <c r="I18" s="143"/>
      <c r="J18" s="143"/>
      <c r="K18" s="143"/>
      <c r="L18" s="143"/>
      <c r="M18" s="143"/>
      <c r="N18" s="143">
        <f t="shared" si="0"/>
        <v>0</v>
      </c>
    </row>
    <row r="19" spans="1:14" ht="15" customHeight="1">
      <c r="A19" s="142" t="s">
        <v>805</v>
      </c>
      <c r="B19" s="698"/>
      <c r="C19" s="689"/>
      <c r="D19" s="687"/>
      <c r="E19" s="687" t="s">
        <v>806</v>
      </c>
      <c r="F19" s="687"/>
      <c r="G19" s="143"/>
      <c r="H19" s="143"/>
      <c r="I19" s="143"/>
      <c r="J19" s="143"/>
      <c r="K19" s="143"/>
      <c r="L19" s="143"/>
      <c r="M19" s="143"/>
      <c r="N19" s="143">
        <f t="shared" si="0"/>
        <v>0</v>
      </c>
    </row>
    <row r="20" spans="1:14" ht="15" customHeight="1">
      <c r="A20" s="142" t="s">
        <v>807</v>
      </c>
      <c r="B20" s="698"/>
      <c r="C20" s="689"/>
      <c r="D20" s="687"/>
      <c r="E20" s="687" t="s">
        <v>808</v>
      </c>
      <c r="F20" s="687"/>
      <c r="G20" s="143"/>
      <c r="H20" s="143"/>
      <c r="I20" s="143"/>
      <c r="J20" s="143"/>
      <c r="K20" s="143"/>
      <c r="L20" s="143"/>
      <c r="M20" s="143"/>
      <c r="N20" s="143">
        <f t="shared" si="0"/>
        <v>0</v>
      </c>
    </row>
    <row r="21" spans="1:14" ht="15" customHeight="1">
      <c r="A21" s="142" t="s">
        <v>809</v>
      </c>
      <c r="B21" s="698"/>
      <c r="C21" s="689"/>
      <c r="D21" s="687"/>
      <c r="E21" s="687" t="s">
        <v>810</v>
      </c>
      <c r="F21" s="144" t="s">
        <v>811</v>
      </c>
      <c r="G21" s="143"/>
      <c r="H21" s="143"/>
      <c r="I21" s="143"/>
      <c r="J21" s="143"/>
      <c r="K21" s="143"/>
      <c r="L21" s="143"/>
      <c r="M21" s="143"/>
      <c r="N21" s="143">
        <f t="shared" si="0"/>
        <v>0</v>
      </c>
    </row>
    <row r="22" spans="1:14" ht="15" customHeight="1">
      <c r="A22" s="142" t="s">
        <v>812</v>
      </c>
      <c r="B22" s="698"/>
      <c r="C22" s="689"/>
      <c r="D22" s="687"/>
      <c r="E22" s="687"/>
      <c r="F22" s="145" t="s">
        <v>813</v>
      </c>
      <c r="G22" s="143"/>
      <c r="H22" s="143"/>
      <c r="I22" s="143"/>
      <c r="J22" s="143"/>
      <c r="K22" s="143"/>
      <c r="L22" s="143"/>
      <c r="M22" s="143"/>
      <c r="N22" s="143">
        <f t="shared" si="0"/>
        <v>0</v>
      </c>
    </row>
    <row r="23" spans="1:14" ht="15" customHeight="1">
      <c r="A23" s="142" t="s">
        <v>814</v>
      </c>
      <c r="B23" s="698"/>
      <c r="C23" s="689"/>
      <c r="D23" s="687"/>
      <c r="E23" s="687"/>
      <c r="F23" s="145" t="s">
        <v>599</v>
      </c>
      <c r="G23" s="143">
        <f t="shared" ref="G23:M23" si="1">G21+G22</f>
        <v>0</v>
      </c>
      <c r="H23" s="143">
        <f t="shared" si="1"/>
        <v>0</v>
      </c>
      <c r="I23" s="143">
        <f t="shared" si="1"/>
        <v>0</v>
      </c>
      <c r="J23" s="143">
        <f t="shared" si="1"/>
        <v>0</v>
      </c>
      <c r="K23" s="143">
        <f t="shared" si="1"/>
        <v>0</v>
      </c>
      <c r="L23" s="143">
        <f t="shared" si="1"/>
        <v>0</v>
      </c>
      <c r="M23" s="143">
        <f t="shared" si="1"/>
        <v>0</v>
      </c>
      <c r="N23" s="143">
        <f t="shared" si="0"/>
        <v>0</v>
      </c>
    </row>
    <row r="24" spans="1:14" ht="15" customHeight="1">
      <c r="A24" s="142" t="s">
        <v>815</v>
      </c>
      <c r="B24" s="698"/>
      <c r="C24" s="689"/>
      <c r="D24" s="687"/>
      <c r="E24" s="687" t="s">
        <v>68</v>
      </c>
      <c r="F24" s="687"/>
      <c r="G24" s="143"/>
      <c r="H24" s="143"/>
      <c r="I24" s="143"/>
      <c r="J24" s="143"/>
      <c r="K24" s="143"/>
      <c r="L24" s="143"/>
      <c r="M24" s="143"/>
      <c r="N24" s="143">
        <f t="shared" si="0"/>
        <v>0</v>
      </c>
    </row>
    <row r="25" spans="1:14" ht="15" customHeight="1">
      <c r="A25" s="142" t="s">
        <v>222</v>
      </c>
      <c r="B25" s="698"/>
      <c r="C25" s="689"/>
      <c r="D25" s="687"/>
      <c r="E25" s="687" t="s">
        <v>599</v>
      </c>
      <c r="F25" s="687"/>
      <c r="G25" s="143">
        <f t="shared" ref="G25:M25" si="2">G18+G19+G20+G23+G24</f>
        <v>0</v>
      </c>
      <c r="H25" s="143">
        <f t="shared" si="2"/>
        <v>0</v>
      </c>
      <c r="I25" s="143">
        <f t="shared" si="2"/>
        <v>0</v>
      </c>
      <c r="J25" s="143">
        <f t="shared" si="2"/>
        <v>0</v>
      </c>
      <c r="K25" s="143">
        <f t="shared" si="2"/>
        <v>0</v>
      </c>
      <c r="L25" s="143">
        <f t="shared" si="2"/>
        <v>0</v>
      </c>
      <c r="M25" s="143">
        <f t="shared" si="2"/>
        <v>0</v>
      </c>
      <c r="N25" s="143">
        <f t="shared" si="0"/>
        <v>0</v>
      </c>
    </row>
    <row r="26" spans="1:14" ht="15" customHeight="1">
      <c r="A26" s="142" t="s">
        <v>223</v>
      </c>
      <c r="B26" s="698"/>
      <c r="C26" s="689"/>
      <c r="D26" s="687" t="s">
        <v>816</v>
      </c>
      <c r="E26" s="687"/>
      <c r="F26" s="687"/>
      <c r="G26" s="143"/>
      <c r="H26" s="143"/>
      <c r="I26" s="143"/>
      <c r="J26" s="143"/>
      <c r="K26" s="143"/>
      <c r="L26" s="143"/>
      <c r="M26" s="143"/>
      <c r="N26" s="143">
        <f t="shared" si="0"/>
        <v>0</v>
      </c>
    </row>
    <row r="27" spans="1:14" ht="15" customHeight="1">
      <c r="A27" s="142" t="s">
        <v>556</v>
      </c>
      <c r="B27" s="698"/>
      <c r="C27" s="689"/>
      <c r="D27" s="682" t="s">
        <v>817</v>
      </c>
      <c r="E27" s="682"/>
      <c r="F27" s="682"/>
      <c r="G27" s="143">
        <f t="shared" ref="G27:M27" si="3">SUM(G12:G17)+G25+G26</f>
        <v>0</v>
      </c>
      <c r="H27" s="143">
        <f t="shared" si="3"/>
        <v>0</v>
      </c>
      <c r="I27" s="143">
        <f t="shared" si="3"/>
        <v>0</v>
      </c>
      <c r="J27" s="143">
        <f t="shared" si="3"/>
        <v>0</v>
      </c>
      <c r="K27" s="143">
        <f t="shared" si="3"/>
        <v>0</v>
      </c>
      <c r="L27" s="143">
        <f t="shared" si="3"/>
        <v>0</v>
      </c>
      <c r="M27" s="143">
        <f t="shared" si="3"/>
        <v>0</v>
      </c>
      <c r="N27" s="143">
        <f t="shared" si="0"/>
        <v>0</v>
      </c>
    </row>
    <row r="28" spans="1:14" ht="15" customHeight="1">
      <c r="A28" s="142" t="s">
        <v>557</v>
      </c>
      <c r="B28" s="698"/>
      <c r="C28" s="682" t="s">
        <v>818</v>
      </c>
      <c r="D28" s="682"/>
      <c r="E28" s="682"/>
      <c r="F28" s="682"/>
      <c r="G28" s="143"/>
      <c r="H28" s="143"/>
      <c r="I28" s="143"/>
      <c r="J28" s="143"/>
      <c r="K28" s="143"/>
      <c r="L28" s="143"/>
      <c r="M28" s="143"/>
      <c r="N28" s="143">
        <f t="shared" si="0"/>
        <v>0</v>
      </c>
    </row>
    <row r="29" spans="1:14" ht="15" customHeight="1">
      <c r="A29" s="142" t="s">
        <v>558</v>
      </c>
      <c r="B29" s="698"/>
      <c r="C29" s="688" t="s">
        <v>819</v>
      </c>
      <c r="D29" s="688"/>
      <c r="E29" s="688"/>
      <c r="F29" s="688"/>
      <c r="G29" s="143">
        <f t="shared" ref="G29:M29" si="4">G27+G28</f>
        <v>0</v>
      </c>
      <c r="H29" s="143">
        <f t="shared" si="4"/>
        <v>0</v>
      </c>
      <c r="I29" s="143">
        <f t="shared" si="4"/>
        <v>0</v>
      </c>
      <c r="J29" s="143">
        <f t="shared" si="4"/>
        <v>0</v>
      </c>
      <c r="K29" s="143">
        <f t="shared" si="4"/>
        <v>0</v>
      </c>
      <c r="L29" s="143">
        <f t="shared" si="4"/>
        <v>0</v>
      </c>
      <c r="M29" s="143">
        <f t="shared" si="4"/>
        <v>0</v>
      </c>
      <c r="N29" s="143">
        <f t="shared" si="0"/>
        <v>0</v>
      </c>
    </row>
    <row r="30" spans="1:14" ht="15" customHeight="1">
      <c r="A30" s="142" t="s">
        <v>129</v>
      </c>
      <c r="B30" s="698"/>
      <c r="C30" s="667" t="s">
        <v>820</v>
      </c>
      <c r="D30" s="670" t="s">
        <v>821</v>
      </c>
      <c r="E30" s="671"/>
      <c r="F30" s="672"/>
      <c r="G30" s="143"/>
      <c r="H30" s="143"/>
      <c r="I30" s="143"/>
      <c r="J30" s="143"/>
      <c r="K30" s="143"/>
      <c r="L30" s="143"/>
      <c r="M30" s="143"/>
      <c r="N30" s="143"/>
    </row>
    <row r="31" spans="1:14" ht="15" customHeight="1">
      <c r="A31" s="142" t="s">
        <v>131</v>
      </c>
      <c r="B31" s="698"/>
      <c r="C31" s="668"/>
      <c r="D31" s="670" t="s">
        <v>822</v>
      </c>
      <c r="E31" s="671"/>
      <c r="F31" s="672"/>
      <c r="G31" s="143"/>
      <c r="H31" s="143"/>
      <c r="I31" s="143"/>
      <c r="J31" s="143"/>
      <c r="K31" s="143"/>
      <c r="L31" s="143"/>
      <c r="M31" s="143"/>
      <c r="N31" s="143"/>
    </row>
    <row r="32" spans="1:14" ht="15" customHeight="1">
      <c r="A32" s="142" t="s">
        <v>136</v>
      </c>
      <c r="B32" s="699"/>
      <c r="C32" s="669"/>
      <c r="D32" s="670" t="s">
        <v>1694</v>
      </c>
      <c r="E32" s="671"/>
      <c r="F32" s="672"/>
      <c r="G32" s="143"/>
      <c r="H32" s="143"/>
      <c r="I32" s="143"/>
      <c r="J32" s="143"/>
      <c r="K32" s="143"/>
      <c r="L32" s="143"/>
      <c r="M32" s="143"/>
      <c r="N32" s="143"/>
    </row>
    <row r="33" spans="1:14" ht="15" customHeight="1">
      <c r="A33" s="142" t="s">
        <v>236</v>
      </c>
      <c r="B33" s="694" t="s">
        <v>823</v>
      </c>
      <c r="C33" s="689" t="s">
        <v>824</v>
      </c>
      <c r="D33" s="682" t="s">
        <v>825</v>
      </c>
      <c r="E33" s="687" t="s">
        <v>826</v>
      </c>
      <c r="F33" s="687"/>
      <c r="G33" s="143"/>
      <c r="H33" s="143"/>
      <c r="I33" s="143"/>
      <c r="J33" s="143"/>
      <c r="K33" s="143"/>
      <c r="L33" s="143"/>
      <c r="M33" s="143"/>
      <c r="N33" s="143">
        <f t="shared" si="0"/>
        <v>0</v>
      </c>
    </row>
    <row r="34" spans="1:14" ht="15" customHeight="1">
      <c r="A34" s="142" t="s">
        <v>239</v>
      </c>
      <c r="B34" s="695"/>
      <c r="C34" s="689"/>
      <c r="D34" s="682"/>
      <c r="E34" s="687" t="s">
        <v>827</v>
      </c>
      <c r="F34" s="687"/>
      <c r="G34" s="143"/>
      <c r="H34" s="143"/>
      <c r="I34" s="143"/>
      <c r="J34" s="143"/>
      <c r="K34" s="143"/>
      <c r="L34" s="143"/>
      <c r="M34" s="143"/>
      <c r="N34" s="143">
        <f t="shared" si="0"/>
        <v>0</v>
      </c>
    </row>
    <row r="35" spans="1:14" ht="15" customHeight="1">
      <c r="A35" s="142" t="s">
        <v>240</v>
      </c>
      <c r="B35" s="695"/>
      <c r="C35" s="689"/>
      <c r="D35" s="682"/>
      <c r="E35" s="687" t="s">
        <v>277</v>
      </c>
      <c r="F35" s="687"/>
      <c r="G35" s="143"/>
      <c r="H35" s="143"/>
      <c r="I35" s="143"/>
      <c r="J35" s="143"/>
      <c r="K35" s="143"/>
      <c r="L35" s="143"/>
      <c r="M35" s="143"/>
      <c r="N35" s="143">
        <f t="shared" si="0"/>
        <v>0</v>
      </c>
    </row>
    <row r="36" spans="1:14" ht="15" customHeight="1">
      <c r="A36" s="142" t="s">
        <v>828</v>
      </c>
      <c r="B36" s="695"/>
      <c r="C36" s="689"/>
      <c r="D36" s="682"/>
      <c r="E36" s="687" t="s">
        <v>68</v>
      </c>
      <c r="F36" s="687"/>
      <c r="G36" s="143"/>
      <c r="H36" s="143"/>
      <c r="I36" s="143"/>
      <c r="J36" s="143"/>
      <c r="K36" s="143"/>
      <c r="L36" s="143"/>
      <c r="M36" s="143"/>
      <c r="N36" s="143">
        <f t="shared" si="0"/>
        <v>0</v>
      </c>
    </row>
    <row r="37" spans="1:14" ht="15" customHeight="1">
      <c r="A37" s="142" t="s">
        <v>671</v>
      </c>
      <c r="B37" s="695"/>
      <c r="C37" s="689"/>
      <c r="D37" s="682"/>
      <c r="E37" s="687" t="s">
        <v>599</v>
      </c>
      <c r="F37" s="687"/>
      <c r="G37" s="143">
        <f t="shared" ref="G37:M37" si="5">SUM(G33:G36)</f>
        <v>0</v>
      </c>
      <c r="H37" s="143">
        <f t="shared" si="5"/>
        <v>0</v>
      </c>
      <c r="I37" s="143">
        <f t="shared" si="5"/>
        <v>0</v>
      </c>
      <c r="J37" s="143">
        <f t="shared" si="5"/>
        <v>0</v>
      </c>
      <c r="K37" s="143">
        <f t="shared" si="5"/>
        <v>0</v>
      </c>
      <c r="L37" s="143">
        <f t="shared" si="5"/>
        <v>0</v>
      </c>
      <c r="M37" s="143">
        <f t="shared" si="5"/>
        <v>0</v>
      </c>
      <c r="N37" s="143">
        <f t="shared" si="0"/>
        <v>0</v>
      </c>
    </row>
    <row r="38" spans="1:14" ht="15" customHeight="1">
      <c r="A38" s="142" t="s">
        <v>829</v>
      </c>
      <c r="B38" s="695"/>
      <c r="C38" s="689"/>
      <c r="D38" s="687" t="s">
        <v>830</v>
      </c>
      <c r="E38" s="687"/>
      <c r="F38" s="687"/>
      <c r="G38" s="143"/>
      <c r="H38" s="143"/>
      <c r="I38" s="143"/>
      <c r="J38" s="143"/>
      <c r="K38" s="143"/>
      <c r="L38" s="143"/>
      <c r="M38" s="143"/>
      <c r="N38" s="143">
        <f t="shared" si="0"/>
        <v>0</v>
      </c>
    </row>
    <row r="39" spans="1:14" ht="15" customHeight="1">
      <c r="A39" s="146" t="s">
        <v>831</v>
      </c>
      <c r="B39" s="695"/>
      <c r="C39" s="689"/>
      <c r="D39" s="690" t="s">
        <v>832</v>
      </c>
      <c r="E39" s="690"/>
      <c r="F39" s="690"/>
      <c r="G39" s="143"/>
      <c r="H39" s="143"/>
      <c r="I39" s="143"/>
      <c r="J39" s="143"/>
      <c r="K39" s="143"/>
      <c r="L39" s="143"/>
      <c r="M39" s="143"/>
      <c r="N39" s="143">
        <f t="shared" si="0"/>
        <v>0</v>
      </c>
    </row>
    <row r="40" spans="1:14" ht="15" customHeight="1">
      <c r="A40" s="142" t="s">
        <v>833</v>
      </c>
      <c r="B40" s="695"/>
      <c r="C40" s="689"/>
      <c r="D40" s="687" t="s">
        <v>834</v>
      </c>
      <c r="E40" s="687"/>
      <c r="F40" s="687"/>
      <c r="G40" s="143"/>
      <c r="H40" s="143"/>
      <c r="I40" s="143"/>
      <c r="J40" s="143"/>
      <c r="K40" s="143"/>
      <c r="L40" s="143"/>
      <c r="M40" s="143"/>
      <c r="N40" s="143">
        <f t="shared" si="0"/>
        <v>0</v>
      </c>
    </row>
    <row r="41" spans="1:14" ht="15" customHeight="1">
      <c r="A41" s="142" t="s">
        <v>835</v>
      </c>
      <c r="B41" s="695"/>
      <c r="C41" s="689"/>
      <c r="D41" s="687" t="s">
        <v>836</v>
      </c>
      <c r="E41" s="687"/>
      <c r="F41" s="687"/>
      <c r="G41" s="143"/>
      <c r="H41" s="143"/>
      <c r="I41" s="143"/>
      <c r="J41" s="143"/>
      <c r="K41" s="143"/>
      <c r="L41" s="143"/>
      <c r="M41" s="143"/>
      <c r="N41" s="143">
        <f t="shared" si="0"/>
        <v>0</v>
      </c>
    </row>
    <row r="42" spans="1:14" ht="15" customHeight="1">
      <c r="A42" s="142" t="s">
        <v>559</v>
      </c>
      <c r="B42" s="695"/>
      <c r="C42" s="689"/>
      <c r="D42" s="691" t="s">
        <v>837</v>
      </c>
      <c r="E42" s="692"/>
      <c r="F42" s="693"/>
      <c r="G42" s="143">
        <f t="shared" ref="G42:M42" si="6">SUM(G37:G41)</f>
        <v>0</v>
      </c>
      <c r="H42" s="143">
        <f t="shared" si="6"/>
        <v>0</v>
      </c>
      <c r="I42" s="143">
        <f t="shared" si="6"/>
        <v>0</v>
      </c>
      <c r="J42" s="143">
        <f t="shared" si="6"/>
        <v>0</v>
      </c>
      <c r="K42" s="143">
        <f t="shared" si="6"/>
        <v>0</v>
      </c>
      <c r="L42" s="143">
        <f t="shared" si="6"/>
        <v>0</v>
      </c>
      <c r="M42" s="143">
        <f t="shared" si="6"/>
        <v>0</v>
      </c>
      <c r="N42" s="143">
        <f t="shared" si="0"/>
        <v>0</v>
      </c>
    </row>
    <row r="43" spans="1:14" ht="15" customHeight="1">
      <c r="A43" s="142" t="s">
        <v>561</v>
      </c>
      <c r="B43" s="695"/>
      <c r="C43" s="689"/>
      <c r="D43" s="687" t="s">
        <v>838</v>
      </c>
      <c r="E43" s="687"/>
      <c r="F43" s="687"/>
      <c r="G43" s="143"/>
      <c r="H43" s="143"/>
      <c r="I43" s="143"/>
      <c r="J43" s="143"/>
      <c r="K43" s="143"/>
      <c r="L43" s="143"/>
      <c r="M43" s="143"/>
      <c r="N43" s="143">
        <f t="shared" si="0"/>
        <v>0</v>
      </c>
    </row>
    <row r="44" spans="1:14" ht="15" customHeight="1">
      <c r="A44" s="142" t="s">
        <v>560</v>
      </c>
      <c r="B44" s="695"/>
      <c r="C44" s="689"/>
      <c r="D44" s="687" t="s">
        <v>839</v>
      </c>
      <c r="E44" s="687"/>
      <c r="F44" s="687"/>
      <c r="G44" s="143"/>
      <c r="H44" s="143"/>
      <c r="I44" s="143"/>
      <c r="J44" s="143"/>
      <c r="K44" s="143"/>
      <c r="L44" s="143"/>
      <c r="M44" s="143"/>
      <c r="N44" s="143">
        <f t="shared" si="0"/>
        <v>0</v>
      </c>
    </row>
    <row r="45" spans="1:14" ht="15" customHeight="1">
      <c r="A45" s="142" t="s">
        <v>170</v>
      </c>
      <c r="B45" s="695"/>
      <c r="C45" s="689"/>
      <c r="D45" s="682" t="s">
        <v>840</v>
      </c>
      <c r="E45" s="682"/>
      <c r="F45" s="682"/>
      <c r="G45" s="143">
        <f t="shared" ref="G45:M45" si="7">SUM(G42:G44)</f>
        <v>0</v>
      </c>
      <c r="H45" s="143">
        <f t="shared" si="7"/>
        <v>0</v>
      </c>
      <c r="I45" s="143">
        <f t="shared" si="7"/>
        <v>0</v>
      </c>
      <c r="J45" s="143">
        <f t="shared" si="7"/>
        <v>0</v>
      </c>
      <c r="K45" s="143">
        <f t="shared" si="7"/>
        <v>0</v>
      </c>
      <c r="L45" s="143">
        <f t="shared" si="7"/>
        <v>0</v>
      </c>
      <c r="M45" s="143">
        <f t="shared" si="7"/>
        <v>0</v>
      </c>
      <c r="N45" s="143">
        <f t="shared" si="0"/>
        <v>0</v>
      </c>
    </row>
    <row r="46" spans="1:14" ht="15" customHeight="1">
      <c r="A46" s="146" t="s">
        <v>743</v>
      </c>
      <c r="B46" s="695"/>
      <c r="C46" s="683" t="s">
        <v>841</v>
      </c>
      <c r="D46" s="683"/>
      <c r="E46" s="683"/>
      <c r="F46" s="683"/>
      <c r="G46" s="143"/>
      <c r="H46" s="143"/>
      <c r="I46" s="143"/>
      <c r="J46" s="143"/>
      <c r="K46" s="143"/>
      <c r="L46" s="143"/>
      <c r="M46" s="143"/>
      <c r="N46" s="143">
        <f t="shared" si="0"/>
        <v>0</v>
      </c>
    </row>
    <row r="47" spans="1:14" ht="15" customHeight="1">
      <c r="A47" s="142" t="s">
        <v>775</v>
      </c>
      <c r="B47" s="695"/>
      <c r="C47" s="684" t="s">
        <v>842</v>
      </c>
      <c r="D47" s="685"/>
      <c r="E47" s="685"/>
      <c r="F47" s="686"/>
      <c r="G47" s="143">
        <f>G45+G46</f>
        <v>0</v>
      </c>
      <c r="H47" s="143">
        <f t="shared" ref="H47:M47" si="8">H45+H46</f>
        <v>0</v>
      </c>
      <c r="I47" s="143">
        <f t="shared" si="8"/>
        <v>0</v>
      </c>
      <c r="J47" s="143">
        <f t="shared" si="8"/>
        <v>0</v>
      </c>
      <c r="K47" s="143">
        <f t="shared" si="8"/>
        <v>0</v>
      </c>
      <c r="L47" s="143">
        <f t="shared" si="8"/>
        <v>0</v>
      </c>
      <c r="M47" s="143">
        <f t="shared" si="8"/>
        <v>0</v>
      </c>
      <c r="N47" s="143">
        <f t="shared" si="0"/>
        <v>0</v>
      </c>
    </row>
    <row r="48" spans="1:14">
      <c r="A48" s="572" t="s">
        <v>1047</v>
      </c>
      <c r="B48" s="695"/>
      <c r="C48" s="673" t="s">
        <v>907</v>
      </c>
      <c r="D48" s="676" t="s">
        <v>908</v>
      </c>
      <c r="E48" s="677"/>
      <c r="F48" s="678"/>
      <c r="G48" s="143"/>
      <c r="H48" s="143"/>
      <c r="I48" s="143"/>
      <c r="J48" s="143"/>
      <c r="K48" s="143"/>
      <c r="L48" s="143"/>
      <c r="M48" s="143"/>
      <c r="N48" s="143"/>
    </row>
    <row r="49" spans="1:14">
      <c r="A49" s="572" t="s">
        <v>1695</v>
      </c>
      <c r="B49" s="695"/>
      <c r="C49" s="674"/>
      <c r="D49" s="676" t="s">
        <v>904</v>
      </c>
      <c r="E49" s="677"/>
      <c r="F49" s="678"/>
      <c r="G49" s="143"/>
      <c r="H49" s="143"/>
      <c r="I49" s="143"/>
      <c r="J49" s="143"/>
      <c r="K49" s="143"/>
      <c r="L49" s="143"/>
      <c r="M49" s="143"/>
      <c r="N49" s="143"/>
    </row>
    <row r="50" spans="1:14">
      <c r="A50" s="572" t="s">
        <v>1050</v>
      </c>
      <c r="B50" s="696"/>
      <c r="C50" s="675"/>
      <c r="D50" s="679" t="s">
        <v>910</v>
      </c>
      <c r="E50" s="680"/>
      <c r="F50" s="681"/>
      <c r="G50" s="143"/>
      <c r="H50" s="143"/>
      <c r="I50" s="143"/>
      <c r="J50" s="143"/>
      <c r="K50" s="143"/>
      <c r="L50" s="143"/>
      <c r="M50" s="143"/>
      <c r="N50" s="143"/>
    </row>
    <row r="51" spans="1:14">
      <c r="A51" s="140" t="s">
        <v>776</v>
      </c>
      <c r="B51" s="689" t="s">
        <v>843</v>
      </c>
      <c r="C51" s="147" t="s">
        <v>844</v>
      </c>
      <c r="D51" s="147"/>
      <c r="E51" s="147"/>
      <c r="F51" s="147"/>
      <c r="G51" s="148"/>
      <c r="H51" s="148"/>
      <c r="I51" s="148"/>
      <c r="J51" s="148"/>
      <c r="K51" s="148"/>
      <c r="L51" s="148"/>
      <c r="M51" s="148"/>
      <c r="N51" s="148">
        <f t="shared" ref="N51:N53" si="9">K51+L51+M51</f>
        <v>0</v>
      </c>
    </row>
    <row r="52" spans="1:14">
      <c r="A52" s="140" t="s">
        <v>845</v>
      </c>
      <c r="B52" s="689"/>
      <c r="C52" s="147" t="s">
        <v>846</v>
      </c>
      <c r="D52" s="147"/>
      <c r="E52" s="147"/>
      <c r="F52" s="147"/>
      <c r="G52" s="148"/>
      <c r="H52" s="148"/>
      <c r="I52" s="148"/>
      <c r="J52" s="148"/>
      <c r="K52" s="148"/>
      <c r="L52" s="148"/>
      <c r="M52" s="148"/>
      <c r="N52" s="148">
        <f t="shared" si="9"/>
        <v>0</v>
      </c>
    </row>
    <row r="53" spans="1:14">
      <c r="A53" s="140" t="s">
        <v>249</v>
      </c>
      <c r="B53" s="689"/>
      <c r="C53" s="147" t="s">
        <v>847</v>
      </c>
      <c r="D53" s="147"/>
      <c r="E53" s="147"/>
      <c r="F53" s="147"/>
      <c r="G53" s="148">
        <f t="shared" ref="G53:M53" si="10">SUM(G51:G52)</f>
        <v>0</v>
      </c>
      <c r="H53" s="148">
        <f t="shared" si="10"/>
        <v>0</v>
      </c>
      <c r="I53" s="148">
        <f t="shared" si="10"/>
        <v>0</v>
      </c>
      <c r="J53" s="148">
        <f t="shared" si="10"/>
        <v>0</v>
      </c>
      <c r="K53" s="148">
        <f t="shared" si="10"/>
        <v>0</v>
      </c>
      <c r="L53" s="148">
        <f t="shared" si="10"/>
        <v>0</v>
      </c>
      <c r="M53" s="148">
        <f t="shared" si="10"/>
        <v>0</v>
      </c>
      <c r="N53" s="148">
        <f t="shared" si="9"/>
        <v>0</v>
      </c>
    </row>
    <row r="55" spans="1:14">
      <c r="A55" s="149" t="s">
        <v>547</v>
      </c>
    </row>
    <row r="57" spans="1:14">
      <c r="A57" s="149" t="s">
        <v>59</v>
      </c>
    </row>
    <row r="58" spans="1:14" s="30" customFormat="1">
      <c r="A58" s="138"/>
      <c r="B58" s="138"/>
      <c r="C58" s="138"/>
      <c r="D58" s="138"/>
      <c r="E58" s="138"/>
      <c r="F58" s="138"/>
      <c r="G58" s="138"/>
      <c r="H58" s="138"/>
      <c r="I58" s="138"/>
      <c r="J58" s="138"/>
      <c r="K58" s="138"/>
      <c r="L58" s="138"/>
      <c r="M58" s="138"/>
      <c r="N58" s="138"/>
    </row>
    <row r="59" spans="1:14" s="30" customFormat="1">
      <c r="A59" s="138" t="s">
        <v>848</v>
      </c>
      <c r="B59" s="138"/>
      <c r="C59" s="138"/>
      <c r="D59" s="138"/>
      <c r="E59" s="138"/>
      <c r="F59" s="138"/>
      <c r="G59" s="138"/>
      <c r="H59" s="138"/>
      <c r="I59" s="138"/>
      <c r="J59" s="138"/>
      <c r="K59" s="138"/>
      <c r="L59" s="138"/>
      <c r="M59" s="138"/>
      <c r="N59" s="138"/>
    </row>
    <row r="60" spans="1:14" s="30" customFormat="1">
      <c r="A60" s="138" t="s">
        <v>849</v>
      </c>
      <c r="B60" s="138"/>
      <c r="C60" s="138"/>
      <c r="D60" s="138"/>
      <c r="E60" s="138"/>
      <c r="F60" s="138"/>
      <c r="G60" s="138"/>
      <c r="H60" s="138"/>
      <c r="I60" s="138"/>
      <c r="J60" s="138"/>
      <c r="K60" s="138"/>
      <c r="L60" s="138"/>
      <c r="M60" s="138"/>
      <c r="N60" s="138"/>
    </row>
    <row r="61" spans="1:14">
      <c r="A61" s="138" t="s">
        <v>850</v>
      </c>
    </row>
    <row r="62" spans="1:14">
      <c r="A62" s="138" t="s">
        <v>851</v>
      </c>
    </row>
    <row r="63" spans="1:14">
      <c r="A63" s="138" t="s">
        <v>852</v>
      </c>
    </row>
    <row r="64" spans="1:14">
      <c r="A64" s="30" t="s">
        <v>853</v>
      </c>
      <c r="B64" s="30"/>
      <c r="C64" s="30"/>
      <c r="D64" s="30"/>
      <c r="E64" s="30"/>
      <c r="F64" s="30"/>
      <c r="G64" s="30"/>
      <c r="H64" s="30"/>
      <c r="I64" s="30"/>
      <c r="J64" s="30"/>
      <c r="K64" s="30"/>
      <c r="L64" s="30"/>
      <c r="M64" s="30"/>
      <c r="N64" s="30"/>
    </row>
    <row r="65" spans="1:14">
      <c r="A65" s="30" t="s">
        <v>854</v>
      </c>
      <c r="B65" s="30"/>
      <c r="C65" s="30"/>
      <c r="D65" s="30"/>
      <c r="E65" s="30"/>
      <c r="F65" s="30"/>
      <c r="G65" s="30"/>
      <c r="H65" s="30"/>
      <c r="I65" s="30"/>
      <c r="J65" s="30"/>
      <c r="K65" s="30"/>
      <c r="L65" s="30"/>
      <c r="M65" s="30"/>
      <c r="N65" s="30"/>
    </row>
    <row r="66" spans="1:14">
      <c r="A66" s="30" t="s">
        <v>855</v>
      </c>
      <c r="B66" s="30"/>
      <c r="C66" s="30"/>
      <c r="D66" s="30"/>
      <c r="E66" s="30"/>
      <c r="F66" s="30"/>
      <c r="G66" s="30"/>
      <c r="H66" s="30"/>
      <c r="I66" s="30"/>
      <c r="J66" s="30"/>
      <c r="K66" s="30"/>
      <c r="L66" s="30"/>
      <c r="M66" s="30"/>
      <c r="N66" s="30"/>
    </row>
    <row r="67" spans="1:14">
      <c r="A67" s="138" t="s">
        <v>856</v>
      </c>
    </row>
    <row r="68" spans="1:14">
      <c r="A68" s="138" t="s">
        <v>857</v>
      </c>
    </row>
    <row r="69" spans="1:14">
      <c r="A69" s="138" t="s">
        <v>858</v>
      </c>
    </row>
    <row r="70" spans="1:14">
      <c r="A70" s="138" t="s">
        <v>859</v>
      </c>
    </row>
    <row r="71" spans="1:14">
      <c r="A71" s="138" t="s">
        <v>860</v>
      </c>
    </row>
    <row r="72" spans="1:14">
      <c r="A72" s="30" t="s">
        <v>861</v>
      </c>
      <c r="B72" s="30"/>
      <c r="C72" s="30"/>
      <c r="D72" s="30"/>
      <c r="E72" s="30"/>
      <c r="F72" s="30"/>
      <c r="G72" s="30"/>
      <c r="H72" s="30"/>
      <c r="I72" s="30"/>
      <c r="J72" s="30"/>
      <c r="K72" s="30"/>
      <c r="L72" s="30"/>
      <c r="M72" s="30"/>
      <c r="N72" s="30"/>
    </row>
    <row r="73" spans="1:14">
      <c r="A73" s="138" t="s">
        <v>862</v>
      </c>
    </row>
    <row r="74" spans="1:14">
      <c r="A74" s="138" t="s">
        <v>863</v>
      </c>
    </row>
    <row r="75" spans="1:14">
      <c r="A75" s="138" t="s">
        <v>864</v>
      </c>
    </row>
    <row r="76" spans="1:14">
      <c r="A76" s="138" t="s">
        <v>865</v>
      </c>
    </row>
    <row r="77" spans="1:14" ht="14.25" customHeight="1">
      <c r="A77" s="30" t="s">
        <v>866</v>
      </c>
      <c r="B77" s="30"/>
      <c r="C77" s="30"/>
      <c r="D77" s="30"/>
      <c r="E77" s="30"/>
      <c r="F77" s="30"/>
      <c r="G77" s="30"/>
      <c r="H77" s="30"/>
      <c r="I77" s="30"/>
      <c r="J77" s="30"/>
      <c r="K77" s="30"/>
      <c r="L77" s="30"/>
      <c r="M77" s="30"/>
      <c r="N77" s="30"/>
    </row>
    <row r="78" spans="1:14">
      <c r="A78" s="138" t="s">
        <v>867</v>
      </c>
    </row>
    <row r="79" spans="1:14">
      <c r="A79" s="138" t="s">
        <v>868</v>
      </c>
    </row>
    <row r="80" spans="1:14">
      <c r="A80" s="138" t="s">
        <v>869</v>
      </c>
    </row>
    <row r="81" spans="1:14" s="30" customFormat="1">
      <c r="A81" s="138" t="s">
        <v>870</v>
      </c>
      <c r="B81" s="138"/>
      <c r="C81" s="138"/>
      <c r="D81" s="138"/>
      <c r="E81" s="138"/>
      <c r="F81" s="138"/>
      <c r="G81" s="138"/>
      <c r="H81" s="138"/>
      <c r="I81" s="138"/>
      <c r="J81" s="138"/>
      <c r="K81" s="138"/>
      <c r="L81" s="138"/>
      <c r="M81" s="138"/>
      <c r="N81" s="138"/>
    </row>
    <row r="82" spans="1:14" s="30" customFormat="1">
      <c r="A82" s="138" t="s">
        <v>871</v>
      </c>
      <c r="B82" s="138"/>
      <c r="C82" s="138"/>
      <c r="D82" s="138"/>
      <c r="E82" s="138"/>
      <c r="F82" s="138"/>
      <c r="G82" s="138"/>
      <c r="H82" s="138"/>
      <c r="I82" s="138"/>
      <c r="J82" s="138"/>
      <c r="K82" s="138"/>
      <c r="L82" s="138"/>
      <c r="M82" s="138"/>
      <c r="N82" s="138"/>
    </row>
    <row r="83" spans="1:14" s="30" customFormat="1">
      <c r="A83" s="138"/>
      <c r="B83" s="138"/>
      <c r="C83" s="138"/>
      <c r="D83" s="138"/>
      <c r="E83" s="138"/>
      <c r="F83" s="138"/>
      <c r="G83" s="138"/>
      <c r="H83" s="138"/>
      <c r="I83" s="138"/>
      <c r="J83" s="138"/>
      <c r="K83" s="138"/>
      <c r="L83" s="138"/>
      <c r="M83" s="138"/>
      <c r="N83" s="138"/>
    </row>
    <row r="84" spans="1:14" s="30" customFormat="1">
      <c r="A84" s="150" t="s">
        <v>872</v>
      </c>
      <c r="B84" s="150"/>
      <c r="C84" s="150"/>
      <c r="D84" s="150"/>
      <c r="E84" s="150"/>
      <c r="F84" s="150"/>
      <c r="G84" s="150"/>
      <c r="H84" s="150"/>
      <c r="I84" s="150"/>
      <c r="J84" s="150"/>
      <c r="K84" s="150"/>
      <c r="L84" s="150"/>
      <c r="M84" s="150"/>
      <c r="N84" s="150"/>
    </row>
    <row r="85" spans="1:14" s="30" customFormat="1">
      <c r="A85" s="138" t="s">
        <v>873</v>
      </c>
      <c r="C85" s="138"/>
      <c r="D85" s="138"/>
      <c r="E85" s="138"/>
      <c r="F85" s="138"/>
      <c r="G85" s="138"/>
      <c r="H85" s="138"/>
      <c r="I85" s="138"/>
      <c r="J85" s="138"/>
      <c r="K85" s="138"/>
      <c r="L85" s="138"/>
      <c r="M85" s="138"/>
      <c r="N85" s="138"/>
    </row>
    <row r="86" spans="1:14" s="30" customFormat="1">
      <c r="A86" s="30" t="s">
        <v>874</v>
      </c>
      <c r="B86" s="138"/>
      <c r="C86" s="138"/>
      <c r="D86" s="138"/>
      <c r="E86" s="138"/>
      <c r="F86" s="138"/>
      <c r="G86" s="138"/>
      <c r="H86" s="138"/>
      <c r="I86" s="138"/>
      <c r="J86" s="138"/>
      <c r="K86" s="138"/>
      <c r="L86" s="138"/>
      <c r="M86" s="138"/>
      <c r="N86" s="138"/>
    </row>
    <row r="87" spans="1:14" s="30" customFormat="1">
      <c r="A87" s="138" t="s">
        <v>875</v>
      </c>
      <c r="B87" s="138"/>
      <c r="C87" s="138"/>
      <c r="D87" s="138"/>
      <c r="E87" s="138"/>
      <c r="F87" s="138"/>
      <c r="G87" s="138"/>
      <c r="H87" s="138"/>
      <c r="I87" s="138"/>
      <c r="J87" s="138"/>
      <c r="K87" s="138"/>
      <c r="L87" s="138"/>
      <c r="M87" s="138"/>
      <c r="N87" s="138"/>
    </row>
    <row r="88" spans="1:14" s="30" customFormat="1">
      <c r="A88" s="30" t="s">
        <v>876</v>
      </c>
    </row>
    <row r="89" spans="1:14">
      <c r="A89" s="30" t="s">
        <v>877</v>
      </c>
      <c r="B89" s="30"/>
      <c r="C89" s="30"/>
      <c r="D89" s="30"/>
      <c r="E89" s="30"/>
      <c r="F89" s="30"/>
      <c r="G89" s="30"/>
      <c r="H89" s="30"/>
      <c r="I89" s="30"/>
      <c r="J89" s="30"/>
      <c r="K89" s="30"/>
      <c r="L89" s="30"/>
      <c r="M89" s="30"/>
      <c r="N89" s="30"/>
    </row>
    <row r="90" spans="1:14">
      <c r="A90" s="30" t="s">
        <v>878</v>
      </c>
      <c r="B90" s="30"/>
      <c r="C90" s="30"/>
      <c r="D90" s="30"/>
      <c r="E90" s="30"/>
      <c r="F90" s="30"/>
      <c r="G90" s="30"/>
      <c r="H90" s="30"/>
      <c r="I90" s="30"/>
      <c r="J90" s="30"/>
      <c r="K90" s="30"/>
      <c r="L90" s="30"/>
      <c r="M90" s="30"/>
      <c r="N90" s="30"/>
    </row>
    <row r="91" spans="1:14">
      <c r="A91" s="30" t="s">
        <v>879</v>
      </c>
      <c r="B91" s="30"/>
      <c r="C91" s="30"/>
      <c r="D91" s="30"/>
      <c r="E91" s="30"/>
      <c r="F91" s="30"/>
      <c r="G91" s="30"/>
      <c r="H91" s="30"/>
      <c r="I91" s="30"/>
      <c r="J91" s="30"/>
      <c r="K91" s="30"/>
      <c r="L91" s="30"/>
      <c r="M91" s="30"/>
      <c r="N91" s="30"/>
    </row>
    <row r="92" spans="1:14">
      <c r="A92" s="30" t="s">
        <v>880</v>
      </c>
      <c r="B92" s="30"/>
      <c r="C92" s="30"/>
      <c r="D92" s="30"/>
      <c r="E92" s="30"/>
      <c r="F92" s="30"/>
      <c r="G92" s="30"/>
      <c r="H92" s="30"/>
      <c r="I92" s="30"/>
      <c r="J92" s="30"/>
      <c r="K92" s="30"/>
      <c r="L92" s="30"/>
      <c r="M92" s="30"/>
      <c r="N92" s="30"/>
    </row>
    <row r="93" spans="1:14">
      <c r="A93" s="30" t="s">
        <v>881</v>
      </c>
      <c r="B93" s="30"/>
      <c r="C93" s="30"/>
      <c r="D93" s="30"/>
      <c r="E93" s="30"/>
      <c r="F93" s="30"/>
      <c r="G93" s="30"/>
      <c r="H93" s="30"/>
      <c r="I93" s="30"/>
      <c r="J93" s="30"/>
      <c r="K93" s="30"/>
      <c r="L93" s="30"/>
      <c r="M93" s="30"/>
      <c r="N93" s="30"/>
    </row>
    <row r="94" spans="1:14">
      <c r="A94" s="30" t="s">
        <v>878</v>
      </c>
      <c r="B94" s="30"/>
      <c r="C94" s="30"/>
      <c r="D94" s="30"/>
      <c r="E94" s="30"/>
      <c r="F94" s="30"/>
      <c r="G94" s="30"/>
      <c r="H94" s="30"/>
      <c r="I94" s="30"/>
      <c r="J94" s="30"/>
      <c r="K94" s="30"/>
      <c r="L94" s="30"/>
      <c r="M94" s="30"/>
      <c r="N94" s="30"/>
    </row>
    <row r="95" spans="1:14">
      <c r="A95" s="30" t="s">
        <v>882</v>
      </c>
      <c r="B95" s="30"/>
      <c r="C95" s="30"/>
      <c r="D95" s="30"/>
      <c r="E95" s="30"/>
      <c r="F95" s="30"/>
      <c r="G95" s="30"/>
      <c r="H95" s="30"/>
      <c r="I95" s="30"/>
      <c r="J95" s="30"/>
      <c r="K95" s="30"/>
      <c r="L95" s="30"/>
      <c r="M95" s="30"/>
      <c r="N95" s="30"/>
    </row>
    <row r="96" spans="1:14">
      <c r="A96" s="138" t="s">
        <v>883</v>
      </c>
    </row>
    <row r="97" spans="1:14">
      <c r="A97" s="138" t="s">
        <v>884</v>
      </c>
    </row>
    <row r="98" spans="1:14">
      <c r="A98" s="138" t="s">
        <v>885</v>
      </c>
    </row>
    <row r="99" spans="1:14">
      <c r="A99" s="138" t="s">
        <v>886</v>
      </c>
    </row>
    <row r="100" spans="1:14">
      <c r="A100" s="138" t="s">
        <v>887</v>
      </c>
    </row>
    <row r="101" spans="1:14">
      <c r="A101" s="138" t="s">
        <v>888</v>
      </c>
    </row>
    <row r="102" spans="1:14">
      <c r="A102" s="138" t="s">
        <v>889</v>
      </c>
    </row>
    <row r="103" spans="1:14">
      <c r="A103" s="138" t="s">
        <v>890</v>
      </c>
    </row>
    <row r="104" spans="1:14">
      <c r="A104" s="150" t="s">
        <v>891</v>
      </c>
      <c r="B104" s="30"/>
      <c r="C104" s="30"/>
      <c r="D104" s="30"/>
      <c r="E104" s="30"/>
      <c r="F104" s="30"/>
      <c r="G104" s="30"/>
      <c r="H104" s="30"/>
      <c r="I104" s="30"/>
      <c r="J104" s="30"/>
      <c r="K104" s="30"/>
      <c r="L104" s="30"/>
      <c r="M104" s="30"/>
    </row>
    <row r="105" spans="1:14">
      <c r="A105" s="150"/>
      <c r="B105" s="30"/>
      <c r="C105" s="30"/>
      <c r="D105" s="30"/>
      <c r="E105" s="30"/>
      <c r="F105" s="30"/>
      <c r="G105" s="30"/>
      <c r="H105" s="30"/>
      <c r="I105" s="30"/>
      <c r="J105" s="30"/>
      <c r="K105" s="30"/>
      <c r="L105" s="30"/>
      <c r="M105" s="30"/>
    </row>
    <row r="106" spans="1:14">
      <c r="A106" s="151" t="s">
        <v>177</v>
      </c>
      <c r="B106" s="152"/>
      <c r="C106" s="152"/>
      <c r="D106" s="152"/>
      <c r="E106" s="153"/>
      <c r="F106" s="153"/>
      <c r="G106" s="153"/>
      <c r="H106" s="30"/>
      <c r="I106" s="30"/>
      <c r="J106" s="30"/>
      <c r="K106" s="30"/>
      <c r="L106" s="30"/>
      <c r="M106" s="30"/>
      <c r="N106" s="30"/>
    </row>
    <row r="107" spans="1:14">
      <c r="A107" s="154" t="s">
        <v>892</v>
      </c>
      <c r="B107" s="152"/>
      <c r="C107" s="152"/>
      <c r="D107" s="152"/>
      <c r="E107" s="153"/>
      <c r="F107" s="153"/>
      <c r="G107" s="153"/>
      <c r="H107" s="30"/>
      <c r="I107" s="30"/>
      <c r="J107" s="30"/>
      <c r="K107" s="30"/>
      <c r="L107" s="30"/>
      <c r="M107" s="30"/>
      <c r="N107" s="30"/>
    </row>
    <row r="108" spans="1:14">
      <c r="A108" s="30" t="s">
        <v>893</v>
      </c>
      <c r="B108" s="30"/>
      <c r="C108" s="30"/>
      <c r="D108" s="30"/>
      <c r="E108" s="30"/>
      <c r="F108" s="30"/>
      <c r="G108" s="30"/>
      <c r="H108" s="30"/>
      <c r="I108" s="30"/>
      <c r="J108" s="30"/>
      <c r="K108" s="30"/>
      <c r="L108" s="30"/>
      <c r="M108" s="30"/>
      <c r="N108" s="30"/>
    </row>
    <row r="109" spans="1:14">
      <c r="A109" s="154" t="s">
        <v>894</v>
      </c>
      <c r="B109" s="30"/>
      <c r="C109" s="153"/>
      <c r="D109" s="153"/>
      <c r="E109" s="153"/>
      <c r="F109" s="153"/>
      <c r="G109" s="153"/>
      <c r="H109" s="153"/>
      <c r="I109" s="153"/>
      <c r="J109" s="153"/>
      <c r="K109" s="153"/>
      <c r="L109" s="153"/>
      <c r="M109" s="153"/>
      <c r="N109" s="153"/>
    </row>
  </sheetData>
  <mergeCells count="47">
    <mergeCell ref="A10:F11"/>
    <mergeCell ref="B12:B32"/>
    <mergeCell ref="C12:C27"/>
    <mergeCell ref="D12:F12"/>
    <mergeCell ref="D13:F13"/>
    <mergeCell ref="D14:F14"/>
    <mergeCell ref="D15:F15"/>
    <mergeCell ref="D16:F16"/>
    <mergeCell ref="D17:F17"/>
    <mergeCell ref="D18:D25"/>
    <mergeCell ref="E18:F18"/>
    <mergeCell ref="E19:F19"/>
    <mergeCell ref="E20:F20"/>
    <mergeCell ref="E21:E23"/>
    <mergeCell ref="E24:F24"/>
    <mergeCell ref="E25:F25"/>
    <mergeCell ref="D26:F26"/>
    <mergeCell ref="D27:F27"/>
    <mergeCell ref="C28:F28"/>
    <mergeCell ref="C29:F29"/>
    <mergeCell ref="B51:B53"/>
    <mergeCell ref="D39:F39"/>
    <mergeCell ref="D40:F40"/>
    <mergeCell ref="D41:F41"/>
    <mergeCell ref="D42:F42"/>
    <mergeCell ref="D43:F43"/>
    <mergeCell ref="D44:F44"/>
    <mergeCell ref="B33:B50"/>
    <mergeCell ref="C33:C45"/>
    <mergeCell ref="D33:D37"/>
    <mergeCell ref="E33:F33"/>
    <mergeCell ref="E34:F34"/>
    <mergeCell ref="C30:C32"/>
    <mergeCell ref="D30:F30"/>
    <mergeCell ref="C48:C50"/>
    <mergeCell ref="D48:F48"/>
    <mergeCell ref="D49:F49"/>
    <mergeCell ref="D50:F50"/>
    <mergeCell ref="D45:F45"/>
    <mergeCell ref="C46:F46"/>
    <mergeCell ref="C47:F47"/>
    <mergeCell ref="E35:F35"/>
    <mergeCell ref="E36:F36"/>
    <mergeCell ref="E37:F37"/>
    <mergeCell ref="D38:F38"/>
    <mergeCell ref="D31:F31"/>
    <mergeCell ref="D32:F32"/>
  </mergeCells>
  <phoneticPr fontId="6" type="noConversion"/>
  <pageMargins left="0.74803149606299213" right="0.74803149606299213" top="0.98425196850393704" bottom="0.98425196850393704" header="0.51181102362204722" footer="0.51181102362204722"/>
  <pageSetup paperSize="9" scale="29" orientation="landscape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BD90EE-0F0C-4F1E-8595-BC0913B5DB4B}">
  <sheetPr codeName="Sheet5">
    <tabColor rgb="FFFFFF00"/>
    <pageSetUpPr fitToPage="1"/>
  </sheetPr>
  <dimension ref="A1:N116"/>
  <sheetViews>
    <sheetView showGridLines="0" view="pageBreakPreview" zoomScale="85" zoomScaleNormal="80" zoomScaleSheetLayoutView="85" workbookViewId="0">
      <pane xSplit="6" ySplit="11" topLeftCell="G12" activePane="bottomRight" state="frozen"/>
      <selection activeCell="K1" sqref="K1"/>
      <selection pane="topRight" activeCell="K1" sqref="K1"/>
      <selection pane="bottomLeft" activeCell="K1" sqref="K1"/>
      <selection pane="bottomRight" activeCell="G12" sqref="G12"/>
    </sheetView>
  </sheetViews>
  <sheetFormatPr defaultColWidth="8.8984375" defaultRowHeight="14.4"/>
  <cols>
    <col min="1" max="1" width="5.8984375" style="138" customWidth="1"/>
    <col min="2" max="2" width="5.19921875" style="138" customWidth="1"/>
    <col min="3" max="3" width="9.59765625" style="138" customWidth="1"/>
    <col min="4" max="4" width="9.8984375" style="138" customWidth="1"/>
    <col min="5" max="5" width="5.796875" style="138" customWidth="1"/>
    <col min="6" max="6" width="13.8984375" style="138" customWidth="1"/>
    <col min="7" max="12" width="12.09765625" style="138" customWidth="1"/>
    <col min="13" max="13" width="15.296875" style="138" customWidth="1"/>
    <col min="14" max="14" width="17.3984375" style="138" bestFit="1" customWidth="1"/>
    <col min="15" max="15" width="10.69921875" style="138" bestFit="1" customWidth="1"/>
    <col min="16" max="16384" width="8.8984375" style="138"/>
  </cols>
  <sheetData>
    <row r="1" spans="1:14">
      <c r="K1" s="532"/>
    </row>
    <row r="7" spans="1:14" ht="17.25" customHeight="1">
      <c r="A7" s="137" t="s">
        <v>789</v>
      </c>
      <c r="B7" s="137"/>
      <c r="C7" s="137"/>
      <c r="D7" s="137"/>
      <c r="E7" s="137"/>
      <c r="F7" s="137"/>
      <c r="G7" s="137"/>
    </row>
    <row r="8" spans="1:14" ht="6" customHeight="1"/>
    <row r="9" spans="1:14">
      <c r="A9" s="138" t="s">
        <v>171</v>
      </c>
      <c r="N9" s="139"/>
    </row>
    <row r="10" spans="1:14">
      <c r="A10" s="682" t="s">
        <v>555</v>
      </c>
      <c r="B10" s="682"/>
      <c r="C10" s="682"/>
      <c r="D10" s="682"/>
      <c r="E10" s="682"/>
      <c r="F10" s="682"/>
      <c r="G10" s="140" t="s">
        <v>556</v>
      </c>
      <c r="H10" s="140" t="s">
        <v>557</v>
      </c>
      <c r="I10" s="140" t="s">
        <v>558</v>
      </c>
      <c r="J10" s="140" t="s">
        <v>559</v>
      </c>
      <c r="K10" s="140" t="s">
        <v>561</v>
      </c>
      <c r="L10" s="140" t="s">
        <v>560</v>
      </c>
      <c r="M10" s="140" t="s">
        <v>170</v>
      </c>
      <c r="N10" s="140" t="s">
        <v>743</v>
      </c>
    </row>
    <row r="11" spans="1:14" ht="28.5" customHeight="1">
      <c r="A11" s="682"/>
      <c r="B11" s="682"/>
      <c r="C11" s="682"/>
      <c r="D11" s="682"/>
      <c r="E11" s="682"/>
      <c r="F11" s="682"/>
      <c r="G11" s="141" t="s">
        <v>790</v>
      </c>
      <c r="H11" s="141" t="s">
        <v>791</v>
      </c>
      <c r="I11" s="141" t="s">
        <v>792</v>
      </c>
      <c r="J11" s="141" t="s">
        <v>793</v>
      </c>
      <c r="K11" s="141" t="s">
        <v>794</v>
      </c>
      <c r="L11" s="141" t="s">
        <v>795</v>
      </c>
      <c r="M11" s="140" t="s">
        <v>796</v>
      </c>
      <c r="N11" s="140" t="s">
        <v>581</v>
      </c>
    </row>
    <row r="12" spans="1:14" ht="15" customHeight="1">
      <c r="A12" s="142" t="s">
        <v>693</v>
      </c>
      <c r="B12" s="697" t="s">
        <v>797</v>
      </c>
      <c r="C12" s="689" t="s">
        <v>798</v>
      </c>
      <c r="D12" s="700" t="s">
        <v>799</v>
      </c>
      <c r="E12" s="700"/>
      <c r="F12" s="700"/>
      <c r="G12" s="143"/>
      <c r="H12" s="143"/>
      <c r="I12" s="143"/>
      <c r="J12" s="143"/>
      <c r="K12" s="143"/>
      <c r="L12" s="143"/>
      <c r="M12" s="143"/>
      <c r="N12" s="143">
        <f>K12+L12+M12</f>
        <v>0</v>
      </c>
    </row>
    <row r="13" spans="1:14" ht="15" customHeight="1">
      <c r="A13" s="142" t="s">
        <v>694</v>
      </c>
      <c r="B13" s="698"/>
      <c r="C13" s="689"/>
      <c r="D13" s="700" t="s">
        <v>800</v>
      </c>
      <c r="E13" s="700"/>
      <c r="F13" s="700"/>
      <c r="G13" s="143"/>
      <c r="H13" s="143"/>
      <c r="I13" s="143"/>
      <c r="J13" s="143"/>
      <c r="K13" s="143"/>
      <c r="L13" s="143"/>
      <c r="M13" s="143"/>
      <c r="N13" s="143">
        <f t="shared" ref="N13:N49" si="0">K13+L13+M13</f>
        <v>0</v>
      </c>
    </row>
    <row r="14" spans="1:14" ht="15" customHeight="1">
      <c r="A14" s="142" t="s">
        <v>752</v>
      </c>
      <c r="B14" s="698"/>
      <c r="C14" s="689"/>
      <c r="D14" s="700" t="s">
        <v>186</v>
      </c>
      <c r="E14" s="700"/>
      <c r="F14" s="700"/>
      <c r="G14" s="143"/>
      <c r="H14" s="143"/>
      <c r="I14" s="143"/>
      <c r="J14" s="143"/>
      <c r="K14" s="143"/>
      <c r="L14" s="143"/>
      <c r="M14" s="143"/>
      <c r="N14" s="143">
        <f t="shared" si="0"/>
        <v>0</v>
      </c>
    </row>
    <row r="15" spans="1:14" ht="15" customHeight="1">
      <c r="A15" s="142" t="s">
        <v>753</v>
      </c>
      <c r="B15" s="698"/>
      <c r="C15" s="689"/>
      <c r="D15" s="700" t="s">
        <v>194</v>
      </c>
      <c r="E15" s="700"/>
      <c r="F15" s="700"/>
      <c r="G15" s="143"/>
      <c r="H15" s="143"/>
      <c r="I15" s="143"/>
      <c r="J15" s="143"/>
      <c r="K15" s="143"/>
      <c r="L15" s="143"/>
      <c r="M15" s="143"/>
      <c r="N15" s="143">
        <f t="shared" si="0"/>
        <v>0</v>
      </c>
    </row>
    <row r="16" spans="1:14" ht="15" customHeight="1">
      <c r="A16" s="142" t="s">
        <v>754</v>
      </c>
      <c r="B16" s="698"/>
      <c r="C16" s="689"/>
      <c r="D16" s="700" t="s">
        <v>195</v>
      </c>
      <c r="E16" s="700"/>
      <c r="F16" s="700"/>
      <c r="G16" s="143"/>
      <c r="H16" s="143"/>
      <c r="I16" s="143"/>
      <c r="J16" s="143"/>
      <c r="K16" s="143"/>
      <c r="L16" s="143"/>
      <c r="M16" s="143"/>
      <c r="N16" s="143">
        <f t="shared" si="0"/>
        <v>0</v>
      </c>
    </row>
    <row r="17" spans="1:14" ht="15" customHeight="1">
      <c r="A17" s="142" t="s">
        <v>755</v>
      </c>
      <c r="B17" s="698"/>
      <c r="C17" s="689"/>
      <c r="D17" s="700" t="s">
        <v>801</v>
      </c>
      <c r="E17" s="700"/>
      <c r="F17" s="700"/>
      <c r="G17" s="143"/>
      <c r="H17" s="143"/>
      <c r="I17" s="143"/>
      <c r="J17" s="143"/>
      <c r="K17" s="143"/>
      <c r="L17" s="143"/>
      <c r="M17" s="143"/>
      <c r="N17" s="143">
        <f t="shared" si="0"/>
        <v>0</v>
      </c>
    </row>
    <row r="18" spans="1:14" ht="15" customHeight="1">
      <c r="A18" s="142" t="s">
        <v>802</v>
      </c>
      <c r="B18" s="698"/>
      <c r="C18" s="689"/>
      <c r="D18" s="700" t="s">
        <v>803</v>
      </c>
      <c r="E18" s="687" t="s">
        <v>804</v>
      </c>
      <c r="F18" s="687"/>
      <c r="G18" s="143"/>
      <c r="H18" s="143"/>
      <c r="I18" s="143"/>
      <c r="J18" s="143"/>
      <c r="K18" s="143"/>
      <c r="L18" s="143"/>
      <c r="M18" s="143"/>
      <c r="N18" s="143">
        <f t="shared" si="0"/>
        <v>0</v>
      </c>
    </row>
    <row r="19" spans="1:14" ht="15" customHeight="1">
      <c r="A19" s="142" t="s">
        <v>805</v>
      </c>
      <c r="B19" s="698"/>
      <c r="C19" s="689"/>
      <c r="D19" s="687"/>
      <c r="E19" s="687" t="s">
        <v>806</v>
      </c>
      <c r="F19" s="687"/>
      <c r="G19" s="143"/>
      <c r="H19" s="143"/>
      <c r="I19" s="143"/>
      <c r="J19" s="143"/>
      <c r="K19" s="143"/>
      <c r="L19" s="143"/>
      <c r="M19" s="143"/>
      <c r="N19" s="143">
        <f t="shared" si="0"/>
        <v>0</v>
      </c>
    </row>
    <row r="20" spans="1:14" ht="15" customHeight="1">
      <c r="A20" s="142" t="s">
        <v>807</v>
      </c>
      <c r="B20" s="698"/>
      <c r="C20" s="689"/>
      <c r="D20" s="687"/>
      <c r="E20" s="687" t="s">
        <v>808</v>
      </c>
      <c r="F20" s="687"/>
      <c r="G20" s="143"/>
      <c r="H20" s="143"/>
      <c r="I20" s="143"/>
      <c r="J20" s="143"/>
      <c r="K20" s="143"/>
      <c r="L20" s="143"/>
      <c r="M20" s="143"/>
      <c r="N20" s="143">
        <f t="shared" si="0"/>
        <v>0</v>
      </c>
    </row>
    <row r="21" spans="1:14" ht="15" customHeight="1">
      <c r="A21" s="142" t="s">
        <v>809</v>
      </c>
      <c r="B21" s="698"/>
      <c r="C21" s="689"/>
      <c r="D21" s="687"/>
      <c r="E21" s="687" t="s">
        <v>810</v>
      </c>
      <c r="F21" s="568" t="s">
        <v>811</v>
      </c>
      <c r="G21" s="143"/>
      <c r="H21" s="143"/>
      <c r="I21" s="143"/>
      <c r="J21" s="143"/>
      <c r="K21" s="143"/>
      <c r="L21" s="143"/>
      <c r="M21" s="143"/>
      <c r="N21" s="143">
        <f t="shared" si="0"/>
        <v>0</v>
      </c>
    </row>
    <row r="22" spans="1:14" ht="15" customHeight="1">
      <c r="A22" s="142" t="s">
        <v>812</v>
      </c>
      <c r="B22" s="698"/>
      <c r="C22" s="689"/>
      <c r="D22" s="687"/>
      <c r="E22" s="687"/>
      <c r="F22" s="145" t="s">
        <v>813</v>
      </c>
      <c r="G22" s="143"/>
      <c r="H22" s="143"/>
      <c r="I22" s="143"/>
      <c r="J22" s="143"/>
      <c r="K22" s="143"/>
      <c r="L22" s="143"/>
      <c r="M22" s="143"/>
      <c r="N22" s="143">
        <f t="shared" si="0"/>
        <v>0</v>
      </c>
    </row>
    <row r="23" spans="1:14" ht="15" customHeight="1">
      <c r="A23" s="142" t="s">
        <v>814</v>
      </c>
      <c r="B23" s="698"/>
      <c r="C23" s="689"/>
      <c r="D23" s="687"/>
      <c r="E23" s="687"/>
      <c r="F23" s="145" t="s">
        <v>599</v>
      </c>
      <c r="G23" s="143">
        <f t="shared" ref="G23:M23" si="1">G21+G22</f>
        <v>0</v>
      </c>
      <c r="H23" s="143">
        <f t="shared" si="1"/>
        <v>0</v>
      </c>
      <c r="I23" s="143">
        <f t="shared" si="1"/>
        <v>0</v>
      </c>
      <c r="J23" s="143">
        <f t="shared" si="1"/>
        <v>0</v>
      </c>
      <c r="K23" s="143">
        <f t="shared" si="1"/>
        <v>0</v>
      </c>
      <c r="L23" s="143">
        <f t="shared" si="1"/>
        <v>0</v>
      </c>
      <c r="M23" s="143">
        <f t="shared" si="1"/>
        <v>0</v>
      </c>
      <c r="N23" s="143">
        <f t="shared" si="0"/>
        <v>0</v>
      </c>
    </row>
    <row r="24" spans="1:14" ht="15" customHeight="1">
      <c r="A24" s="142" t="s">
        <v>815</v>
      </c>
      <c r="B24" s="698"/>
      <c r="C24" s="689"/>
      <c r="D24" s="687"/>
      <c r="E24" s="687" t="s">
        <v>68</v>
      </c>
      <c r="F24" s="687"/>
      <c r="G24" s="143"/>
      <c r="H24" s="143"/>
      <c r="I24" s="143"/>
      <c r="J24" s="143"/>
      <c r="K24" s="143"/>
      <c r="L24" s="143"/>
      <c r="M24" s="143"/>
      <c r="N24" s="143">
        <f t="shared" si="0"/>
        <v>0</v>
      </c>
    </row>
    <row r="25" spans="1:14" ht="15" customHeight="1">
      <c r="A25" s="142" t="s">
        <v>222</v>
      </c>
      <c r="B25" s="698"/>
      <c r="C25" s="689"/>
      <c r="D25" s="687"/>
      <c r="E25" s="687" t="s">
        <v>599</v>
      </c>
      <c r="F25" s="687"/>
      <c r="G25" s="143">
        <f t="shared" ref="G25:M25" si="2">G18+G19+G20+G23+G24</f>
        <v>0</v>
      </c>
      <c r="H25" s="143">
        <f t="shared" si="2"/>
        <v>0</v>
      </c>
      <c r="I25" s="143">
        <f t="shared" si="2"/>
        <v>0</v>
      </c>
      <c r="J25" s="143">
        <f t="shared" si="2"/>
        <v>0</v>
      </c>
      <c r="K25" s="143">
        <f t="shared" si="2"/>
        <v>0</v>
      </c>
      <c r="L25" s="143">
        <f t="shared" si="2"/>
        <v>0</v>
      </c>
      <c r="M25" s="143">
        <f t="shared" si="2"/>
        <v>0</v>
      </c>
      <c r="N25" s="143">
        <f t="shared" si="0"/>
        <v>0</v>
      </c>
    </row>
    <row r="26" spans="1:14" ht="15" customHeight="1">
      <c r="A26" s="142" t="s">
        <v>223</v>
      </c>
      <c r="B26" s="698"/>
      <c r="C26" s="689"/>
      <c r="D26" s="687" t="s">
        <v>816</v>
      </c>
      <c r="E26" s="687"/>
      <c r="F26" s="687"/>
      <c r="G26" s="143"/>
      <c r="H26" s="143"/>
      <c r="I26" s="143"/>
      <c r="J26" s="143"/>
      <c r="K26" s="143"/>
      <c r="L26" s="143"/>
      <c r="M26" s="143"/>
      <c r="N26" s="143">
        <f t="shared" si="0"/>
        <v>0</v>
      </c>
    </row>
    <row r="27" spans="1:14" ht="15" customHeight="1">
      <c r="A27" s="142" t="s">
        <v>556</v>
      </c>
      <c r="B27" s="698"/>
      <c r="C27" s="689"/>
      <c r="D27" s="682" t="s">
        <v>817</v>
      </c>
      <c r="E27" s="682"/>
      <c r="F27" s="682"/>
      <c r="G27" s="143">
        <f t="shared" ref="G27:M27" si="3">SUM(G12:G17)+G25+G26</f>
        <v>0</v>
      </c>
      <c r="H27" s="143">
        <f t="shared" si="3"/>
        <v>0</v>
      </c>
      <c r="I27" s="143">
        <f t="shared" si="3"/>
        <v>0</v>
      </c>
      <c r="J27" s="143">
        <f t="shared" si="3"/>
        <v>0</v>
      </c>
      <c r="K27" s="143">
        <f t="shared" si="3"/>
        <v>0</v>
      </c>
      <c r="L27" s="143">
        <f t="shared" si="3"/>
        <v>0</v>
      </c>
      <c r="M27" s="143">
        <f t="shared" si="3"/>
        <v>0</v>
      </c>
      <c r="N27" s="143">
        <f t="shared" si="0"/>
        <v>0</v>
      </c>
    </row>
    <row r="28" spans="1:14" ht="15" customHeight="1">
      <c r="A28" s="142" t="s">
        <v>557</v>
      </c>
      <c r="B28" s="698"/>
      <c r="C28" s="682" t="s">
        <v>818</v>
      </c>
      <c r="D28" s="682"/>
      <c r="E28" s="682"/>
      <c r="F28" s="682"/>
      <c r="G28" s="143"/>
      <c r="H28" s="143"/>
      <c r="I28" s="143"/>
      <c r="J28" s="143"/>
      <c r="K28" s="143"/>
      <c r="L28" s="143"/>
      <c r="M28" s="143"/>
      <c r="N28" s="143">
        <f t="shared" si="0"/>
        <v>0</v>
      </c>
    </row>
    <row r="29" spans="1:14" ht="15" customHeight="1">
      <c r="A29" s="142" t="s">
        <v>558</v>
      </c>
      <c r="B29" s="698"/>
      <c r="C29" s="688" t="s">
        <v>819</v>
      </c>
      <c r="D29" s="688"/>
      <c r="E29" s="688"/>
      <c r="F29" s="688"/>
      <c r="G29" s="143">
        <f t="shared" ref="G29:M29" si="4">G27+G28</f>
        <v>0</v>
      </c>
      <c r="H29" s="143">
        <f t="shared" si="4"/>
        <v>0</v>
      </c>
      <c r="I29" s="143">
        <f t="shared" si="4"/>
        <v>0</v>
      </c>
      <c r="J29" s="143">
        <f t="shared" si="4"/>
        <v>0</v>
      </c>
      <c r="K29" s="143">
        <f t="shared" si="4"/>
        <v>0</v>
      </c>
      <c r="L29" s="143">
        <f t="shared" si="4"/>
        <v>0</v>
      </c>
      <c r="M29" s="143">
        <f t="shared" si="4"/>
        <v>0</v>
      </c>
      <c r="N29" s="143">
        <f t="shared" si="0"/>
        <v>0</v>
      </c>
    </row>
    <row r="30" spans="1:14" ht="15" customHeight="1">
      <c r="A30" s="142" t="s">
        <v>129</v>
      </c>
      <c r="B30" s="698"/>
      <c r="C30" s="667" t="s">
        <v>820</v>
      </c>
      <c r="D30" s="670" t="s">
        <v>821</v>
      </c>
      <c r="E30" s="671"/>
      <c r="F30" s="672"/>
      <c r="G30" s="143"/>
      <c r="H30" s="143"/>
      <c r="I30" s="143"/>
      <c r="J30" s="143"/>
      <c r="K30" s="143"/>
      <c r="L30" s="143"/>
      <c r="M30" s="143"/>
      <c r="N30" s="143"/>
    </row>
    <row r="31" spans="1:14" ht="15" customHeight="1">
      <c r="A31" s="142" t="s">
        <v>131</v>
      </c>
      <c r="B31" s="698"/>
      <c r="C31" s="668"/>
      <c r="D31" s="670" t="s">
        <v>822</v>
      </c>
      <c r="E31" s="671"/>
      <c r="F31" s="672"/>
      <c r="G31" s="143"/>
      <c r="H31" s="143"/>
      <c r="I31" s="143"/>
      <c r="J31" s="143"/>
      <c r="K31" s="143"/>
      <c r="L31" s="143"/>
      <c r="M31" s="143"/>
      <c r="N31" s="143"/>
    </row>
    <row r="32" spans="1:14" ht="15" customHeight="1">
      <c r="A32" s="142" t="s">
        <v>136</v>
      </c>
      <c r="B32" s="699"/>
      <c r="C32" s="669"/>
      <c r="D32" s="670" t="s">
        <v>1694</v>
      </c>
      <c r="E32" s="671"/>
      <c r="F32" s="672"/>
      <c r="G32" s="143"/>
      <c r="H32" s="143"/>
      <c r="I32" s="143"/>
      <c r="J32" s="143"/>
      <c r="K32" s="143"/>
      <c r="L32" s="143"/>
      <c r="M32" s="143"/>
      <c r="N32" s="143"/>
    </row>
    <row r="33" spans="1:14" ht="15" customHeight="1">
      <c r="A33" s="142" t="s">
        <v>236</v>
      </c>
      <c r="B33" s="694" t="s">
        <v>823</v>
      </c>
      <c r="C33" s="689" t="s">
        <v>824</v>
      </c>
      <c r="D33" s="682" t="s">
        <v>825</v>
      </c>
      <c r="E33" s="687" t="s">
        <v>826</v>
      </c>
      <c r="F33" s="687"/>
      <c r="G33" s="143"/>
      <c r="H33" s="143"/>
      <c r="I33" s="143"/>
      <c r="J33" s="143"/>
      <c r="K33" s="143"/>
      <c r="L33" s="143"/>
      <c r="M33" s="143"/>
      <c r="N33" s="143">
        <f t="shared" si="0"/>
        <v>0</v>
      </c>
    </row>
    <row r="34" spans="1:14" ht="15" customHeight="1">
      <c r="A34" s="142" t="s">
        <v>239</v>
      </c>
      <c r="B34" s="695"/>
      <c r="C34" s="689"/>
      <c r="D34" s="682"/>
      <c r="E34" s="687" t="s">
        <v>827</v>
      </c>
      <c r="F34" s="687"/>
      <c r="G34" s="143"/>
      <c r="H34" s="143"/>
      <c r="I34" s="143"/>
      <c r="J34" s="143"/>
      <c r="K34" s="143"/>
      <c r="L34" s="143"/>
      <c r="M34" s="143"/>
      <c r="N34" s="143">
        <f t="shared" si="0"/>
        <v>0</v>
      </c>
    </row>
    <row r="35" spans="1:14" ht="15" customHeight="1">
      <c r="A35" s="142" t="s">
        <v>240</v>
      </c>
      <c r="B35" s="695"/>
      <c r="C35" s="689"/>
      <c r="D35" s="682"/>
      <c r="E35" s="687" t="s">
        <v>277</v>
      </c>
      <c r="F35" s="687"/>
      <c r="G35" s="143"/>
      <c r="H35" s="143"/>
      <c r="I35" s="143"/>
      <c r="J35" s="143"/>
      <c r="K35" s="143"/>
      <c r="L35" s="143"/>
      <c r="M35" s="143"/>
      <c r="N35" s="143">
        <f t="shared" si="0"/>
        <v>0</v>
      </c>
    </row>
    <row r="36" spans="1:14" ht="15" customHeight="1">
      <c r="A36" s="142" t="s">
        <v>828</v>
      </c>
      <c r="B36" s="695"/>
      <c r="C36" s="689"/>
      <c r="D36" s="682"/>
      <c r="E36" s="687" t="s">
        <v>68</v>
      </c>
      <c r="F36" s="687"/>
      <c r="G36" s="143"/>
      <c r="H36" s="143"/>
      <c r="I36" s="143"/>
      <c r="J36" s="143"/>
      <c r="K36" s="143"/>
      <c r="L36" s="143"/>
      <c r="M36" s="143"/>
      <c r="N36" s="143">
        <f t="shared" si="0"/>
        <v>0</v>
      </c>
    </row>
    <row r="37" spans="1:14" ht="15" customHeight="1">
      <c r="A37" s="142" t="s">
        <v>671</v>
      </c>
      <c r="B37" s="695"/>
      <c r="C37" s="689"/>
      <c r="D37" s="682"/>
      <c r="E37" s="687" t="s">
        <v>599</v>
      </c>
      <c r="F37" s="687"/>
      <c r="G37" s="143">
        <f t="shared" ref="G37:M37" si="5">SUM(G33:G36)</f>
        <v>0</v>
      </c>
      <c r="H37" s="143">
        <f t="shared" si="5"/>
        <v>0</v>
      </c>
      <c r="I37" s="143">
        <f t="shared" si="5"/>
        <v>0</v>
      </c>
      <c r="J37" s="143">
        <f t="shared" si="5"/>
        <v>0</v>
      </c>
      <c r="K37" s="143">
        <f t="shared" si="5"/>
        <v>0</v>
      </c>
      <c r="L37" s="143">
        <f t="shared" si="5"/>
        <v>0</v>
      </c>
      <c r="M37" s="143">
        <f t="shared" si="5"/>
        <v>0</v>
      </c>
      <c r="N37" s="143">
        <f t="shared" si="0"/>
        <v>0</v>
      </c>
    </row>
    <row r="38" spans="1:14" ht="15" customHeight="1">
      <c r="A38" s="142" t="s">
        <v>829</v>
      </c>
      <c r="B38" s="695"/>
      <c r="C38" s="689"/>
      <c r="D38" s="687" t="s">
        <v>830</v>
      </c>
      <c r="E38" s="687"/>
      <c r="F38" s="687"/>
      <c r="G38" s="143"/>
      <c r="H38" s="143"/>
      <c r="I38" s="143"/>
      <c r="J38" s="143"/>
      <c r="K38" s="143"/>
      <c r="L38" s="143"/>
      <c r="M38" s="143"/>
      <c r="N38" s="143">
        <f t="shared" si="0"/>
        <v>0</v>
      </c>
    </row>
    <row r="39" spans="1:14" s="156" customFormat="1" ht="15" customHeight="1">
      <c r="A39" s="438" t="s">
        <v>895</v>
      </c>
      <c r="B39" s="695"/>
      <c r="C39" s="689"/>
      <c r="D39" s="706" t="s">
        <v>832</v>
      </c>
      <c r="E39" s="701" t="s">
        <v>896</v>
      </c>
      <c r="F39" s="702"/>
      <c r="G39" s="155"/>
      <c r="H39" s="155"/>
      <c r="I39" s="155"/>
      <c r="J39" s="155"/>
      <c r="K39" s="155"/>
      <c r="L39" s="155"/>
      <c r="M39" s="155"/>
      <c r="N39" s="155">
        <f t="shared" ref="N39:N43" si="6">SUM(L39:M39)</f>
        <v>0</v>
      </c>
    </row>
    <row r="40" spans="1:14" s="156" customFormat="1" ht="15" customHeight="1">
      <c r="A40" s="438" t="s">
        <v>897</v>
      </c>
      <c r="B40" s="695"/>
      <c r="C40" s="689"/>
      <c r="D40" s="707"/>
      <c r="E40" s="701" t="s">
        <v>898</v>
      </c>
      <c r="F40" s="702"/>
      <c r="G40" s="155"/>
      <c r="H40" s="155"/>
      <c r="I40" s="155"/>
      <c r="J40" s="155"/>
      <c r="K40" s="155"/>
      <c r="L40" s="155"/>
      <c r="M40" s="155"/>
      <c r="N40" s="155">
        <f t="shared" si="6"/>
        <v>0</v>
      </c>
    </row>
    <row r="41" spans="1:14" s="156" customFormat="1" ht="15" customHeight="1">
      <c r="A41" s="438" t="s">
        <v>899</v>
      </c>
      <c r="B41" s="695"/>
      <c r="C41" s="689"/>
      <c r="D41" s="707"/>
      <c r="E41" s="701" t="s">
        <v>900</v>
      </c>
      <c r="F41" s="702"/>
      <c r="G41" s="155"/>
      <c r="H41" s="155"/>
      <c r="I41" s="155"/>
      <c r="J41" s="155"/>
      <c r="K41" s="155"/>
      <c r="L41" s="155"/>
      <c r="M41" s="155"/>
      <c r="N41" s="155">
        <f t="shared" si="6"/>
        <v>0</v>
      </c>
    </row>
    <row r="42" spans="1:14" s="156" customFormat="1" ht="15" customHeight="1">
      <c r="A42" s="438" t="s">
        <v>901</v>
      </c>
      <c r="B42" s="695"/>
      <c r="C42" s="689"/>
      <c r="D42" s="707"/>
      <c r="E42" s="701" t="s">
        <v>66</v>
      </c>
      <c r="F42" s="702"/>
      <c r="G42" s="155"/>
      <c r="H42" s="155"/>
      <c r="I42" s="155"/>
      <c r="J42" s="155"/>
      <c r="K42" s="155"/>
      <c r="L42" s="155"/>
      <c r="M42" s="155"/>
      <c r="N42" s="155">
        <f t="shared" si="6"/>
        <v>0</v>
      </c>
    </row>
    <row r="43" spans="1:14" s="156" customFormat="1" ht="15" customHeight="1">
      <c r="A43" s="438" t="s">
        <v>831</v>
      </c>
      <c r="B43" s="695"/>
      <c r="C43" s="689"/>
      <c r="D43" s="708"/>
      <c r="E43" s="701" t="s">
        <v>599</v>
      </c>
      <c r="F43" s="702"/>
      <c r="G43" s="155">
        <f>SUM(G39:G42)</f>
        <v>0</v>
      </c>
      <c r="H43" s="155">
        <f t="shared" ref="H43:M43" si="7">SUM(H39:H42)</f>
        <v>0</v>
      </c>
      <c r="I43" s="155">
        <f t="shared" si="7"/>
        <v>0</v>
      </c>
      <c r="J43" s="155">
        <f t="shared" si="7"/>
        <v>0</v>
      </c>
      <c r="K43" s="155">
        <f t="shared" si="7"/>
        <v>0</v>
      </c>
      <c r="L43" s="155">
        <f t="shared" si="7"/>
        <v>0</v>
      </c>
      <c r="M43" s="155">
        <f t="shared" si="7"/>
        <v>0</v>
      </c>
      <c r="N43" s="155">
        <f t="shared" si="6"/>
        <v>0</v>
      </c>
    </row>
    <row r="44" spans="1:14" ht="15" customHeight="1">
      <c r="A44" s="142" t="s">
        <v>833</v>
      </c>
      <c r="B44" s="695"/>
      <c r="C44" s="689"/>
      <c r="D44" s="687" t="s">
        <v>834</v>
      </c>
      <c r="E44" s="687"/>
      <c r="F44" s="687"/>
      <c r="G44" s="143"/>
      <c r="H44" s="143"/>
      <c r="I44" s="143"/>
      <c r="J44" s="143"/>
      <c r="K44" s="143"/>
      <c r="L44" s="143"/>
      <c r="M44" s="143"/>
      <c r="N44" s="143">
        <f t="shared" si="0"/>
        <v>0</v>
      </c>
    </row>
    <row r="45" spans="1:14" ht="15" customHeight="1">
      <c r="A45" s="142" t="s">
        <v>835</v>
      </c>
      <c r="B45" s="695"/>
      <c r="C45" s="689"/>
      <c r="D45" s="687" t="s">
        <v>836</v>
      </c>
      <c r="E45" s="687"/>
      <c r="F45" s="687"/>
      <c r="G45" s="143"/>
      <c r="H45" s="143"/>
      <c r="I45" s="143"/>
      <c r="J45" s="143"/>
      <c r="K45" s="143"/>
      <c r="L45" s="143"/>
      <c r="M45" s="143"/>
      <c r="N45" s="143">
        <f t="shared" si="0"/>
        <v>0</v>
      </c>
    </row>
    <row r="46" spans="1:14" ht="15" customHeight="1">
      <c r="A46" s="142" t="s">
        <v>559</v>
      </c>
      <c r="B46" s="695"/>
      <c r="C46" s="689"/>
      <c r="D46" s="691" t="s">
        <v>837</v>
      </c>
      <c r="E46" s="692"/>
      <c r="F46" s="693"/>
      <c r="G46" s="143">
        <f t="shared" ref="G46:M46" si="8">SUM(G37:G45)</f>
        <v>0</v>
      </c>
      <c r="H46" s="143">
        <f t="shared" si="8"/>
        <v>0</v>
      </c>
      <c r="I46" s="143">
        <f t="shared" si="8"/>
        <v>0</v>
      </c>
      <c r="J46" s="143">
        <f t="shared" si="8"/>
        <v>0</v>
      </c>
      <c r="K46" s="143">
        <f t="shared" si="8"/>
        <v>0</v>
      </c>
      <c r="L46" s="143">
        <f t="shared" si="8"/>
        <v>0</v>
      </c>
      <c r="M46" s="143">
        <f t="shared" si="8"/>
        <v>0</v>
      </c>
      <c r="N46" s="143">
        <f t="shared" si="0"/>
        <v>0</v>
      </c>
    </row>
    <row r="47" spans="1:14" ht="15" customHeight="1">
      <c r="A47" s="142" t="s">
        <v>561</v>
      </c>
      <c r="B47" s="695"/>
      <c r="C47" s="689"/>
      <c r="D47" s="687" t="s">
        <v>838</v>
      </c>
      <c r="E47" s="687"/>
      <c r="F47" s="687"/>
      <c r="G47" s="143"/>
      <c r="H47" s="143"/>
      <c r="I47" s="143"/>
      <c r="J47" s="143"/>
      <c r="K47" s="143"/>
      <c r="L47" s="143"/>
      <c r="M47" s="143"/>
      <c r="N47" s="143">
        <f t="shared" si="0"/>
        <v>0</v>
      </c>
    </row>
    <row r="48" spans="1:14" ht="15" customHeight="1">
      <c r="A48" s="142" t="s">
        <v>560</v>
      </c>
      <c r="B48" s="695"/>
      <c r="C48" s="689"/>
      <c r="D48" s="687" t="s">
        <v>839</v>
      </c>
      <c r="E48" s="687"/>
      <c r="F48" s="687"/>
      <c r="G48" s="143"/>
      <c r="H48" s="143"/>
      <c r="I48" s="143"/>
      <c r="J48" s="143"/>
      <c r="K48" s="143"/>
      <c r="L48" s="143"/>
      <c r="M48" s="143"/>
      <c r="N48" s="143">
        <f t="shared" si="0"/>
        <v>0</v>
      </c>
    </row>
    <row r="49" spans="1:14" ht="15" customHeight="1">
      <c r="A49" s="142" t="s">
        <v>170</v>
      </c>
      <c r="B49" s="695"/>
      <c r="C49" s="689"/>
      <c r="D49" s="682" t="s">
        <v>840</v>
      </c>
      <c r="E49" s="682"/>
      <c r="F49" s="682"/>
      <c r="G49" s="143">
        <f t="shared" ref="G49:M49" si="9">SUM(G46:G48)</f>
        <v>0</v>
      </c>
      <c r="H49" s="143">
        <f t="shared" si="9"/>
        <v>0</v>
      </c>
      <c r="I49" s="143">
        <f t="shared" si="9"/>
        <v>0</v>
      </c>
      <c r="J49" s="143">
        <f t="shared" si="9"/>
        <v>0</v>
      </c>
      <c r="K49" s="143">
        <f t="shared" si="9"/>
        <v>0</v>
      </c>
      <c r="L49" s="143">
        <f t="shared" si="9"/>
        <v>0</v>
      </c>
      <c r="M49" s="143">
        <f t="shared" si="9"/>
        <v>0</v>
      </c>
      <c r="N49" s="143">
        <f t="shared" si="0"/>
        <v>0</v>
      </c>
    </row>
    <row r="50" spans="1:14" s="156" customFormat="1" ht="15" customHeight="1">
      <c r="A50" s="438" t="s">
        <v>902</v>
      </c>
      <c r="B50" s="695"/>
      <c r="C50" s="703" t="s">
        <v>903</v>
      </c>
      <c r="D50" s="705" t="s">
        <v>904</v>
      </c>
      <c r="E50" s="705"/>
      <c r="F50" s="702"/>
      <c r="G50" s="155"/>
      <c r="H50" s="155"/>
      <c r="I50" s="155"/>
      <c r="J50" s="155"/>
      <c r="K50" s="155"/>
      <c r="L50" s="155"/>
      <c r="M50" s="155"/>
      <c r="N50" s="155">
        <f t="shared" ref="N50:N52" si="10">SUM(L50:M50)</f>
        <v>0</v>
      </c>
    </row>
    <row r="51" spans="1:14" s="156" customFormat="1" ht="15" customHeight="1">
      <c r="A51" s="438" t="s">
        <v>905</v>
      </c>
      <c r="B51" s="695"/>
      <c r="C51" s="704"/>
      <c r="D51" s="705" t="s">
        <v>906</v>
      </c>
      <c r="E51" s="705"/>
      <c r="F51" s="702"/>
      <c r="G51" s="155"/>
      <c r="H51" s="155"/>
      <c r="I51" s="155"/>
      <c r="J51" s="155"/>
      <c r="K51" s="155"/>
      <c r="L51" s="155"/>
      <c r="M51" s="155"/>
      <c r="N51" s="155">
        <f t="shared" si="10"/>
        <v>0</v>
      </c>
    </row>
    <row r="52" spans="1:14" s="156" customFormat="1" ht="15" customHeight="1">
      <c r="A52" s="438" t="s">
        <v>743</v>
      </c>
      <c r="B52" s="695"/>
      <c r="C52" s="704"/>
      <c r="D52" s="705" t="s">
        <v>1516</v>
      </c>
      <c r="E52" s="705"/>
      <c r="F52" s="702"/>
      <c r="G52" s="155">
        <f>SUM(G50:G51)</f>
        <v>0</v>
      </c>
      <c r="H52" s="155">
        <f t="shared" ref="H52:M52" si="11">SUM(H50:H51)</f>
        <v>0</v>
      </c>
      <c r="I52" s="155">
        <f t="shared" si="11"/>
        <v>0</v>
      </c>
      <c r="J52" s="155">
        <f t="shared" si="11"/>
        <v>0</v>
      </c>
      <c r="K52" s="155">
        <f t="shared" si="11"/>
        <v>0</v>
      </c>
      <c r="L52" s="155">
        <f t="shared" si="11"/>
        <v>0</v>
      </c>
      <c r="M52" s="155">
        <f t="shared" si="11"/>
        <v>0</v>
      </c>
      <c r="N52" s="155">
        <f t="shared" si="10"/>
        <v>0</v>
      </c>
    </row>
    <row r="53" spans="1:14" ht="15" customHeight="1">
      <c r="A53" s="142" t="s">
        <v>775</v>
      </c>
      <c r="B53" s="695"/>
      <c r="C53" s="684" t="s">
        <v>842</v>
      </c>
      <c r="D53" s="685"/>
      <c r="E53" s="685"/>
      <c r="F53" s="686"/>
      <c r="G53" s="143">
        <f>G49+G52</f>
        <v>0</v>
      </c>
      <c r="H53" s="143">
        <f t="shared" ref="H53:N53" si="12">H49+H52</f>
        <v>0</v>
      </c>
      <c r="I53" s="143">
        <f t="shared" si="12"/>
        <v>0</v>
      </c>
      <c r="J53" s="143">
        <f t="shared" si="12"/>
        <v>0</v>
      </c>
      <c r="K53" s="143">
        <f t="shared" si="12"/>
        <v>0</v>
      </c>
      <c r="L53" s="143">
        <f t="shared" si="12"/>
        <v>0</v>
      </c>
      <c r="M53" s="143">
        <f t="shared" si="12"/>
        <v>0</v>
      </c>
      <c r="N53" s="143">
        <f t="shared" si="12"/>
        <v>0</v>
      </c>
    </row>
    <row r="54" spans="1:14" s="156" customFormat="1" ht="15" customHeight="1">
      <c r="A54" s="572" t="s">
        <v>1047</v>
      </c>
      <c r="B54" s="695"/>
      <c r="C54" s="673" t="s">
        <v>907</v>
      </c>
      <c r="D54" s="676" t="s">
        <v>908</v>
      </c>
      <c r="E54" s="677"/>
      <c r="F54" s="678"/>
      <c r="G54" s="155"/>
      <c r="H54" s="155"/>
      <c r="I54" s="155"/>
      <c r="J54" s="155"/>
      <c r="K54" s="155"/>
      <c r="L54" s="155"/>
      <c r="M54" s="155"/>
      <c r="N54" s="155">
        <f t="shared" ref="N54:N56" si="13">SUM(L54:M54)</f>
        <v>0</v>
      </c>
    </row>
    <row r="55" spans="1:14" s="156" customFormat="1" ht="15" customHeight="1">
      <c r="A55" s="572" t="s">
        <v>1695</v>
      </c>
      <c r="B55" s="695"/>
      <c r="C55" s="674"/>
      <c r="D55" s="676" t="s">
        <v>904</v>
      </c>
      <c r="E55" s="677"/>
      <c r="F55" s="678"/>
      <c r="G55" s="155"/>
      <c r="H55" s="155"/>
      <c r="I55" s="155"/>
      <c r="J55" s="155"/>
      <c r="K55" s="155"/>
      <c r="L55" s="155"/>
      <c r="M55" s="155"/>
      <c r="N55" s="155">
        <f t="shared" si="13"/>
        <v>0</v>
      </c>
    </row>
    <row r="56" spans="1:14" s="156" customFormat="1" ht="15" customHeight="1">
      <c r="A56" s="572" t="s">
        <v>1050</v>
      </c>
      <c r="B56" s="696"/>
      <c r="C56" s="675"/>
      <c r="D56" s="679" t="s">
        <v>910</v>
      </c>
      <c r="E56" s="680"/>
      <c r="F56" s="681"/>
      <c r="G56" s="155"/>
      <c r="H56" s="155"/>
      <c r="I56" s="155"/>
      <c r="J56" s="155"/>
      <c r="K56" s="155"/>
      <c r="L56" s="155"/>
      <c r="M56" s="155"/>
      <c r="N56" s="155">
        <f t="shared" si="13"/>
        <v>0</v>
      </c>
    </row>
    <row r="57" spans="1:14">
      <c r="A57" s="140" t="s">
        <v>776</v>
      </c>
      <c r="B57" s="689" t="s">
        <v>843</v>
      </c>
      <c r="C57" s="147" t="s">
        <v>844</v>
      </c>
      <c r="D57" s="147"/>
      <c r="E57" s="147"/>
      <c r="F57" s="147"/>
      <c r="G57" s="148"/>
      <c r="H57" s="148"/>
      <c r="I57" s="148"/>
      <c r="J57" s="148"/>
      <c r="K57" s="148"/>
      <c r="L57" s="148"/>
      <c r="M57" s="148"/>
      <c r="N57" s="148">
        <f t="shared" ref="N57:N59" si="14">K57+L57+M57</f>
        <v>0</v>
      </c>
    </row>
    <row r="58" spans="1:14">
      <c r="A58" s="140" t="s">
        <v>845</v>
      </c>
      <c r="B58" s="689"/>
      <c r="C58" s="147" t="s">
        <v>846</v>
      </c>
      <c r="D58" s="147"/>
      <c r="E58" s="147"/>
      <c r="F58" s="147"/>
      <c r="G58" s="148"/>
      <c r="H58" s="148"/>
      <c r="I58" s="148"/>
      <c r="J58" s="148"/>
      <c r="K58" s="148"/>
      <c r="L58" s="148"/>
      <c r="M58" s="148"/>
      <c r="N58" s="148">
        <f t="shared" si="14"/>
        <v>0</v>
      </c>
    </row>
    <row r="59" spans="1:14">
      <c r="A59" s="140" t="s">
        <v>249</v>
      </c>
      <c r="B59" s="689"/>
      <c r="C59" s="147" t="s">
        <v>847</v>
      </c>
      <c r="D59" s="147"/>
      <c r="E59" s="147"/>
      <c r="F59" s="147"/>
      <c r="G59" s="148">
        <f t="shared" ref="G59:M59" si="15">SUM(G57:G58)</f>
        <v>0</v>
      </c>
      <c r="H59" s="148">
        <f t="shared" si="15"/>
        <v>0</v>
      </c>
      <c r="I59" s="148">
        <f t="shared" si="15"/>
        <v>0</v>
      </c>
      <c r="J59" s="148">
        <f t="shared" si="15"/>
        <v>0</v>
      </c>
      <c r="K59" s="148">
        <f t="shared" si="15"/>
        <v>0</v>
      </c>
      <c r="L59" s="148">
        <f t="shared" si="15"/>
        <v>0</v>
      </c>
      <c r="M59" s="148">
        <f t="shared" si="15"/>
        <v>0</v>
      </c>
      <c r="N59" s="148">
        <f t="shared" si="14"/>
        <v>0</v>
      </c>
    </row>
    <row r="61" spans="1:14">
      <c r="A61" s="149" t="s">
        <v>547</v>
      </c>
    </row>
    <row r="63" spans="1:14">
      <c r="A63" s="149" t="s">
        <v>59</v>
      </c>
    </row>
    <row r="64" spans="1:14" s="30" customFormat="1">
      <c r="A64" s="138"/>
      <c r="B64" s="138"/>
      <c r="C64" s="138"/>
      <c r="D64" s="138"/>
      <c r="E64" s="138"/>
      <c r="F64" s="138"/>
      <c r="G64" s="138"/>
      <c r="H64" s="138"/>
      <c r="I64" s="138"/>
      <c r="J64" s="138"/>
      <c r="K64" s="138"/>
      <c r="L64" s="138"/>
      <c r="M64" s="138"/>
      <c r="N64" s="138"/>
    </row>
    <row r="65" spans="1:14" s="30" customFormat="1">
      <c r="A65" s="138" t="s">
        <v>848</v>
      </c>
      <c r="B65" s="138"/>
      <c r="C65" s="138"/>
      <c r="D65" s="138"/>
      <c r="E65" s="138"/>
      <c r="F65" s="138"/>
      <c r="G65" s="138"/>
      <c r="H65" s="138"/>
      <c r="I65" s="138"/>
      <c r="J65" s="138"/>
      <c r="K65" s="138"/>
      <c r="L65" s="138"/>
      <c r="M65" s="138"/>
      <c r="N65" s="138"/>
    </row>
    <row r="66" spans="1:14" s="30" customFormat="1">
      <c r="A66" s="138" t="s">
        <v>849</v>
      </c>
      <c r="B66" s="138"/>
      <c r="C66" s="138"/>
      <c r="D66" s="138"/>
      <c r="E66" s="138"/>
      <c r="F66" s="138"/>
      <c r="G66" s="138"/>
      <c r="H66" s="138"/>
      <c r="I66" s="138"/>
      <c r="J66" s="138"/>
      <c r="K66" s="138"/>
      <c r="L66" s="138"/>
      <c r="M66" s="138"/>
      <c r="N66" s="138"/>
    </row>
    <row r="67" spans="1:14">
      <c r="A67" s="138" t="s">
        <v>850</v>
      </c>
    </row>
    <row r="68" spans="1:14">
      <c r="A68" s="138" t="s">
        <v>851</v>
      </c>
    </row>
    <row r="69" spans="1:14">
      <c r="A69" s="138" t="s">
        <v>852</v>
      </c>
    </row>
    <row r="70" spans="1:14">
      <c r="A70" s="30" t="s">
        <v>853</v>
      </c>
      <c r="B70" s="30"/>
      <c r="C70" s="30"/>
      <c r="D70" s="30"/>
      <c r="E70" s="30"/>
      <c r="F70" s="30"/>
      <c r="G70" s="30"/>
      <c r="H70" s="30"/>
      <c r="I70" s="30"/>
      <c r="J70" s="30"/>
      <c r="K70" s="30"/>
      <c r="L70" s="30"/>
      <c r="M70" s="30"/>
      <c r="N70" s="30"/>
    </row>
    <row r="71" spans="1:14">
      <c r="A71" s="30" t="s">
        <v>854</v>
      </c>
      <c r="B71" s="30"/>
      <c r="C71" s="30"/>
      <c r="D71" s="30"/>
      <c r="E71" s="30"/>
      <c r="F71" s="30"/>
      <c r="G71" s="30"/>
      <c r="H71" s="30"/>
      <c r="I71" s="30"/>
      <c r="J71" s="30"/>
      <c r="K71" s="30"/>
      <c r="L71" s="30"/>
      <c r="M71" s="30"/>
      <c r="N71" s="30"/>
    </row>
    <row r="72" spans="1:14">
      <c r="A72" s="30" t="s">
        <v>855</v>
      </c>
      <c r="B72" s="30"/>
      <c r="C72" s="30"/>
      <c r="D72" s="30"/>
      <c r="E72" s="30"/>
      <c r="F72" s="30"/>
      <c r="G72" s="30"/>
      <c r="H72" s="30"/>
      <c r="I72" s="30"/>
      <c r="J72" s="30"/>
      <c r="K72" s="30"/>
      <c r="L72" s="30"/>
      <c r="M72" s="30"/>
      <c r="N72" s="30"/>
    </row>
    <row r="73" spans="1:14">
      <c r="A73" s="138" t="s">
        <v>856</v>
      </c>
    </row>
    <row r="74" spans="1:14">
      <c r="A74" s="138" t="s">
        <v>857</v>
      </c>
    </row>
    <row r="75" spans="1:14">
      <c r="A75" s="138" t="s">
        <v>858</v>
      </c>
    </row>
    <row r="76" spans="1:14">
      <c r="A76" s="138" t="s">
        <v>859</v>
      </c>
    </row>
    <row r="77" spans="1:14">
      <c r="A77" s="138" t="s">
        <v>860</v>
      </c>
    </row>
    <row r="78" spans="1:14">
      <c r="A78" s="30" t="s">
        <v>861</v>
      </c>
      <c r="B78" s="30"/>
      <c r="C78" s="30"/>
      <c r="D78" s="30"/>
      <c r="E78" s="30"/>
      <c r="F78" s="30"/>
      <c r="G78" s="30"/>
      <c r="H78" s="30"/>
      <c r="I78" s="30"/>
      <c r="J78" s="30"/>
      <c r="K78" s="30"/>
      <c r="L78" s="30"/>
      <c r="M78" s="30"/>
      <c r="N78" s="30"/>
    </row>
    <row r="79" spans="1:14">
      <c r="A79" s="138" t="s">
        <v>862</v>
      </c>
    </row>
    <row r="80" spans="1:14">
      <c r="A80" s="138" t="s">
        <v>863</v>
      </c>
    </row>
    <row r="81" spans="1:14">
      <c r="A81" s="138" t="s">
        <v>864</v>
      </c>
    </row>
    <row r="82" spans="1:14">
      <c r="A82" s="138" t="s">
        <v>865</v>
      </c>
    </row>
    <row r="83" spans="1:14" ht="14.25" customHeight="1">
      <c r="A83" s="30" t="s">
        <v>866</v>
      </c>
      <c r="B83" s="30"/>
      <c r="C83" s="30"/>
      <c r="D83" s="30"/>
      <c r="E83" s="30"/>
      <c r="F83" s="30"/>
      <c r="G83" s="30"/>
      <c r="H83" s="30"/>
      <c r="I83" s="30"/>
      <c r="J83" s="30"/>
      <c r="K83" s="30"/>
      <c r="L83" s="30"/>
      <c r="M83" s="30"/>
      <c r="N83" s="30"/>
    </row>
    <row r="84" spans="1:14">
      <c r="A84" s="138" t="s">
        <v>867</v>
      </c>
    </row>
    <row r="85" spans="1:14">
      <c r="A85" s="138" t="s">
        <v>868</v>
      </c>
    </row>
    <row r="86" spans="1:14">
      <c r="A86" s="138" t="s">
        <v>869</v>
      </c>
    </row>
    <row r="87" spans="1:14" s="30" customFormat="1">
      <c r="A87" s="138" t="s">
        <v>870</v>
      </c>
      <c r="B87" s="138"/>
      <c r="C87" s="138"/>
      <c r="D87" s="138"/>
      <c r="E87" s="138"/>
      <c r="F87" s="138"/>
      <c r="G87" s="138"/>
      <c r="H87" s="138"/>
      <c r="I87" s="138"/>
      <c r="J87" s="138"/>
      <c r="K87" s="138"/>
      <c r="L87" s="138"/>
      <c r="M87" s="138"/>
      <c r="N87" s="138"/>
    </row>
    <row r="88" spans="1:14" s="30" customFormat="1">
      <c r="A88" s="138" t="s">
        <v>871</v>
      </c>
      <c r="B88" s="138"/>
      <c r="C88" s="138"/>
      <c r="D88" s="138"/>
      <c r="E88" s="138"/>
      <c r="F88" s="138"/>
      <c r="G88" s="138"/>
      <c r="H88" s="138"/>
      <c r="I88" s="138"/>
      <c r="J88" s="138"/>
      <c r="K88" s="138"/>
      <c r="L88" s="138"/>
      <c r="M88" s="138"/>
      <c r="N88" s="138"/>
    </row>
    <row r="89" spans="1:14" s="30" customFormat="1">
      <c r="A89" s="138"/>
      <c r="B89" s="138"/>
      <c r="C89" s="138"/>
      <c r="D89" s="138"/>
      <c r="E89" s="138"/>
      <c r="F89" s="138"/>
      <c r="G89" s="138"/>
      <c r="H89" s="138"/>
      <c r="I89" s="138"/>
      <c r="J89" s="138"/>
      <c r="K89" s="138"/>
      <c r="L89" s="138"/>
      <c r="M89" s="138"/>
      <c r="N89" s="138"/>
    </row>
    <row r="90" spans="1:14" s="30" customFormat="1">
      <c r="A90" s="150" t="s">
        <v>872</v>
      </c>
      <c r="B90" s="150"/>
      <c r="C90" s="150"/>
      <c r="D90" s="150"/>
      <c r="E90" s="150"/>
      <c r="F90" s="150"/>
      <c r="G90" s="150"/>
      <c r="H90" s="150"/>
      <c r="I90" s="150"/>
      <c r="J90" s="150"/>
      <c r="K90" s="150"/>
      <c r="L90" s="150"/>
      <c r="M90" s="150"/>
      <c r="N90" s="150"/>
    </row>
    <row r="91" spans="1:14" s="30" customFormat="1">
      <c r="A91" s="138"/>
      <c r="B91" s="138" t="s">
        <v>873</v>
      </c>
      <c r="C91" s="138"/>
      <c r="D91" s="138"/>
      <c r="E91" s="138"/>
      <c r="F91" s="138"/>
      <c r="G91" s="138"/>
      <c r="H91" s="138"/>
      <c r="I91" s="138"/>
      <c r="J91" s="138"/>
      <c r="K91" s="138"/>
      <c r="L91" s="138"/>
      <c r="M91" s="138"/>
      <c r="N91" s="138"/>
    </row>
    <row r="92" spans="1:14" s="30" customFormat="1">
      <c r="A92" s="30" t="s">
        <v>874</v>
      </c>
      <c r="B92" s="138"/>
      <c r="C92" s="138"/>
      <c r="D92" s="138"/>
      <c r="E92" s="138"/>
      <c r="F92" s="138"/>
      <c r="G92" s="138"/>
      <c r="H92" s="138"/>
      <c r="I92" s="138"/>
      <c r="J92" s="138"/>
      <c r="K92" s="138"/>
      <c r="L92" s="138"/>
      <c r="M92" s="138"/>
      <c r="N92" s="138"/>
    </row>
    <row r="93" spans="1:14" s="30" customFormat="1">
      <c r="A93" s="138" t="s">
        <v>875</v>
      </c>
      <c r="B93" s="138"/>
      <c r="C93" s="138"/>
      <c r="D93" s="138"/>
      <c r="E93" s="138"/>
      <c r="F93" s="138"/>
      <c r="G93" s="138"/>
      <c r="H93" s="138"/>
      <c r="I93" s="138"/>
      <c r="J93" s="138"/>
      <c r="K93" s="138"/>
      <c r="L93" s="138"/>
      <c r="M93" s="138"/>
      <c r="N93" s="138"/>
    </row>
    <row r="94" spans="1:14" s="30" customFormat="1">
      <c r="A94" s="30" t="s">
        <v>876</v>
      </c>
    </row>
    <row r="95" spans="1:14">
      <c r="A95" s="30" t="s">
        <v>877</v>
      </c>
      <c r="B95" s="30"/>
      <c r="C95" s="30"/>
      <c r="D95" s="30"/>
      <c r="E95" s="30"/>
      <c r="F95" s="30"/>
      <c r="G95" s="30"/>
      <c r="H95" s="30"/>
      <c r="I95" s="30"/>
      <c r="J95" s="30"/>
      <c r="K95" s="30"/>
      <c r="L95" s="30"/>
      <c r="M95" s="30"/>
      <c r="N95" s="30"/>
    </row>
    <row r="96" spans="1:14">
      <c r="A96" s="30" t="s">
        <v>878</v>
      </c>
      <c r="B96" s="30"/>
      <c r="C96" s="30"/>
      <c r="D96" s="30"/>
      <c r="E96" s="30"/>
      <c r="F96" s="30"/>
      <c r="G96" s="30"/>
      <c r="H96" s="30"/>
      <c r="I96" s="30"/>
      <c r="J96" s="30"/>
      <c r="K96" s="30"/>
      <c r="L96" s="30"/>
      <c r="M96" s="30"/>
      <c r="N96" s="30"/>
    </row>
    <row r="97" spans="1:14">
      <c r="A97" s="30" t="s">
        <v>879</v>
      </c>
      <c r="B97" s="30"/>
      <c r="C97" s="30"/>
      <c r="D97" s="30"/>
      <c r="E97" s="30"/>
      <c r="F97" s="30"/>
      <c r="G97" s="30"/>
      <c r="H97" s="30"/>
      <c r="I97" s="30"/>
      <c r="J97" s="30"/>
      <c r="K97" s="30"/>
      <c r="L97" s="30"/>
      <c r="M97" s="30"/>
      <c r="N97" s="30"/>
    </row>
    <row r="98" spans="1:14">
      <c r="A98" s="30" t="s">
        <v>880</v>
      </c>
      <c r="B98" s="30"/>
      <c r="C98" s="30"/>
      <c r="D98" s="30"/>
      <c r="E98" s="30"/>
      <c r="F98" s="30"/>
      <c r="G98" s="30"/>
      <c r="H98" s="30"/>
      <c r="I98" s="30"/>
      <c r="J98" s="30"/>
      <c r="K98" s="30"/>
      <c r="L98" s="30"/>
      <c r="M98" s="30"/>
      <c r="N98" s="30"/>
    </row>
    <row r="99" spans="1:14">
      <c r="A99" s="30" t="s">
        <v>881</v>
      </c>
      <c r="B99" s="30"/>
      <c r="C99" s="30"/>
      <c r="D99" s="30"/>
      <c r="E99" s="30"/>
      <c r="F99" s="30"/>
      <c r="G99" s="30"/>
      <c r="H99" s="30"/>
      <c r="I99" s="30"/>
      <c r="J99" s="30"/>
      <c r="K99" s="30"/>
      <c r="L99" s="30"/>
      <c r="M99" s="30"/>
      <c r="N99" s="30"/>
    </row>
    <row r="100" spans="1:14">
      <c r="A100" s="30" t="s">
        <v>878</v>
      </c>
      <c r="B100" s="30"/>
      <c r="C100" s="30"/>
      <c r="D100" s="30"/>
      <c r="E100" s="30"/>
      <c r="F100" s="30"/>
      <c r="G100" s="30"/>
      <c r="H100" s="30"/>
      <c r="I100" s="30"/>
      <c r="J100" s="30"/>
      <c r="K100" s="30"/>
      <c r="L100" s="30"/>
      <c r="M100" s="30"/>
      <c r="N100" s="30"/>
    </row>
    <row r="101" spans="1:14">
      <c r="A101" s="30" t="s">
        <v>882</v>
      </c>
      <c r="B101" s="30"/>
      <c r="C101" s="30"/>
      <c r="D101" s="30"/>
      <c r="E101" s="30"/>
      <c r="F101" s="30"/>
      <c r="G101" s="30"/>
      <c r="H101" s="30"/>
      <c r="I101" s="30"/>
      <c r="J101" s="30"/>
      <c r="K101" s="30"/>
      <c r="L101" s="30"/>
      <c r="M101" s="30"/>
      <c r="N101" s="30"/>
    </row>
    <row r="102" spans="1:14">
      <c r="A102" s="138" t="s">
        <v>883</v>
      </c>
    </row>
    <row r="103" spans="1:14">
      <c r="A103" s="138" t="s">
        <v>884</v>
      </c>
    </row>
    <row r="104" spans="1:14">
      <c r="A104" s="138" t="s">
        <v>885</v>
      </c>
    </row>
    <row r="105" spans="1:14">
      <c r="A105" s="138" t="s">
        <v>886</v>
      </c>
    </row>
    <row r="106" spans="1:14">
      <c r="A106" s="138" t="s">
        <v>887</v>
      </c>
    </row>
    <row r="107" spans="1:14">
      <c r="A107" s="138" t="s">
        <v>888</v>
      </c>
    </row>
    <row r="108" spans="1:14">
      <c r="A108" s="138" t="s">
        <v>889</v>
      </c>
    </row>
    <row r="109" spans="1:14">
      <c r="A109" s="138" t="s">
        <v>890</v>
      </c>
    </row>
    <row r="110" spans="1:14">
      <c r="A110" s="150" t="s">
        <v>891</v>
      </c>
      <c r="B110" s="30"/>
      <c r="C110" s="30"/>
      <c r="D110" s="30"/>
      <c r="E110" s="30"/>
      <c r="F110" s="30"/>
      <c r="G110" s="30"/>
      <c r="H110" s="30"/>
      <c r="I110" s="30"/>
      <c r="J110" s="30"/>
      <c r="K110" s="30"/>
      <c r="L110" s="30"/>
      <c r="M110" s="30"/>
    </row>
    <row r="111" spans="1:14">
      <c r="A111" s="150"/>
      <c r="B111" s="30"/>
      <c r="C111" s="30"/>
      <c r="D111" s="30"/>
      <c r="E111" s="30"/>
      <c r="F111" s="30"/>
      <c r="G111" s="30"/>
      <c r="H111" s="30"/>
      <c r="I111" s="30"/>
      <c r="J111" s="30"/>
      <c r="K111" s="30"/>
      <c r="L111" s="30"/>
      <c r="M111" s="30"/>
    </row>
    <row r="112" spans="1:14">
      <c r="A112" s="151" t="s">
        <v>177</v>
      </c>
      <c r="B112" s="152"/>
      <c r="C112" s="152"/>
      <c r="D112" s="152"/>
      <c r="E112" s="153"/>
      <c r="F112" s="153"/>
      <c r="G112" s="153"/>
      <c r="H112" s="30"/>
      <c r="I112" s="30"/>
      <c r="J112" s="30"/>
      <c r="K112" s="30"/>
      <c r="L112" s="30"/>
      <c r="M112" s="30"/>
      <c r="N112" s="30"/>
    </row>
    <row r="113" spans="1:14">
      <c r="A113" s="154" t="s">
        <v>892</v>
      </c>
      <c r="B113" s="152"/>
      <c r="C113" s="152"/>
      <c r="D113" s="152"/>
      <c r="E113" s="153"/>
      <c r="F113" s="153"/>
      <c r="G113" s="153"/>
      <c r="H113" s="30"/>
      <c r="I113" s="30"/>
      <c r="J113" s="30"/>
      <c r="K113" s="30"/>
      <c r="L113" s="30"/>
      <c r="M113" s="30"/>
      <c r="N113" s="30"/>
    </row>
    <row r="114" spans="1:14">
      <c r="A114" s="30" t="s">
        <v>893</v>
      </c>
      <c r="B114" s="30"/>
      <c r="C114" s="30"/>
      <c r="D114" s="30"/>
      <c r="E114" s="30"/>
      <c r="F114" s="30"/>
      <c r="G114" s="30"/>
      <c r="H114" s="30"/>
      <c r="I114" s="30"/>
      <c r="J114" s="30"/>
      <c r="K114" s="30"/>
      <c r="L114" s="30"/>
      <c r="M114" s="30"/>
      <c r="N114" s="30"/>
    </row>
    <row r="115" spans="1:14">
      <c r="A115" s="154" t="s">
        <v>894</v>
      </c>
      <c r="B115" s="30"/>
      <c r="C115" s="153"/>
      <c r="D115" s="153"/>
      <c r="E115" s="153"/>
      <c r="F115" s="153"/>
      <c r="G115" s="153"/>
      <c r="H115" s="153"/>
      <c r="I115" s="153"/>
      <c r="J115" s="153"/>
      <c r="K115" s="153"/>
      <c r="L115" s="153"/>
      <c r="M115" s="153"/>
      <c r="N115" s="153"/>
    </row>
    <row r="116" spans="1:14">
      <c r="A116" s="444" t="s">
        <v>1761</v>
      </c>
      <c r="B116" s="442"/>
      <c r="C116" s="442"/>
      <c r="D116" s="442"/>
      <c r="E116" s="442"/>
    </row>
  </sheetData>
  <mergeCells count="55">
    <mergeCell ref="A10:F11"/>
    <mergeCell ref="B12:B32"/>
    <mergeCell ref="C12:C27"/>
    <mergeCell ref="D12:F12"/>
    <mergeCell ref="D13:F13"/>
    <mergeCell ref="D14:F14"/>
    <mergeCell ref="D15:F15"/>
    <mergeCell ref="D16:F16"/>
    <mergeCell ref="D17:F17"/>
    <mergeCell ref="D18:D25"/>
    <mergeCell ref="E18:F18"/>
    <mergeCell ref="E19:F19"/>
    <mergeCell ref="E20:F20"/>
    <mergeCell ref="E21:E23"/>
    <mergeCell ref="E24:F24"/>
    <mergeCell ref="E25:F25"/>
    <mergeCell ref="D26:F26"/>
    <mergeCell ref="D27:F27"/>
    <mergeCell ref="C28:F28"/>
    <mergeCell ref="C29:F29"/>
    <mergeCell ref="B33:B56"/>
    <mergeCell ref="C33:C49"/>
    <mergeCell ref="D33:D37"/>
    <mergeCell ref="E33:F33"/>
    <mergeCell ref="E34:F34"/>
    <mergeCell ref="E35:F35"/>
    <mergeCell ref="E36:F36"/>
    <mergeCell ref="E37:F37"/>
    <mergeCell ref="D38:F38"/>
    <mergeCell ref="D49:F49"/>
    <mergeCell ref="D39:D43"/>
    <mergeCell ref="E39:F39"/>
    <mergeCell ref="D48:F48"/>
    <mergeCell ref="B57:B59"/>
    <mergeCell ref="C50:C52"/>
    <mergeCell ref="D52:F52"/>
    <mergeCell ref="C53:F53"/>
    <mergeCell ref="C54:C56"/>
    <mergeCell ref="D54:F54"/>
    <mergeCell ref="D55:F55"/>
    <mergeCell ref="D56:F56"/>
    <mergeCell ref="D50:F50"/>
    <mergeCell ref="D51:F51"/>
    <mergeCell ref="C30:C32"/>
    <mergeCell ref="D30:F30"/>
    <mergeCell ref="D31:F31"/>
    <mergeCell ref="D32:F32"/>
    <mergeCell ref="D47:F47"/>
    <mergeCell ref="E42:F42"/>
    <mergeCell ref="E43:F43"/>
    <mergeCell ref="D44:F44"/>
    <mergeCell ref="D45:F45"/>
    <mergeCell ref="D46:F46"/>
    <mergeCell ref="E40:F40"/>
    <mergeCell ref="E41:F41"/>
  </mergeCells>
  <phoneticPr fontId="6" type="noConversion"/>
  <pageMargins left="0.74803149606299213" right="0.74803149606299213" top="0.98425196850393704" bottom="0.98425196850393704" header="0.51181102362204722" footer="0.51181102362204722"/>
  <pageSetup paperSize="9" scale="43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986091-ED34-4D14-8AFD-9E78EACE5A73}">
  <sheetPr>
    <tabColor theme="0" tint="-0.249977111117893"/>
  </sheetPr>
  <dimension ref="A6:L115"/>
  <sheetViews>
    <sheetView showGridLines="0" view="pageBreakPreview" zoomScaleNormal="85" zoomScaleSheetLayoutView="100" workbookViewId="0">
      <pane xSplit="5" ySplit="11" topLeftCell="F12" activePane="bottomRight" state="frozen"/>
      <selection activeCell="J111" sqref="J111"/>
      <selection pane="topRight" activeCell="J111" sqref="J111"/>
      <selection pane="bottomLeft" activeCell="J111" sqref="J111"/>
      <selection pane="bottomRight" activeCell="F12" sqref="F12"/>
    </sheetView>
  </sheetViews>
  <sheetFormatPr defaultColWidth="8.8984375" defaultRowHeight="14.4"/>
  <cols>
    <col min="1" max="1" width="6" style="14" customWidth="1"/>
    <col min="2" max="2" width="11.59765625" style="14" customWidth="1"/>
    <col min="3" max="3" width="4.69921875" style="44" customWidth="1"/>
    <col min="4" max="4" width="23.3984375" style="44" customWidth="1"/>
    <col min="5" max="5" width="19.19921875" style="44" customWidth="1"/>
    <col min="6" max="6" width="11.296875" style="14" bestFit="1" customWidth="1"/>
    <col min="7" max="8" width="9" style="14" customWidth="1"/>
    <col min="9" max="10" width="8.59765625" style="14" bestFit="1" customWidth="1"/>
    <col min="11" max="11" width="11" style="14" bestFit="1" customWidth="1"/>
    <col min="12" max="12" width="11.296875" style="14" customWidth="1"/>
    <col min="13" max="16384" width="8.8984375" style="14"/>
  </cols>
  <sheetData>
    <row r="6" spans="1:12" s="157" customFormat="1" ht="20.399999999999999">
      <c r="A6" s="157" t="s">
        <v>1713</v>
      </c>
      <c r="C6" s="158"/>
      <c r="D6" s="158"/>
      <c r="E6" s="158"/>
    </row>
    <row r="7" spans="1:12" s="30" customFormat="1">
      <c r="C7" s="159"/>
      <c r="D7" s="159"/>
      <c r="E7" s="159"/>
    </row>
    <row r="8" spans="1:12" s="30" customFormat="1">
      <c r="A8" s="160" t="s">
        <v>171</v>
      </c>
      <c r="B8" s="159"/>
      <c r="C8" s="159"/>
      <c r="D8" s="159"/>
      <c r="E8" s="159"/>
      <c r="L8" s="587"/>
    </row>
    <row r="9" spans="1:12" s="30" customFormat="1">
      <c r="A9" s="720" t="s">
        <v>54</v>
      </c>
      <c r="B9" s="720"/>
      <c r="C9" s="720"/>
      <c r="D9" s="720"/>
      <c r="E9" s="581" t="s">
        <v>179</v>
      </c>
      <c r="F9" s="581" t="s">
        <v>55</v>
      </c>
      <c r="G9" s="581" t="s">
        <v>56</v>
      </c>
      <c r="H9" s="581" t="s">
        <v>72</v>
      </c>
      <c r="I9" s="581" t="s">
        <v>73</v>
      </c>
      <c r="J9" s="581" t="s">
        <v>74</v>
      </c>
      <c r="K9" s="581" t="s">
        <v>60</v>
      </c>
      <c r="L9" s="581" t="s">
        <v>61</v>
      </c>
    </row>
    <row r="10" spans="1:12" s="30" customFormat="1">
      <c r="A10" s="720"/>
      <c r="B10" s="720"/>
      <c r="C10" s="720"/>
      <c r="D10" s="720"/>
      <c r="E10" s="720" t="s">
        <v>182</v>
      </c>
      <c r="F10" s="720" t="s">
        <v>75</v>
      </c>
      <c r="G10" s="720" t="s">
        <v>76</v>
      </c>
      <c r="H10" s="720" t="s">
        <v>77</v>
      </c>
      <c r="I10" s="720"/>
      <c r="J10" s="720"/>
      <c r="K10" s="720"/>
      <c r="L10" s="720" t="s">
        <v>78</v>
      </c>
    </row>
    <row r="11" spans="1:12" s="30" customFormat="1">
      <c r="A11" s="720"/>
      <c r="B11" s="720"/>
      <c r="C11" s="720"/>
      <c r="D11" s="720"/>
      <c r="E11" s="720"/>
      <c r="F11" s="720"/>
      <c r="G11" s="720"/>
      <c r="H11" s="581" t="s">
        <v>79</v>
      </c>
      <c r="I11" s="581" t="s">
        <v>80</v>
      </c>
      <c r="J11" s="581" t="s">
        <v>81</v>
      </c>
      <c r="K11" s="581" t="s">
        <v>82</v>
      </c>
      <c r="L11" s="720"/>
    </row>
    <row r="12" spans="1:12" s="30" customFormat="1">
      <c r="A12" s="581" t="s">
        <v>179</v>
      </c>
      <c r="B12" s="726" t="s">
        <v>184</v>
      </c>
      <c r="C12" s="726"/>
      <c r="D12" s="726"/>
      <c r="E12" s="581" t="s">
        <v>185</v>
      </c>
      <c r="F12" s="165"/>
      <c r="G12" s="165"/>
      <c r="H12" s="165"/>
      <c r="I12" s="165"/>
      <c r="J12" s="165"/>
      <c r="K12" s="165"/>
      <c r="L12" s="165"/>
    </row>
    <row r="13" spans="1:12" s="30" customFormat="1">
      <c r="A13" s="588" t="s">
        <v>83</v>
      </c>
      <c r="B13" s="727" t="s">
        <v>186</v>
      </c>
      <c r="C13" s="728" t="s">
        <v>84</v>
      </c>
      <c r="D13" s="728"/>
      <c r="E13" s="165"/>
      <c r="F13" s="589"/>
      <c r="G13" s="589"/>
      <c r="H13" s="589"/>
      <c r="I13" s="589"/>
      <c r="J13" s="589"/>
      <c r="K13" s="590">
        <f t="shared" ref="K13:K44" si="0">SUM(H13:J13)</f>
        <v>0</v>
      </c>
      <c r="L13" s="591">
        <f t="shared" ref="L13:L63" si="1">F13+G13+K13</f>
        <v>0</v>
      </c>
    </row>
    <row r="14" spans="1:12" s="30" customFormat="1">
      <c r="A14" s="588" t="s">
        <v>85</v>
      </c>
      <c r="B14" s="720"/>
      <c r="C14" s="710" t="s">
        <v>86</v>
      </c>
      <c r="D14" s="710"/>
      <c r="E14" s="165"/>
      <c r="F14" s="172"/>
      <c r="G14" s="172"/>
      <c r="H14" s="172"/>
      <c r="I14" s="172"/>
      <c r="J14" s="172"/>
      <c r="K14" s="168">
        <f t="shared" si="0"/>
        <v>0</v>
      </c>
      <c r="L14" s="591">
        <f t="shared" si="1"/>
        <v>0</v>
      </c>
    </row>
    <row r="15" spans="1:12" s="30" customFormat="1">
      <c r="A15" s="588" t="s">
        <v>87</v>
      </c>
      <c r="B15" s="720"/>
      <c r="C15" s="710" t="s">
        <v>57</v>
      </c>
      <c r="D15" s="710"/>
      <c r="E15" s="165"/>
      <c r="F15" s="172"/>
      <c r="G15" s="172"/>
      <c r="H15" s="172"/>
      <c r="I15" s="172"/>
      <c r="J15" s="172"/>
      <c r="K15" s="168">
        <f t="shared" si="0"/>
        <v>0</v>
      </c>
      <c r="L15" s="591">
        <f t="shared" si="1"/>
        <v>0</v>
      </c>
    </row>
    <row r="16" spans="1:12" s="30" customFormat="1">
      <c r="A16" s="588" t="s">
        <v>88</v>
      </c>
      <c r="B16" s="720"/>
      <c r="C16" s="710" t="s">
        <v>58</v>
      </c>
      <c r="D16" s="710"/>
      <c r="E16" s="165"/>
      <c r="F16" s="172"/>
      <c r="G16" s="172"/>
      <c r="H16" s="172"/>
      <c r="I16" s="172"/>
      <c r="J16" s="172"/>
      <c r="K16" s="168">
        <f t="shared" si="0"/>
        <v>0</v>
      </c>
      <c r="L16" s="591">
        <f t="shared" si="1"/>
        <v>0</v>
      </c>
    </row>
    <row r="17" spans="1:12" s="30" customFormat="1">
      <c r="A17" s="588" t="s">
        <v>89</v>
      </c>
      <c r="B17" s="720"/>
      <c r="C17" s="729" t="s">
        <v>187</v>
      </c>
      <c r="D17" s="582" t="s">
        <v>90</v>
      </c>
      <c r="E17" s="165"/>
      <c r="F17" s="172">
        <f>F18+F19</f>
        <v>0</v>
      </c>
      <c r="G17" s="172">
        <f>G18+G19</f>
        <v>0</v>
      </c>
      <c r="H17" s="172">
        <f>H18+H19</f>
        <v>0</v>
      </c>
      <c r="I17" s="172">
        <f>I18+I19</f>
        <v>0</v>
      </c>
      <c r="J17" s="172">
        <f>J18+J19</f>
        <v>0</v>
      </c>
      <c r="K17" s="168">
        <f t="shared" si="0"/>
        <v>0</v>
      </c>
      <c r="L17" s="591">
        <f t="shared" si="1"/>
        <v>0</v>
      </c>
    </row>
    <row r="18" spans="1:12" s="30" customFormat="1">
      <c r="A18" s="588" t="s">
        <v>188</v>
      </c>
      <c r="B18" s="720"/>
      <c r="C18" s="730"/>
      <c r="D18" s="582" t="s">
        <v>189</v>
      </c>
      <c r="E18" s="165"/>
      <c r="F18" s="172"/>
      <c r="G18" s="172"/>
      <c r="H18" s="172"/>
      <c r="I18" s="172"/>
      <c r="J18" s="172"/>
      <c r="K18" s="168">
        <f t="shared" si="0"/>
        <v>0</v>
      </c>
      <c r="L18" s="591">
        <f t="shared" si="1"/>
        <v>0</v>
      </c>
    </row>
    <row r="19" spans="1:12" s="30" customFormat="1">
      <c r="A19" s="588" t="s">
        <v>190</v>
      </c>
      <c r="B19" s="720"/>
      <c r="C19" s="730"/>
      <c r="D19" s="582" t="s">
        <v>191</v>
      </c>
      <c r="E19" s="165"/>
      <c r="F19" s="172"/>
      <c r="G19" s="172"/>
      <c r="H19" s="172"/>
      <c r="I19" s="172"/>
      <c r="J19" s="172"/>
      <c r="K19" s="168">
        <f t="shared" si="0"/>
        <v>0</v>
      </c>
      <c r="L19" s="591">
        <f t="shared" si="1"/>
        <v>0</v>
      </c>
    </row>
    <row r="20" spans="1:12" s="30" customFormat="1">
      <c r="A20" s="588" t="s">
        <v>91</v>
      </c>
      <c r="B20" s="720"/>
      <c r="C20" s="730"/>
      <c r="D20" s="582" t="s">
        <v>92</v>
      </c>
      <c r="E20" s="165"/>
      <c r="F20" s="172">
        <f>F21+F22</f>
        <v>0</v>
      </c>
      <c r="G20" s="172">
        <f>G21+G22</f>
        <v>0</v>
      </c>
      <c r="H20" s="172">
        <f>H21+H22</f>
        <v>0</v>
      </c>
      <c r="I20" s="172">
        <f>I21+I22</f>
        <v>0</v>
      </c>
      <c r="J20" s="172">
        <f>J21+J22</f>
        <v>0</v>
      </c>
      <c r="K20" s="168">
        <f t="shared" si="0"/>
        <v>0</v>
      </c>
      <c r="L20" s="591">
        <f t="shared" si="1"/>
        <v>0</v>
      </c>
    </row>
    <row r="21" spans="1:12" s="30" customFormat="1">
      <c r="A21" s="588" t="s">
        <v>192</v>
      </c>
      <c r="B21" s="720"/>
      <c r="C21" s="730"/>
      <c r="D21" s="582" t="s">
        <v>189</v>
      </c>
      <c r="E21" s="165"/>
      <c r="F21" s="172"/>
      <c r="G21" s="172"/>
      <c r="H21" s="172"/>
      <c r="I21" s="172"/>
      <c r="J21" s="172"/>
      <c r="K21" s="168">
        <f t="shared" si="0"/>
        <v>0</v>
      </c>
      <c r="L21" s="591">
        <f t="shared" si="1"/>
        <v>0</v>
      </c>
    </row>
    <row r="22" spans="1:12" s="30" customFormat="1">
      <c r="A22" s="588" t="s">
        <v>193</v>
      </c>
      <c r="B22" s="720"/>
      <c r="C22" s="730"/>
      <c r="D22" s="582" t="s">
        <v>191</v>
      </c>
      <c r="E22" s="165"/>
      <c r="F22" s="172"/>
      <c r="G22" s="172"/>
      <c r="H22" s="172"/>
      <c r="I22" s="172"/>
      <c r="J22" s="172"/>
      <c r="K22" s="168">
        <f t="shared" si="0"/>
        <v>0</v>
      </c>
      <c r="L22" s="591">
        <f t="shared" si="1"/>
        <v>0</v>
      </c>
    </row>
    <row r="23" spans="1:12" s="30" customFormat="1">
      <c r="A23" s="588" t="s">
        <v>71</v>
      </c>
      <c r="B23" s="720"/>
      <c r="C23" s="730"/>
      <c r="D23" s="582" t="s">
        <v>66</v>
      </c>
      <c r="E23" s="165"/>
      <c r="F23" s="172"/>
      <c r="G23" s="172"/>
      <c r="H23" s="172"/>
      <c r="I23" s="172"/>
      <c r="J23" s="172"/>
      <c r="K23" s="168">
        <f t="shared" si="0"/>
        <v>0</v>
      </c>
      <c r="L23" s="591">
        <f t="shared" si="1"/>
        <v>0</v>
      </c>
    </row>
    <row r="24" spans="1:12" s="30" customFormat="1">
      <c r="A24" s="588" t="s">
        <v>93</v>
      </c>
      <c r="B24" s="720"/>
      <c r="C24" s="727"/>
      <c r="D24" s="582" t="s">
        <v>67</v>
      </c>
      <c r="E24" s="165"/>
      <c r="F24" s="172">
        <f>F17+F20+F23</f>
        <v>0</v>
      </c>
      <c r="G24" s="172">
        <f>G17+G20+G23</f>
        <v>0</v>
      </c>
      <c r="H24" s="172">
        <f>H17+H20+H23</f>
        <v>0</v>
      </c>
      <c r="I24" s="172">
        <f>I17+I20+I23</f>
        <v>0</v>
      </c>
      <c r="J24" s="172">
        <f>J17+J20+J23</f>
        <v>0</v>
      </c>
      <c r="K24" s="168">
        <f t="shared" si="0"/>
        <v>0</v>
      </c>
      <c r="L24" s="591">
        <f t="shared" si="1"/>
        <v>0</v>
      </c>
    </row>
    <row r="25" spans="1:12" s="30" customFormat="1">
      <c r="A25" s="588" t="s">
        <v>55</v>
      </c>
      <c r="B25" s="720"/>
      <c r="C25" s="710" t="s">
        <v>67</v>
      </c>
      <c r="D25" s="710"/>
      <c r="E25" s="165"/>
      <c r="F25" s="172">
        <f>F24+F16+F15+F14+F13</f>
        <v>0</v>
      </c>
      <c r="G25" s="172">
        <f>G24+G16+G15+G14+G13</f>
        <v>0</v>
      </c>
      <c r="H25" s="172">
        <f>H24+H16+H15+H14+H13</f>
        <v>0</v>
      </c>
      <c r="I25" s="172">
        <f>I24+I16+I15+I14+I13</f>
        <v>0</v>
      </c>
      <c r="J25" s="172">
        <f>J24+J16+J15+J14+J13</f>
        <v>0</v>
      </c>
      <c r="K25" s="168">
        <f t="shared" si="0"/>
        <v>0</v>
      </c>
      <c r="L25" s="591">
        <f t="shared" si="1"/>
        <v>0</v>
      </c>
    </row>
    <row r="26" spans="1:12" s="30" customFormat="1">
      <c r="A26" s="588" t="s">
        <v>94</v>
      </c>
      <c r="B26" s="720" t="s">
        <v>194</v>
      </c>
      <c r="C26" s="710" t="s">
        <v>95</v>
      </c>
      <c r="D26" s="710"/>
      <c r="E26" s="165"/>
      <c r="F26" s="172"/>
      <c r="G26" s="172"/>
      <c r="H26" s="172"/>
      <c r="I26" s="172"/>
      <c r="J26" s="172"/>
      <c r="K26" s="168">
        <f t="shared" si="0"/>
        <v>0</v>
      </c>
      <c r="L26" s="591">
        <f t="shared" si="1"/>
        <v>0</v>
      </c>
    </row>
    <row r="27" spans="1:12" s="30" customFormat="1">
      <c r="A27" s="588" t="s">
        <v>96</v>
      </c>
      <c r="B27" s="720"/>
      <c r="C27" s="710" t="s">
        <v>97</v>
      </c>
      <c r="D27" s="710"/>
      <c r="E27" s="165"/>
      <c r="F27" s="172"/>
      <c r="G27" s="172"/>
      <c r="H27" s="172"/>
      <c r="I27" s="172"/>
      <c r="J27" s="172"/>
      <c r="K27" s="168">
        <f t="shared" si="0"/>
        <v>0</v>
      </c>
      <c r="L27" s="591">
        <f t="shared" si="1"/>
        <v>0</v>
      </c>
    </row>
    <row r="28" spans="1:12" s="30" customFormat="1">
      <c r="A28" s="588" t="s">
        <v>98</v>
      </c>
      <c r="B28" s="720"/>
      <c r="C28" s="710" t="s">
        <v>99</v>
      </c>
      <c r="D28" s="710"/>
      <c r="E28" s="165"/>
      <c r="F28" s="172"/>
      <c r="G28" s="172"/>
      <c r="H28" s="172"/>
      <c r="I28" s="172"/>
      <c r="J28" s="172"/>
      <c r="K28" s="168">
        <f t="shared" si="0"/>
        <v>0</v>
      </c>
      <c r="L28" s="591">
        <f t="shared" si="1"/>
        <v>0</v>
      </c>
    </row>
    <row r="29" spans="1:12" s="30" customFormat="1">
      <c r="A29" s="588" t="s">
        <v>100</v>
      </c>
      <c r="B29" s="720"/>
      <c r="C29" s="710" t="s">
        <v>101</v>
      </c>
      <c r="D29" s="710"/>
      <c r="E29" s="165"/>
      <c r="F29" s="172"/>
      <c r="G29" s="172"/>
      <c r="H29" s="172"/>
      <c r="I29" s="172"/>
      <c r="J29" s="172"/>
      <c r="K29" s="168">
        <f t="shared" si="0"/>
        <v>0</v>
      </c>
      <c r="L29" s="591">
        <f t="shared" si="1"/>
        <v>0</v>
      </c>
    </row>
    <row r="30" spans="1:12" s="30" customFormat="1">
      <c r="A30" s="588" t="s">
        <v>56</v>
      </c>
      <c r="B30" s="720"/>
      <c r="C30" s="710" t="s">
        <v>67</v>
      </c>
      <c r="D30" s="710"/>
      <c r="E30" s="165"/>
      <c r="F30" s="172"/>
      <c r="G30" s="172"/>
      <c r="H30" s="172"/>
      <c r="I30" s="172"/>
      <c r="J30" s="172"/>
      <c r="K30" s="168">
        <f t="shared" si="0"/>
        <v>0</v>
      </c>
      <c r="L30" s="591">
        <f t="shared" si="1"/>
        <v>0</v>
      </c>
    </row>
    <row r="31" spans="1:12" s="30" customFormat="1">
      <c r="A31" s="588" t="s">
        <v>72</v>
      </c>
      <c r="B31" s="720" t="s">
        <v>195</v>
      </c>
      <c r="C31" s="710" t="s">
        <v>102</v>
      </c>
      <c r="D31" s="710"/>
      <c r="E31" s="165"/>
      <c r="F31" s="172"/>
      <c r="G31" s="172"/>
      <c r="H31" s="172"/>
      <c r="I31" s="172"/>
      <c r="J31" s="172"/>
      <c r="K31" s="168">
        <f t="shared" si="0"/>
        <v>0</v>
      </c>
      <c r="L31" s="591">
        <f t="shared" si="1"/>
        <v>0</v>
      </c>
    </row>
    <row r="32" spans="1:12" s="30" customFormat="1">
      <c r="A32" s="588" t="s">
        <v>73</v>
      </c>
      <c r="B32" s="720"/>
      <c r="C32" s="710" t="s">
        <v>103</v>
      </c>
      <c r="D32" s="710"/>
      <c r="E32" s="165"/>
      <c r="F32" s="172"/>
      <c r="G32" s="172"/>
      <c r="H32" s="172"/>
      <c r="I32" s="172"/>
      <c r="J32" s="172"/>
      <c r="K32" s="168">
        <f t="shared" si="0"/>
        <v>0</v>
      </c>
      <c r="L32" s="591">
        <f t="shared" si="1"/>
        <v>0</v>
      </c>
    </row>
    <row r="33" spans="1:12" s="30" customFormat="1">
      <c r="A33" s="588" t="s">
        <v>74</v>
      </c>
      <c r="B33" s="720"/>
      <c r="C33" s="710" t="s">
        <v>104</v>
      </c>
      <c r="D33" s="710"/>
      <c r="E33" s="165"/>
      <c r="F33" s="172"/>
      <c r="G33" s="172"/>
      <c r="H33" s="172"/>
      <c r="I33" s="172"/>
      <c r="J33" s="172"/>
      <c r="K33" s="168">
        <f t="shared" si="0"/>
        <v>0</v>
      </c>
      <c r="L33" s="591">
        <f t="shared" si="1"/>
        <v>0</v>
      </c>
    </row>
    <row r="34" spans="1:12" s="30" customFormat="1">
      <c r="A34" s="588" t="s">
        <v>105</v>
      </c>
      <c r="B34" s="720"/>
      <c r="C34" s="710" t="s">
        <v>106</v>
      </c>
      <c r="D34" s="710"/>
      <c r="E34" s="165"/>
      <c r="F34" s="172"/>
      <c r="G34" s="172"/>
      <c r="H34" s="172"/>
      <c r="I34" s="172"/>
      <c r="J34" s="172"/>
      <c r="K34" s="168">
        <f t="shared" si="0"/>
        <v>0</v>
      </c>
      <c r="L34" s="591">
        <f t="shared" si="1"/>
        <v>0</v>
      </c>
    </row>
    <row r="35" spans="1:12" s="30" customFormat="1">
      <c r="A35" s="588" t="s">
        <v>107</v>
      </c>
      <c r="B35" s="720"/>
      <c r="C35" s="710" t="s">
        <v>108</v>
      </c>
      <c r="D35" s="710"/>
      <c r="E35" s="165"/>
      <c r="F35" s="172"/>
      <c r="G35" s="172"/>
      <c r="H35" s="172"/>
      <c r="I35" s="172"/>
      <c r="J35" s="172"/>
      <c r="K35" s="168">
        <f t="shared" si="0"/>
        <v>0</v>
      </c>
      <c r="L35" s="591">
        <f t="shared" si="1"/>
        <v>0</v>
      </c>
    </row>
    <row r="36" spans="1:12" s="30" customFormat="1">
      <c r="A36" s="588" t="s">
        <v>109</v>
      </c>
      <c r="B36" s="720"/>
      <c r="C36" s="710" t="s">
        <v>110</v>
      </c>
      <c r="D36" s="710"/>
      <c r="E36" s="165"/>
      <c r="F36" s="172"/>
      <c r="G36" s="172"/>
      <c r="H36" s="172"/>
      <c r="I36" s="172"/>
      <c r="J36" s="172"/>
      <c r="K36" s="168">
        <f t="shared" si="0"/>
        <v>0</v>
      </c>
      <c r="L36" s="591">
        <f t="shared" si="1"/>
        <v>0</v>
      </c>
    </row>
    <row r="37" spans="1:12" s="30" customFormat="1">
      <c r="A37" s="588" t="s">
        <v>60</v>
      </c>
      <c r="B37" s="720"/>
      <c r="C37" s="710" t="s">
        <v>67</v>
      </c>
      <c r="D37" s="710"/>
      <c r="E37" s="165"/>
      <c r="F37" s="172"/>
      <c r="G37" s="172"/>
      <c r="H37" s="172"/>
      <c r="I37" s="172"/>
      <c r="J37" s="172"/>
      <c r="K37" s="168">
        <f t="shared" si="0"/>
        <v>0</v>
      </c>
      <c r="L37" s="591">
        <f t="shared" si="1"/>
        <v>0</v>
      </c>
    </row>
    <row r="38" spans="1:12" s="30" customFormat="1">
      <c r="A38" s="588" t="s">
        <v>61</v>
      </c>
      <c r="B38" s="710" t="s">
        <v>111</v>
      </c>
      <c r="C38" s="710"/>
      <c r="D38" s="710"/>
      <c r="E38" s="165"/>
      <c r="F38" s="172"/>
      <c r="G38" s="172"/>
      <c r="H38" s="172"/>
      <c r="I38" s="172"/>
      <c r="J38" s="172"/>
      <c r="K38" s="168">
        <f t="shared" si="0"/>
        <v>0</v>
      </c>
      <c r="L38" s="591">
        <f t="shared" si="1"/>
        <v>0</v>
      </c>
    </row>
    <row r="39" spans="1:12" s="30" customFormat="1">
      <c r="A39" s="588" t="s">
        <v>112</v>
      </c>
      <c r="B39" s="720" t="s">
        <v>113</v>
      </c>
      <c r="C39" s="710" t="s">
        <v>114</v>
      </c>
      <c r="D39" s="710"/>
      <c r="E39" s="165"/>
      <c r="F39" s="172"/>
      <c r="G39" s="172"/>
      <c r="H39" s="172"/>
      <c r="I39" s="172"/>
      <c r="J39" s="172"/>
      <c r="K39" s="168">
        <f t="shared" si="0"/>
        <v>0</v>
      </c>
      <c r="L39" s="591">
        <f t="shared" si="1"/>
        <v>0</v>
      </c>
    </row>
    <row r="40" spans="1:12" s="30" customFormat="1">
      <c r="A40" s="588" t="s">
        <v>115</v>
      </c>
      <c r="B40" s="720"/>
      <c r="C40" s="710" t="s">
        <v>116</v>
      </c>
      <c r="D40" s="710"/>
      <c r="E40" s="165"/>
      <c r="F40" s="172"/>
      <c r="G40" s="172"/>
      <c r="H40" s="172"/>
      <c r="I40" s="172"/>
      <c r="J40" s="172"/>
      <c r="K40" s="168">
        <f t="shared" si="0"/>
        <v>0</v>
      </c>
      <c r="L40" s="591">
        <f t="shared" si="1"/>
        <v>0</v>
      </c>
    </row>
    <row r="41" spans="1:12" s="30" customFormat="1">
      <c r="A41" s="588" t="s">
        <v>117</v>
      </c>
      <c r="B41" s="720"/>
      <c r="C41" s="710" t="s">
        <v>118</v>
      </c>
      <c r="D41" s="710"/>
      <c r="E41" s="165"/>
      <c r="F41" s="172"/>
      <c r="G41" s="172"/>
      <c r="H41" s="172"/>
      <c r="I41" s="172"/>
      <c r="J41" s="172"/>
      <c r="K41" s="168">
        <f t="shared" si="0"/>
        <v>0</v>
      </c>
      <c r="L41" s="591">
        <f t="shared" si="1"/>
        <v>0</v>
      </c>
    </row>
    <row r="42" spans="1:12" s="30" customFormat="1">
      <c r="A42" s="588" t="s">
        <v>119</v>
      </c>
      <c r="B42" s="720"/>
      <c r="C42" s="710" t="s">
        <v>120</v>
      </c>
      <c r="D42" s="710"/>
      <c r="E42" s="165"/>
      <c r="F42" s="172"/>
      <c r="G42" s="172"/>
      <c r="H42" s="172"/>
      <c r="I42" s="172"/>
      <c r="J42" s="172"/>
      <c r="K42" s="168">
        <f t="shared" si="0"/>
        <v>0</v>
      </c>
      <c r="L42" s="591">
        <f t="shared" si="1"/>
        <v>0</v>
      </c>
    </row>
    <row r="43" spans="1:12" s="30" customFormat="1">
      <c r="A43" s="588" t="s">
        <v>121</v>
      </c>
      <c r="B43" s="720"/>
      <c r="C43" s="710" t="s">
        <v>122</v>
      </c>
      <c r="D43" s="710"/>
      <c r="E43" s="165"/>
      <c r="F43" s="172"/>
      <c r="G43" s="172"/>
      <c r="H43" s="172"/>
      <c r="I43" s="172"/>
      <c r="J43" s="172"/>
      <c r="K43" s="168">
        <f t="shared" si="0"/>
        <v>0</v>
      </c>
      <c r="L43" s="591">
        <f t="shared" si="1"/>
        <v>0</v>
      </c>
    </row>
    <row r="44" spans="1:12" s="30" customFormat="1">
      <c r="A44" s="588" t="s">
        <v>123</v>
      </c>
      <c r="B44" s="720"/>
      <c r="C44" s="710" t="s">
        <v>124</v>
      </c>
      <c r="D44" s="710"/>
      <c r="E44" s="165"/>
      <c r="F44" s="172"/>
      <c r="G44" s="172"/>
      <c r="H44" s="172"/>
      <c r="I44" s="172"/>
      <c r="J44" s="172"/>
      <c r="K44" s="168">
        <f t="shared" si="0"/>
        <v>0</v>
      </c>
      <c r="L44" s="591">
        <f t="shared" si="1"/>
        <v>0</v>
      </c>
    </row>
    <row r="45" spans="1:12" s="30" customFormat="1">
      <c r="A45" s="588" t="s">
        <v>125</v>
      </c>
      <c r="B45" s="720"/>
      <c r="C45" s="710" t="s">
        <v>126</v>
      </c>
      <c r="D45" s="710"/>
      <c r="E45" s="165"/>
      <c r="F45" s="172"/>
      <c r="G45" s="172"/>
      <c r="H45" s="172"/>
      <c r="I45" s="172"/>
      <c r="J45" s="172"/>
      <c r="K45" s="168">
        <f t="shared" ref="K45:K63" si="2">SUM(H45:J45)</f>
        <v>0</v>
      </c>
      <c r="L45" s="591">
        <f t="shared" si="1"/>
        <v>0</v>
      </c>
    </row>
    <row r="46" spans="1:12" s="30" customFormat="1">
      <c r="A46" s="588" t="s">
        <v>127</v>
      </c>
      <c r="B46" s="720"/>
      <c r="C46" s="710" t="s">
        <v>128</v>
      </c>
      <c r="D46" s="710"/>
      <c r="E46" s="165"/>
      <c r="F46" s="172"/>
      <c r="G46" s="172"/>
      <c r="H46" s="172"/>
      <c r="I46" s="172"/>
      <c r="J46" s="172"/>
      <c r="K46" s="168">
        <f t="shared" si="2"/>
        <v>0</v>
      </c>
      <c r="L46" s="591">
        <f t="shared" si="1"/>
        <v>0</v>
      </c>
    </row>
    <row r="47" spans="1:12" s="30" customFormat="1">
      <c r="A47" s="588" t="s">
        <v>62</v>
      </c>
      <c r="B47" s="720"/>
      <c r="C47" s="710" t="s">
        <v>67</v>
      </c>
      <c r="D47" s="710"/>
      <c r="E47" s="165"/>
      <c r="F47" s="172"/>
      <c r="G47" s="172"/>
      <c r="H47" s="172"/>
      <c r="I47" s="172"/>
      <c r="J47" s="172"/>
      <c r="K47" s="168">
        <f t="shared" si="2"/>
        <v>0</v>
      </c>
      <c r="L47" s="591">
        <f t="shared" si="1"/>
        <v>0</v>
      </c>
    </row>
    <row r="48" spans="1:12" s="30" customFormat="1">
      <c r="A48" s="588" t="s">
        <v>129</v>
      </c>
      <c r="B48" s="720" t="s">
        <v>66</v>
      </c>
      <c r="C48" s="710" t="s">
        <v>130</v>
      </c>
      <c r="D48" s="710"/>
      <c r="E48" s="165"/>
      <c r="F48" s="172"/>
      <c r="G48" s="172"/>
      <c r="H48" s="172"/>
      <c r="I48" s="172"/>
      <c r="J48" s="172"/>
      <c r="K48" s="168">
        <f t="shared" si="2"/>
        <v>0</v>
      </c>
      <c r="L48" s="591">
        <f t="shared" si="1"/>
        <v>0</v>
      </c>
    </row>
    <row r="49" spans="1:12" s="30" customFormat="1">
      <c r="A49" s="588" t="s">
        <v>131</v>
      </c>
      <c r="B49" s="720"/>
      <c r="C49" s="710" t="s">
        <v>242</v>
      </c>
      <c r="D49" s="710"/>
      <c r="E49" s="165"/>
      <c r="F49" s="172"/>
      <c r="G49" s="172"/>
      <c r="H49" s="172"/>
      <c r="I49" s="172"/>
      <c r="J49" s="172"/>
      <c r="K49" s="168">
        <f t="shared" si="2"/>
        <v>0</v>
      </c>
      <c r="L49" s="591">
        <f t="shared" si="1"/>
        <v>0</v>
      </c>
    </row>
    <row r="50" spans="1:12" s="30" customFormat="1">
      <c r="A50" s="588" t="s">
        <v>215</v>
      </c>
      <c r="B50" s="720"/>
      <c r="C50" s="724" t="s">
        <v>216</v>
      </c>
      <c r="D50" s="725"/>
      <c r="E50" s="165"/>
      <c r="F50" s="172"/>
      <c r="G50" s="172"/>
      <c r="H50" s="172"/>
      <c r="I50" s="172"/>
      <c r="J50" s="172"/>
      <c r="K50" s="168">
        <f>SUM(H50:J50)</f>
        <v>0</v>
      </c>
      <c r="L50" s="591">
        <f>F50+G50+K50</f>
        <v>0</v>
      </c>
    </row>
    <row r="51" spans="1:12" s="30" customFormat="1">
      <c r="A51" s="588" t="s">
        <v>132</v>
      </c>
      <c r="B51" s="720"/>
      <c r="C51" s="710" t="s">
        <v>133</v>
      </c>
      <c r="D51" s="710"/>
      <c r="E51" s="165"/>
      <c r="F51" s="172"/>
      <c r="G51" s="172"/>
      <c r="H51" s="172"/>
      <c r="I51" s="172"/>
      <c r="J51" s="172"/>
      <c r="K51" s="168">
        <f t="shared" si="2"/>
        <v>0</v>
      </c>
      <c r="L51" s="591">
        <f t="shared" si="1"/>
        <v>0</v>
      </c>
    </row>
    <row r="52" spans="1:12" s="30" customFormat="1">
      <c r="A52" s="588" t="s">
        <v>134</v>
      </c>
      <c r="B52" s="720"/>
      <c r="C52" s="710" t="s">
        <v>135</v>
      </c>
      <c r="D52" s="710"/>
      <c r="E52" s="165"/>
      <c r="F52" s="172"/>
      <c r="G52" s="172"/>
      <c r="H52" s="172"/>
      <c r="I52" s="172"/>
      <c r="J52" s="172"/>
      <c r="K52" s="168">
        <f t="shared" si="2"/>
        <v>0</v>
      </c>
      <c r="L52" s="591">
        <f t="shared" si="1"/>
        <v>0</v>
      </c>
    </row>
    <row r="53" spans="1:12" s="30" customFormat="1">
      <c r="A53" s="588" t="s">
        <v>136</v>
      </c>
      <c r="B53" s="720"/>
      <c r="C53" s="710" t="s">
        <v>67</v>
      </c>
      <c r="D53" s="710"/>
      <c r="E53" s="165"/>
      <c r="F53" s="172"/>
      <c r="G53" s="172"/>
      <c r="H53" s="172"/>
      <c r="I53" s="172"/>
      <c r="J53" s="172"/>
      <c r="K53" s="168">
        <f t="shared" si="2"/>
        <v>0</v>
      </c>
      <c r="L53" s="179">
        <f t="shared" si="1"/>
        <v>0</v>
      </c>
    </row>
    <row r="54" spans="1:12" s="30" customFormat="1">
      <c r="A54" s="588" t="s">
        <v>63</v>
      </c>
      <c r="B54" s="710" t="s">
        <v>137</v>
      </c>
      <c r="C54" s="710"/>
      <c r="D54" s="710"/>
      <c r="E54" s="165"/>
      <c r="F54" s="172"/>
      <c r="G54" s="172"/>
      <c r="H54" s="172"/>
      <c r="I54" s="172"/>
      <c r="J54" s="172"/>
      <c r="K54" s="168">
        <f t="shared" si="2"/>
        <v>0</v>
      </c>
      <c r="L54" s="591">
        <f t="shared" si="1"/>
        <v>0</v>
      </c>
    </row>
    <row r="55" spans="1:12" s="30" customFormat="1">
      <c r="A55" s="608" t="s">
        <v>139</v>
      </c>
      <c r="B55" s="722" t="s">
        <v>138</v>
      </c>
      <c r="C55" s="723" t="s">
        <v>196</v>
      </c>
      <c r="D55" s="723"/>
      <c r="E55" s="165"/>
      <c r="F55" s="172"/>
      <c r="G55" s="172"/>
      <c r="H55" s="172"/>
      <c r="I55" s="172"/>
      <c r="J55" s="172"/>
      <c r="K55" s="168">
        <f t="shared" si="2"/>
        <v>0</v>
      </c>
      <c r="L55" s="591">
        <f t="shared" si="1"/>
        <v>0</v>
      </c>
    </row>
    <row r="56" spans="1:12" s="30" customFormat="1">
      <c r="A56" s="609" t="s">
        <v>1733</v>
      </c>
      <c r="B56" s="722"/>
      <c r="C56" s="723" t="s">
        <v>197</v>
      </c>
      <c r="D56" s="723"/>
      <c r="E56" s="165"/>
      <c r="F56" s="172"/>
      <c r="G56" s="172"/>
      <c r="H56" s="172"/>
      <c r="I56" s="172"/>
      <c r="J56" s="172"/>
      <c r="K56" s="168">
        <f t="shared" si="2"/>
        <v>0</v>
      </c>
      <c r="L56" s="179">
        <f t="shared" si="1"/>
        <v>0</v>
      </c>
    </row>
    <row r="57" spans="1:12" s="30" customFormat="1">
      <c r="A57" s="608" t="s">
        <v>1734</v>
      </c>
      <c r="B57" s="722"/>
      <c r="C57" s="723" t="s">
        <v>198</v>
      </c>
      <c r="D57" s="723"/>
      <c r="E57" s="165"/>
      <c r="F57" s="172"/>
      <c r="G57" s="172"/>
      <c r="H57" s="172"/>
      <c r="I57" s="172"/>
      <c r="J57" s="172"/>
      <c r="K57" s="168">
        <f t="shared" si="2"/>
        <v>0</v>
      </c>
      <c r="L57" s="591">
        <f t="shared" si="1"/>
        <v>0</v>
      </c>
    </row>
    <row r="58" spans="1:12" s="30" customFormat="1">
      <c r="A58" s="608" t="s">
        <v>1735</v>
      </c>
      <c r="B58" s="722"/>
      <c r="C58" s="723" t="s">
        <v>199</v>
      </c>
      <c r="D58" s="723"/>
      <c r="E58" s="165"/>
      <c r="F58" s="172"/>
      <c r="G58" s="172"/>
      <c r="H58" s="172"/>
      <c r="I58" s="172"/>
      <c r="J58" s="172"/>
      <c r="K58" s="168">
        <f t="shared" si="2"/>
        <v>0</v>
      </c>
      <c r="L58" s="591">
        <f t="shared" si="1"/>
        <v>0</v>
      </c>
    </row>
    <row r="59" spans="1:12" s="30" customFormat="1">
      <c r="A59" s="608" t="s">
        <v>64</v>
      </c>
      <c r="B59" s="722"/>
      <c r="C59" s="723" t="s">
        <v>67</v>
      </c>
      <c r="D59" s="723"/>
      <c r="E59" s="165"/>
      <c r="F59" s="172"/>
      <c r="G59" s="172"/>
      <c r="H59" s="172"/>
      <c r="I59" s="172"/>
      <c r="J59" s="172"/>
      <c r="K59" s="168">
        <f t="shared" si="2"/>
        <v>0</v>
      </c>
      <c r="L59" s="591">
        <f t="shared" si="1"/>
        <v>0</v>
      </c>
    </row>
    <row r="60" spans="1:12" s="30" customFormat="1">
      <c r="A60" s="588" t="s">
        <v>140</v>
      </c>
      <c r="B60" s="720" t="s">
        <v>200</v>
      </c>
      <c r="C60" s="710" t="s">
        <v>141</v>
      </c>
      <c r="D60" s="710"/>
      <c r="E60" s="165"/>
      <c r="F60" s="172"/>
      <c r="G60" s="172"/>
      <c r="H60" s="172"/>
      <c r="I60" s="172"/>
      <c r="J60" s="172"/>
      <c r="K60" s="168">
        <f t="shared" si="2"/>
        <v>0</v>
      </c>
      <c r="L60" s="179">
        <f t="shared" si="1"/>
        <v>0</v>
      </c>
    </row>
    <row r="61" spans="1:12" s="30" customFormat="1">
      <c r="A61" s="588" t="s">
        <v>142</v>
      </c>
      <c r="B61" s="720"/>
      <c r="C61" s="710" t="s">
        <v>143</v>
      </c>
      <c r="D61" s="710"/>
      <c r="E61" s="165"/>
      <c r="F61" s="172"/>
      <c r="G61" s="172"/>
      <c r="H61" s="172"/>
      <c r="I61" s="172"/>
      <c r="J61" s="172"/>
      <c r="K61" s="168">
        <f t="shared" si="2"/>
        <v>0</v>
      </c>
      <c r="L61" s="591">
        <f t="shared" si="1"/>
        <v>0</v>
      </c>
    </row>
    <row r="62" spans="1:12" s="30" customFormat="1">
      <c r="A62" s="588" t="s">
        <v>144</v>
      </c>
      <c r="B62" s="720"/>
      <c r="C62" s="710" t="s">
        <v>145</v>
      </c>
      <c r="D62" s="710"/>
      <c r="E62" s="165"/>
      <c r="F62" s="172"/>
      <c r="G62" s="172"/>
      <c r="H62" s="172"/>
      <c r="I62" s="172"/>
      <c r="J62" s="172"/>
      <c r="K62" s="168">
        <f t="shared" si="2"/>
        <v>0</v>
      </c>
      <c r="L62" s="591">
        <f t="shared" si="1"/>
        <v>0</v>
      </c>
    </row>
    <row r="63" spans="1:12" s="30" customFormat="1">
      <c r="A63" s="588" t="s">
        <v>146</v>
      </c>
      <c r="B63" s="720"/>
      <c r="C63" s="710" t="s">
        <v>147</v>
      </c>
      <c r="D63" s="710"/>
      <c r="E63" s="165"/>
      <c r="F63" s="172"/>
      <c r="G63" s="172"/>
      <c r="H63" s="172"/>
      <c r="I63" s="172"/>
      <c r="J63" s="172"/>
      <c r="K63" s="168">
        <f t="shared" si="2"/>
        <v>0</v>
      </c>
      <c r="L63" s="591">
        <f t="shared" si="1"/>
        <v>0</v>
      </c>
    </row>
    <row r="64" spans="1:12" s="30" customFormat="1">
      <c r="A64" s="588" t="s">
        <v>201</v>
      </c>
      <c r="B64" s="720"/>
      <c r="C64" s="710" t="s">
        <v>202</v>
      </c>
      <c r="D64" s="710"/>
      <c r="E64" s="165"/>
      <c r="F64" s="172"/>
      <c r="G64" s="172"/>
      <c r="H64" s="172"/>
      <c r="I64" s="172"/>
      <c r="J64" s="172"/>
      <c r="K64" s="168"/>
      <c r="L64" s="591"/>
    </row>
    <row r="65" spans="1:12" s="30" customFormat="1">
      <c r="A65" s="588" t="s">
        <v>148</v>
      </c>
      <c r="B65" s="720"/>
      <c r="C65" s="710" t="s">
        <v>67</v>
      </c>
      <c r="D65" s="710"/>
      <c r="E65" s="165"/>
      <c r="F65" s="172"/>
      <c r="G65" s="172"/>
      <c r="H65" s="172"/>
      <c r="I65" s="172"/>
      <c r="J65" s="172"/>
      <c r="K65" s="168">
        <f t="shared" ref="K65:K78" si="3">SUM(H65:J65)</f>
        <v>0</v>
      </c>
      <c r="L65" s="591">
        <f t="shared" ref="L65:L78" si="4">F65+G65+K65</f>
        <v>0</v>
      </c>
    </row>
    <row r="66" spans="1:12" s="30" customFormat="1">
      <c r="A66" s="588" t="s">
        <v>149</v>
      </c>
      <c r="B66" s="720" t="s">
        <v>203</v>
      </c>
      <c r="C66" s="710" t="s">
        <v>150</v>
      </c>
      <c r="D66" s="710"/>
      <c r="E66" s="165"/>
      <c r="F66" s="172"/>
      <c r="G66" s="721"/>
      <c r="H66" s="721"/>
      <c r="I66" s="172"/>
      <c r="J66" s="172"/>
      <c r="K66" s="168">
        <f t="shared" si="3"/>
        <v>0</v>
      </c>
      <c r="L66" s="591">
        <f t="shared" si="4"/>
        <v>0</v>
      </c>
    </row>
    <row r="67" spans="1:12" s="30" customFormat="1">
      <c r="A67" s="588" t="s">
        <v>151</v>
      </c>
      <c r="B67" s="720"/>
      <c r="C67" s="710" t="s">
        <v>152</v>
      </c>
      <c r="D67" s="710"/>
      <c r="E67" s="165"/>
      <c r="F67" s="172"/>
      <c r="G67" s="172"/>
      <c r="H67" s="172"/>
      <c r="I67" s="172"/>
      <c r="J67" s="172"/>
      <c r="K67" s="168">
        <f t="shared" si="3"/>
        <v>0</v>
      </c>
      <c r="L67" s="591">
        <f t="shared" si="4"/>
        <v>0</v>
      </c>
    </row>
    <row r="68" spans="1:12" s="30" customFormat="1">
      <c r="A68" s="588" t="s">
        <v>153</v>
      </c>
      <c r="B68" s="720"/>
      <c r="C68" s="710" t="s">
        <v>67</v>
      </c>
      <c r="D68" s="710"/>
      <c r="E68" s="165"/>
      <c r="F68" s="172"/>
      <c r="G68" s="172"/>
      <c r="H68" s="172"/>
      <c r="I68" s="172"/>
      <c r="J68" s="172"/>
      <c r="K68" s="168">
        <f t="shared" si="3"/>
        <v>0</v>
      </c>
      <c r="L68" s="591">
        <f t="shared" si="4"/>
        <v>0</v>
      </c>
    </row>
    <row r="69" spans="1:12" s="30" customFormat="1">
      <c r="A69" s="588" t="s">
        <v>154</v>
      </c>
      <c r="B69" s="720" t="s">
        <v>1714</v>
      </c>
      <c r="C69" s="710" t="s">
        <v>156</v>
      </c>
      <c r="D69" s="710"/>
      <c r="E69" s="165"/>
      <c r="F69" s="168"/>
      <c r="G69" s="168"/>
      <c r="H69" s="168"/>
      <c r="I69" s="168"/>
      <c r="J69" s="168"/>
      <c r="K69" s="172">
        <f t="shared" si="3"/>
        <v>0</v>
      </c>
      <c r="L69" s="592">
        <f t="shared" si="4"/>
        <v>0</v>
      </c>
    </row>
    <row r="70" spans="1:12" s="30" customFormat="1">
      <c r="A70" s="588" t="s">
        <v>157</v>
      </c>
      <c r="B70" s="720"/>
      <c r="C70" s="710" t="s">
        <v>158</v>
      </c>
      <c r="D70" s="710"/>
      <c r="E70" s="165"/>
      <c r="F70" s="168"/>
      <c r="G70" s="172"/>
      <c r="H70" s="172"/>
      <c r="I70" s="172"/>
      <c r="J70" s="172"/>
      <c r="K70" s="172">
        <f t="shared" si="3"/>
        <v>0</v>
      </c>
      <c r="L70" s="592">
        <f t="shared" si="4"/>
        <v>0</v>
      </c>
    </row>
    <row r="71" spans="1:12" s="30" customFormat="1">
      <c r="A71" s="588" t="s">
        <v>159</v>
      </c>
      <c r="B71" s="720"/>
      <c r="C71" s="710" t="s">
        <v>160</v>
      </c>
      <c r="D71" s="710"/>
      <c r="E71" s="165"/>
      <c r="F71" s="168"/>
      <c r="G71" s="172"/>
      <c r="H71" s="172"/>
      <c r="I71" s="172"/>
      <c r="J71" s="172"/>
      <c r="K71" s="172">
        <f t="shared" si="3"/>
        <v>0</v>
      </c>
      <c r="L71" s="592">
        <f t="shared" si="4"/>
        <v>0</v>
      </c>
    </row>
    <row r="72" spans="1:12" s="30" customFormat="1">
      <c r="A72" s="588" t="s">
        <v>161</v>
      </c>
      <c r="B72" s="720"/>
      <c r="C72" s="710" t="s">
        <v>162</v>
      </c>
      <c r="D72" s="710"/>
      <c r="E72" s="165"/>
      <c r="F72" s="168"/>
      <c r="G72" s="172"/>
      <c r="H72" s="172"/>
      <c r="I72" s="172"/>
      <c r="J72" s="172"/>
      <c r="K72" s="172">
        <f t="shared" si="3"/>
        <v>0</v>
      </c>
      <c r="L72" s="592">
        <f t="shared" si="4"/>
        <v>0</v>
      </c>
    </row>
    <row r="73" spans="1:12" s="30" customFormat="1">
      <c r="A73" s="588" t="s">
        <v>163</v>
      </c>
      <c r="B73" s="720"/>
      <c r="C73" s="710" t="s">
        <v>67</v>
      </c>
      <c r="D73" s="710"/>
      <c r="E73" s="165"/>
      <c r="F73" s="168"/>
      <c r="G73" s="168"/>
      <c r="H73" s="168"/>
      <c r="I73" s="168"/>
      <c r="J73" s="168"/>
      <c r="K73" s="172">
        <f t="shared" si="3"/>
        <v>0</v>
      </c>
      <c r="L73" s="592">
        <f t="shared" si="4"/>
        <v>0</v>
      </c>
    </row>
    <row r="74" spans="1:12" s="30" customFormat="1" ht="14.4" customHeight="1">
      <c r="A74" s="588" t="s">
        <v>1715</v>
      </c>
      <c r="B74" s="711" t="s">
        <v>243</v>
      </c>
      <c r="C74" s="712"/>
      <c r="D74" s="713"/>
      <c r="E74" s="165"/>
      <c r="F74" s="168"/>
      <c r="G74" s="168"/>
      <c r="H74" s="168"/>
      <c r="I74" s="168"/>
      <c r="J74" s="168"/>
      <c r="K74" s="172"/>
      <c r="L74" s="592"/>
    </row>
    <row r="75" spans="1:12" s="30" customFormat="1">
      <c r="A75" s="584" t="s">
        <v>164</v>
      </c>
      <c r="B75" s="710" t="s">
        <v>165</v>
      </c>
      <c r="C75" s="710"/>
      <c r="D75" s="710"/>
      <c r="E75" s="165"/>
      <c r="F75" s="172"/>
      <c r="G75" s="172"/>
      <c r="H75" s="168"/>
      <c r="I75" s="168"/>
      <c r="J75" s="168"/>
      <c r="K75" s="168">
        <f t="shared" si="3"/>
        <v>0</v>
      </c>
      <c r="L75" s="179">
        <f t="shared" si="4"/>
        <v>0</v>
      </c>
    </row>
    <row r="76" spans="1:12" s="30" customFormat="1">
      <c r="A76" s="180" t="s">
        <v>248</v>
      </c>
      <c r="B76" s="714" t="s">
        <v>167</v>
      </c>
      <c r="C76" s="715"/>
      <c r="D76" s="716"/>
      <c r="E76" s="165"/>
      <c r="F76" s="592"/>
      <c r="G76" s="592"/>
      <c r="H76" s="591"/>
      <c r="I76" s="591"/>
      <c r="J76" s="591"/>
      <c r="K76" s="591">
        <f t="shared" si="3"/>
        <v>0</v>
      </c>
      <c r="L76" s="179">
        <f t="shared" si="4"/>
        <v>0</v>
      </c>
    </row>
    <row r="77" spans="1:12" s="30" customFormat="1">
      <c r="A77" s="593" t="s">
        <v>249</v>
      </c>
      <c r="B77" s="717" t="s">
        <v>241</v>
      </c>
      <c r="C77" s="718"/>
      <c r="D77" s="719"/>
      <c r="E77" s="165"/>
      <c r="F77" s="592"/>
      <c r="G77" s="592"/>
      <c r="H77" s="592"/>
      <c r="I77" s="592"/>
      <c r="J77" s="592"/>
      <c r="K77" s="591">
        <f t="shared" si="3"/>
        <v>0</v>
      </c>
      <c r="L77" s="591">
        <f t="shared" si="4"/>
        <v>0</v>
      </c>
    </row>
    <row r="78" spans="1:12" s="30" customFormat="1">
      <c r="A78" s="593" t="s">
        <v>168</v>
      </c>
      <c r="B78" s="717" t="s">
        <v>169</v>
      </c>
      <c r="C78" s="718"/>
      <c r="D78" s="719"/>
      <c r="E78" s="165"/>
      <c r="F78" s="592"/>
      <c r="G78" s="592"/>
      <c r="H78" s="592"/>
      <c r="I78" s="592"/>
      <c r="J78" s="592"/>
      <c r="K78" s="591">
        <f t="shared" si="3"/>
        <v>0</v>
      </c>
      <c r="L78" s="591">
        <f t="shared" si="4"/>
        <v>0</v>
      </c>
    </row>
    <row r="79" spans="1:12" s="30" customFormat="1">
      <c r="C79" s="159"/>
      <c r="D79" s="159"/>
      <c r="E79" s="159"/>
    </row>
    <row r="80" spans="1:12" s="191" customFormat="1">
      <c r="A80" s="189" t="s">
        <v>547</v>
      </c>
      <c r="C80" s="190"/>
    </row>
    <row r="81" spans="1:12" s="191" customFormat="1">
      <c r="C81" s="190"/>
    </row>
    <row r="82" spans="1:12" s="193" customFormat="1">
      <c r="A82" s="192" t="s">
        <v>59</v>
      </c>
      <c r="C82" s="194"/>
      <c r="D82" s="194"/>
      <c r="E82" s="194"/>
    </row>
    <row r="83" spans="1:12" s="193" customFormat="1">
      <c r="C83" s="194"/>
      <c r="D83" s="194"/>
      <c r="E83" s="194"/>
    </row>
    <row r="84" spans="1:12" s="193" customFormat="1">
      <c r="A84" s="193" t="s">
        <v>1716</v>
      </c>
      <c r="C84" s="194"/>
      <c r="D84" s="194"/>
      <c r="E84" s="194"/>
    </row>
    <row r="85" spans="1:12" s="193" customFormat="1">
      <c r="C85" s="194"/>
      <c r="D85" s="194"/>
      <c r="E85" s="194"/>
    </row>
    <row r="86" spans="1:12" s="193" customFormat="1">
      <c r="A86" s="193" t="s">
        <v>1717</v>
      </c>
      <c r="C86" s="194"/>
      <c r="D86" s="194"/>
      <c r="E86" s="194"/>
    </row>
    <row r="87" spans="1:12" s="193" customFormat="1">
      <c r="C87" s="194"/>
      <c r="D87" s="194"/>
      <c r="E87" s="194"/>
    </row>
    <row r="88" spans="1:12" s="194" customFormat="1" ht="33" customHeight="1">
      <c r="A88" s="709" t="s">
        <v>1718</v>
      </c>
      <c r="B88" s="709"/>
      <c r="C88" s="709"/>
      <c r="D88" s="709"/>
      <c r="E88" s="709"/>
      <c r="F88" s="709"/>
      <c r="G88" s="709"/>
      <c r="H88" s="709"/>
      <c r="I88" s="709"/>
      <c r="J88" s="709"/>
      <c r="K88" s="709"/>
      <c r="L88" s="709"/>
    </row>
    <row r="89" spans="1:12" s="193" customFormat="1">
      <c r="C89" s="194"/>
      <c r="D89" s="194"/>
      <c r="E89" s="194"/>
    </row>
    <row r="90" spans="1:12" s="193" customFormat="1">
      <c r="A90" s="193" t="s">
        <v>1719</v>
      </c>
      <c r="C90" s="194"/>
      <c r="D90" s="194"/>
      <c r="E90" s="194"/>
    </row>
    <row r="91" spans="1:12" s="193" customFormat="1">
      <c r="C91" s="194"/>
      <c r="D91" s="194"/>
      <c r="E91" s="194"/>
    </row>
    <row r="92" spans="1:12" s="193" customFormat="1">
      <c r="A92" s="193" t="s">
        <v>1720</v>
      </c>
      <c r="C92" s="194"/>
      <c r="D92" s="194"/>
      <c r="E92" s="194"/>
    </row>
    <row r="93" spans="1:12" s="193" customFormat="1">
      <c r="A93" s="193" t="s">
        <v>1721</v>
      </c>
      <c r="C93" s="194"/>
      <c r="D93" s="194"/>
      <c r="E93" s="194"/>
    </row>
    <row r="94" spans="1:12" s="193" customFormat="1">
      <c r="C94" s="194"/>
      <c r="D94" s="194"/>
      <c r="E94" s="194"/>
    </row>
    <row r="95" spans="1:12" s="193" customFormat="1">
      <c r="A95" s="193" t="s">
        <v>1722</v>
      </c>
      <c r="C95" s="194"/>
      <c r="D95" s="194"/>
      <c r="E95" s="194"/>
    </row>
    <row r="96" spans="1:12" s="193" customFormat="1">
      <c r="C96" s="194"/>
      <c r="D96" s="194"/>
      <c r="E96" s="194"/>
    </row>
    <row r="97" spans="1:10" s="193" customFormat="1">
      <c r="A97" s="193" t="s">
        <v>1723</v>
      </c>
      <c r="C97" s="194"/>
      <c r="D97" s="194"/>
      <c r="E97" s="194"/>
    </row>
    <row r="98" spans="1:10" s="193" customFormat="1">
      <c r="A98" s="193" t="s">
        <v>204</v>
      </c>
      <c r="C98" s="194"/>
      <c r="D98" s="194"/>
      <c r="E98" s="194"/>
    </row>
    <row r="99" spans="1:10" s="193" customFormat="1">
      <c r="A99" s="193" t="s">
        <v>205</v>
      </c>
      <c r="C99" s="194"/>
      <c r="D99" s="194"/>
      <c r="E99" s="194"/>
    </row>
    <row r="100" spans="1:10" s="193" customFormat="1">
      <c r="A100" s="193" t="s">
        <v>206</v>
      </c>
      <c r="C100" s="194"/>
      <c r="D100" s="194"/>
      <c r="E100" s="194"/>
    </row>
    <row r="101" spans="1:10" s="193" customFormat="1">
      <c r="C101" s="194"/>
      <c r="D101" s="194"/>
      <c r="E101" s="194"/>
    </row>
    <row r="102" spans="1:10" s="193" customFormat="1">
      <c r="A102" s="594" t="s">
        <v>1724</v>
      </c>
      <c r="B102" s="595"/>
      <c r="C102" s="595"/>
      <c r="D102" s="595"/>
      <c r="E102" s="595"/>
    </row>
    <row r="103" spans="1:10" s="193" customFormat="1">
      <c r="A103" s="594" t="s">
        <v>1725</v>
      </c>
      <c r="B103" s="595"/>
      <c r="C103" s="595"/>
      <c r="D103" s="595"/>
      <c r="E103" s="595"/>
    </row>
    <row r="104" spans="1:10" s="193" customFormat="1">
      <c r="A104" s="595" t="s">
        <v>1726</v>
      </c>
      <c r="B104" s="595"/>
      <c r="C104" s="595"/>
      <c r="D104" s="595"/>
      <c r="E104" s="595"/>
    </row>
    <row r="105" spans="1:10" s="193" customFormat="1">
      <c r="C105" s="194"/>
      <c r="D105" s="194"/>
      <c r="E105" s="194"/>
    </row>
    <row r="106" spans="1:10" s="193" customFormat="1">
      <c r="A106" s="193" t="s">
        <v>1727</v>
      </c>
      <c r="C106" s="194"/>
      <c r="D106" s="194"/>
      <c r="E106" s="194"/>
    </row>
    <row r="107" spans="1:10" s="193" customFormat="1">
      <c r="C107" s="194"/>
      <c r="D107" s="194"/>
      <c r="E107" s="194"/>
    </row>
    <row r="108" spans="1:10" s="193" customFormat="1">
      <c r="A108" s="151" t="s">
        <v>177</v>
      </c>
      <c r="B108" s="195"/>
      <c r="C108" s="190"/>
      <c r="D108" s="191"/>
      <c r="E108" s="191"/>
      <c r="F108" s="191"/>
      <c r="G108" s="191"/>
      <c r="H108" s="191"/>
      <c r="I108" s="191"/>
      <c r="J108" s="191"/>
    </row>
    <row r="109" spans="1:10" s="193" customFormat="1">
      <c r="A109" s="154" t="s">
        <v>178</v>
      </c>
      <c r="B109" s="195"/>
      <c r="C109" s="190"/>
      <c r="D109" s="191"/>
      <c r="E109" s="191"/>
      <c r="F109" s="191"/>
      <c r="G109" s="191"/>
      <c r="H109" s="191"/>
      <c r="I109" s="191"/>
      <c r="J109" s="191"/>
    </row>
    <row r="110" spans="1:10" s="193" customFormat="1">
      <c r="A110" s="154" t="s">
        <v>207</v>
      </c>
      <c r="B110" s="195"/>
      <c r="C110" s="190"/>
      <c r="D110" s="191"/>
      <c r="E110" s="191"/>
      <c r="F110" s="191"/>
      <c r="G110" s="191"/>
      <c r="H110" s="191"/>
      <c r="I110" s="191"/>
      <c r="J110" s="191"/>
    </row>
    <row r="111" spans="1:10" s="193" customFormat="1">
      <c r="A111" s="154" t="s">
        <v>208</v>
      </c>
      <c r="B111" s="195"/>
      <c r="C111" s="190"/>
      <c r="D111" s="191"/>
      <c r="E111" s="191"/>
      <c r="F111" s="191"/>
      <c r="G111" s="191"/>
      <c r="H111" s="191"/>
      <c r="I111" s="191"/>
      <c r="J111" s="191"/>
    </row>
    <row r="112" spans="1:10" s="193" customFormat="1">
      <c r="A112" s="154" t="s">
        <v>183</v>
      </c>
      <c r="C112" s="194"/>
      <c r="D112" s="194"/>
      <c r="E112" s="194"/>
    </row>
    <row r="113" spans="1:5" s="193" customFormat="1">
      <c r="A113" s="193" t="s">
        <v>218</v>
      </c>
      <c r="C113" s="194"/>
      <c r="D113" s="194"/>
      <c r="E113" s="194"/>
    </row>
    <row r="114" spans="1:5" s="193" customFormat="1">
      <c r="A114" s="193" t="s">
        <v>1728</v>
      </c>
      <c r="C114" s="194"/>
      <c r="D114" s="194"/>
      <c r="E114" s="194"/>
    </row>
    <row r="115" spans="1:5" s="30" customFormat="1">
      <c r="C115" s="159"/>
      <c r="D115" s="159"/>
      <c r="E115" s="159"/>
    </row>
  </sheetData>
  <mergeCells count="77">
    <mergeCell ref="L10:L11"/>
    <mergeCell ref="A9:D11"/>
    <mergeCell ref="E10:E11"/>
    <mergeCell ref="F10:F11"/>
    <mergeCell ref="G10:G11"/>
    <mergeCell ref="H10:K10"/>
    <mergeCell ref="B12:D12"/>
    <mergeCell ref="B13:B25"/>
    <mergeCell ref="C13:D13"/>
    <mergeCell ref="C14:D14"/>
    <mergeCell ref="C15:D15"/>
    <mergeCell ref="C16:D16"/>
    <mergeCell ref="C17:C24"/>
    <mergeCell ref="C25:D25"/>
    <mergeCell ref="B26:B30"/>
    <mergeCell ref="C26:D26"/>
    <mergeCell ref="C27:D27"/>
    <mergeCell ref="C28:D28"/>
    <mergeCell ref="C29:D29"/>
    <mergeCell ref="C30:D30"/>
    <mergeCell ref="B31:B37"/>
    <mergeCell ref="C31:D31"/>
    <mergeCell ref="C32:D32"/>
    <mergeCell ref="C33:D33"/>
    <mergeCell ref="C34:D34"/>
    <mergeCell ref="C35:D35"/>
    <mergeCell ref="C36:D36"/>
    <mergeCell ref="C37:D37"/>
    <mergeCell ref="B38:D38"/>
    <mergeCell ref="B39:B47"/>
    <mergeCell ref="C39:D39"/>
    <mergeCell ref="C40:D40"/>
    <mergeCell ref="C41:D41"/>
    <mergeCell ref="C42:D42"/>
    <mergeCell ref="C43:D43"/>
    <mergeCell ref="C44:D44"/>
    <mergeCell ref="C45:D45"/>
    <mergeCell ref="C46:D46"/>
    <mergeCell ref="C47:D47"/>
    <mergeCell ref="B48:B53"/>
    <mergeCell ref="C48:D48"/>
    <mergeCell ref="C49:D49"/>
    <mergeCell ref="C50:D50"/>
    <mergeCell ref="C51:D51"/>
    <mergeCell ref="C52:D52"/>
    <mergeCell ref="C53:D53"/>
    <mergeCell ref="B54:D54"/>
    <mergeCell ref="B55:B59"/>
    <mergeCell ref="C55:D55"/>
    <mergeCell ref="C56:D56"/>
    <mergeCell ref="C57:D57"/>
    <mergeCell ref="C58:D58"/>
    <mergeCell ref="C59:D59"/>
    <mergeCell ref="B60:B65"/>
    <mergeCell ref="C60:D60"/>
    <mergeCell ref="C61:D61"/>
    <mergeCell ref="C62:D62"/>
    <mergeCell ref="C63:D63"/>
    <mergeCell ref="C64:D64"/>
    <mergeCell ref="C65:D65"/>
    <mergeCell ref="B66:B68"/>
    <mergeCell ref="C66:D66"/>
    <mergeCell ref="G66:H66"/>
    <mergeCell ref="C67:D67"/>
    <mergeCell ref="C68:D68"/>
    <mergeCell ref="A88:L88"/>
    <mergeCell ref="C73:D73"/>
    <mergeCell ref="B74:D74"/>
    <mergeCell ref="B75:D75"/>
    <mergeCell ref="B76:D76"/>
    <mergeCell ref="B77:D77"/>
    <mergeCell ref="B78:D78"/>
    <mergeCell ref="B69:B73"/>
    <mergeCell ref="C69:D69"/>
    <mergeCell ref="C70:D70"/>
    <mergeCell ref="C71:D71"/>
    <mergeCell ref="C72:D72"/>
  </mergeCells>
  <phoneticPr fontId="6" type="noConversion"/>
  <pageMargins left="0.76" right="0.49" top="0.6" bottom="0.46" header="0.5" footer="0.5"/>
  <pageSetup paperSize="9" scale="48"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7CB958-B931-47F9-85AD-A07BD696363A}">
  <sheetPr>
    <tabColor rgb="FFFFFF00"/>
    <pageSetUpPr fitToPage="1"/>
  </sheetPr>
  <dimension ref="A1:M119"/>
  <sheetViews>
    <sheetView showGridLines="0" view="pageBreakPreview" zoomScale="85" zoomScaleNormal="85" zoomScaleSheetLayoutView="85" workbookViewId="0">
      <pane xSplit="5" ySplit="11" topLeftCell="F91" activePane="bottomRight" state="frozen"/>
      <selection activeCell="J111" sqref="J111"/>
      <selection pane="topRight" activeCell="J111" sqref="J111"/>
      <selection pane="bottomLeft" activeCell="J111" sqref="J111"/>
      <selection pane="bottomRight" sqref="A1:M119"/>
    </sheetView>
  </sheetViews>
  <sheetFormatPr defaultColWidth="8.8984375" defaultRowHeight="14.4"/>
  <cols>
    <col min="1" max="1" width="6" style="14" customWidth="1"/>
    <col min="2" max="2" width="11.59765625" style="14" customWidth="1"/>
    <col min="3" max="3" width="4.69921875" style="44" customWidth="1"/>
    <col min="4" max="4" width="23.3984375" style="44" customWidth="1"/>
    <col min="5" max="5" width="10.3984375" style="44" customWidth="1"/>
    <col min="6" max="6" width="11.296875" style="14" bestFit="1" customWidth="1"/>
    <col min="7" max="8" width="9" style="14" customWidth="1"/>
    <col min="9" max="10" width="8.59765625" style="14" bestFit="1" customWidth="1"/>
    <col min="11" max="11" width="11" style="14" bestFit="1" customWidth="1"/>
    <col min="12" max="12" width="11.296875" style="14" customWidth="1"/>
    <col min="13" max="16384" width="8.8984375" style="14"/>
  </cols>
  <sheetData>
    <row r="1" spans="1:12">
      <c r="A1" s="520" t="s">
        <v>1644</v>
      </c>
    </row>
    <row r="6" spans="1:12" s="157" customFormat="1" ht="20.399999999999999">
      <c r="A6" s="157" t="s">
        <v>1713</v>
      </c>
      <c r="C6" s="158"/>
      <c r="D6" s="158"/>
      <c r="E6" s="158"/>
    </row>
    <row r="7" spans="1:12" s="30" customFormat="1">
      <c r="C7" s="159"/>
      <c r="D7" s="159"/>
      <c r="E7" s="159"/>
    </row>
    <row r="8" spans="1:12" s="30" customFormat="1">
      <c r="A8" s="160" t="s">
        <v>171</v>
      </c>
      <c r="B8" s="159"/>
      <c r="C8" s="159"/>
      <c r="D8" s="159"/>
      <c r="E8" s="159"/>
      <c r="L8" s="587"/>
    </row>
    <row r="9" spans="1:12" s="30" customFormat="1">
      <c r="A9" s="720" t="s">
        <v>54</v>
      </c>
      <c r="B9" s="720"/>
      <c r="C9" s="720"/>
      <c r="D9" s="720"/>
      <c r="E9" s="581" t="s">
        <v>179</v>
      </c>
      <c r="F9" s="581" t="s">
        <v>55</v>
      </c>
      <c r="G9" s="581" t="s">
        <v>56</v>
      </c>
      <c r="H9" s="581" t="s">
        <v>72</v>
      </c>
      <c r="I9" s="581" t="s">
        <v>73</v>
      </c>
      <c r="J9" s="581" t="s">
        <v>74</v>
      </c>
      <c r="K9" s="581" t="s">
        <v>60</v>
      </c>
      <c r="L9" s="581" t="s">
        <v>61</v>
      </c>
    </row>
    <row r="10" spans="1:12" s="30" customFormat="1">
      <c r="A10" s="720"/>
      <c r="B10" s="720"/>
      <c r="C10" s="720"/>
      <c r="D10" s="720"/>
      <c r="E10" s="720" t="s">
        <v>182</v>
      </c>
      <c r="F10" s="720" t="s">
        <v>75</v>
      </c>
      <c r="G10" s="720" t="s">
        <v>76</v>
      </c>
      <c r="H10" s="720" t="s">
        <v>77</v>
      </c>
      <c r="I10" s="720"/>
      <c r="J10" s="720"/>
      <c r="K10" s="720"/>
      <c r="L10" s="720" t="s">
        <v>78</v>
      </c>
    </row>
    <row r="11" spans="1:12" s="30" customFormat="1">
      <c r="A11" s="720"/>
      <c r="B11" s="720"/>
      <c r="C11" s="720"/>
      <c r="D11" s="720"/>
      <c r="E11" s="720"/>
      <c r="F11" s="720"/>
      <c r="G11" s="720"/>
      <c r="H11" s="581" t="s">
        <v>79</v>
      </c>
      <c r="I11" s="581" t="s">
        <v>80</v>
      </c>
      <c r="J11" s="581" t="s">
        <v>81</v>
      </c>
      <c r="K11" s="581" t="s">
        <v>82</v>
      </c>
      <c r="L11" s="720"/>
    </row>
    <row r="12" spans="1:12" s="30" customFormat="1" ht="21.6">
      <c r="A12" s="581" t="s">
        <v>179</v>
      </c>
      <c r="B12" s="726" t="s">
        <v>184</v>
      </c>
      <c r="C12" s="726"/>
      <c r="D12" s="726"/>
      <c r="E12" s="581" t="s">
        <v>185</v>
      </c>
      <c r="F12" s="165"/>
      <c r="G12" s="165"/>
      <c r="H12" s="165"/>
      <c r="I12" s="165"/>
      <c r="J12" s="165"/>
      <c r="K12" s="165"/>
      <c r="L12" s="165"/>
    </row>
    <row r="13" spans="1:12" s="30" customFormat="1">
      <c r="A13" s="588" t="s">
        <v>83</v>
      </c>
      <c r="B13" s="727" t="s">
        <v>186</v>
      </c>
      <c r="C13" s="728" t="s">
        <v>84</v>
      </c>
      <c r="D13" s="728"/>
      <c r="E13" s="165"/>
      <c r="F13" s="589"/>
      <c r="G13" s="589"/>
      <c r="H13" s="589"/>
      <c r="I13" s="589"/>
      <c r="J13" s="589"/>
      <c r="K13" s="590">
        <f t="shared" ref="K13:K44" si="0">SUM(H13:J13)</f>
        <v>0</v>
      </c>
      <c r="L13" s="591">
        <f t="shared" ref="L13:L64" si="1">F13+G13+K13</f>
        <v>0</v>
      </c>
    </row>
    <row r="14" spans="1:12" s="30" customFormat="1">
      <c r="A14" s="588" t="s">
        <v>85</v>
      </c>
      <c r="B14" s="720"/>
      <c r="C14" s="710" t="s">
        <v>86</v>
      </c>
      <c r="D14" s="710"/>
      <c r="E14" s="165"/>
      <c r="F14" s="172"/>
      <c r="G14" s="172"/>
      <c r="H14" s="172"/>
      <c r="I14" s="172"/>
      <c r="J14" s="172"/>
      <c r="K14" s="168">
        <f t="shared" si="0"/>
        <v>0</v>
      </c>
      <c r="L14" s="591">
        <f t="shared" si="1"/>
        <v>0</v>
      </c>
    </row>
    <row r="15" spans="1:12" s="30" customFormat="1">
      <c r="A15" s="588" t="s">
        <v>87</v>
      </c>
      <c r="B15" s="720"/>
      <c r="C15" s="710" t="s">
        <v>57</v>
      </c>
      <c r="D15" s="710"/>
      <c r="E15" s="165"/>
      <c r="F15" s="172"/>
      <c r="G15" s="172"/>
      <c r="H15" s="172"/>
      <c r="I15" s="172"/>
      <c r="J15" s="172"/>
      <c r="K15" s="168">
        <f t="shared" si="0"/>
        <v>0</v>
      </c>
      <c r="L15" s="591">
        <f t="shared" si="1"/>
        <v>0</v>
      </c>
    </row>
    <row r="16" spans="1:12" s="30" customFormat="1">
      <c r="A16" s="588" t="s">
        <v>88</v>
      </c>
      <c r="B16" s="720"/>
      <c r="C16" s="710" t="s">
        <v>58</v>
      </c>
      <c r="D16" s="710"/>
      <c r="E16" s="165"/>
      <c r="F16" s="172"/>
      <c r="G16" s="172"/>
      <c r="H16" s="172"/>
      <c r="I16" s="172"/>
      <c r="J16" s="172"/>
      <c r="K16" s="168">
        <f t="shared" si="0"/>
        <v>0</v>
      </c>
      <c r="L16" s="591">
        <f t="shared" si="1"/>
        <v>0</v>
      </c>
    </row>
    <row r="17" spans="1:12" s="30" customFormat="1">
      <c r="A17" s="588" t="s">
        <v>89</v>
      </c>
      <c r="B17" s="720"/>
      <c r="C17" s="729" t="s">
        <v>187</v>
      </c>
      <c r="D17" s="582" t="s">
        <v>90</v>
      </c>
      <c r="E17" s="165"/>
      <c r="F17" s="172">
        <f>F18+F19</f>
        <v>0</v>
      </c>
      <c r="G17" s="172">
        <f>G18+G19</f>
        <v>0</v>
      </c>
      <c r="H17" s="172">
        <f>H18+H19</f>
        <v>0</v>
      </c>
      <c r="I17" s="172">
        <f>I18+I19</f>
        <v>0</v>
      </c>
      <c r="J17" s="172">
        <f>J18+J19</f>
        <v>0</v>
      </c>
      <c r="K17" s="168">
        <f t="shared" si="0"/>
        <v>0</v>
      </c>
      <c r="L17" s="591">
        <f t="shared" si="1"/>
        <v>0</v>
      </c>
    </row>
    <row r="18" spans="1:12" s="30" customFormat="1">
      <c r="A18" s="588" t="s">
        <v>188</v>
      </c>
      <c r="B18" s="720"/>
      <c r="C18" s="730"/>
      <c r="D18" s="582" t="s">
        <v>189</v>
      </c>
      <c r="E18" s="165"/>
      <c r="F18" s="172"/>
      <c r="G18" s="172"/>
      <c r="H18" s="172"/>
      <c r="I18" s="172"/>
      <c r="J18" s="172"/>
      <c r="K18" s="168">
        <f t="shared" si="0"/>
        <v>0</v>
      </c>
      <c r="L18" s="591">
        <f t="shared" si="1"/>
        <v>0</v>
      </c>
    </row>
    <row r="19" spans="1:12" s="30" customFormat="1">
      <c r="A19" s="588" t="s">
        <v>190</v>
      </c>
      <c r="B19" s="720"/>
      <c r="C19" s="730"/>
      <c r="D19" s="582" t="s">
        <v>191</v>
      </c>
      <c r="E19" s="165"/>
      <c r="F19" s="172"/>
      <c r="G19" s="172"/>
      <c r="H19" s="172"/>
      <c r="I19" s="172"/>
      <c r="J19" s="172"/>
      <c r="K19" s="168">
        <f t="shared" si="0"/>
        <v>0</v>
      </c>
      <c r="L19" s="591">
        <f t="shared" si="1"/>
        <v>0</v>
      </c>
    </row>
    <row r="20" spans="1:12" s="30" customFormat="1">
      <c r="A20" s="588" t="s">
        <v>91</v>
      </c>
      <c r="B20" s="720"/>
      <c r="C20" s="730"/>
      <c r="D20" s="582" t="s">
        <v>92</v>
      </c>
      <c r="E20" s="165"/>
      <c r="F20" s="172">
        <f>F21+F22</f>
        <v>0</v>
      </c>
      <c r="G20" s="172">
        <f>G21+G22</f>
        <v>0</v>
      </c>
      <c r="H20" s="172">
        <f>H21+H22</f>
        <v>0</v>
      </c>
      <c r="I20" s="172">
        <f>I21+I22</f>
        <v>0</v>
      </c>
      <c r="J20" s="172">
        <f>J21+J22</f>
        <v>0</v>
      </c>
      <c r="K20" s="168">
        <f t="shared" si="0"/>
        <v>0</v>
      </c>
      <c r="L20" s="591">
        <f t="shared" si="1"/>
        <v>0</v>
      </c>
    </row>
    <row r="21" spans="1:12" s="30" customFormat="1">
      <c r="A21" s="588" t="s">
        <v>192</v>
      </c>
      <c r="B21" s="720"/>
      <c r="C21" s="730"/>
      <c r="D21" s="582" t="s">
        <v>189</v>
      </c>
      <c r="E21" s="165"/>
      <c r="F21" s="172"/>
      <c r="G21" s="172"/>
      <c r="H21" s="172"/>
      <c r="I21" s="172"/>
      <c r="J21" s="172"/>
      <c r="K21" s="168">
        <f t="shared" si="0"/>
        <v>0</v>
      </c>
      <c r="L21" s="591">
        <f t="shared" si="1"/>
        <v>0</v>
      </c>
    </row>
    <row r="22" spans="1:12" s="30" customFormat="1">
      <c r="A22" s="588" t="s">
        <v>193</v>
      </c>
      <c r="B22" s="720"/>
      <c r="C22" s="730"/>
      <c r="D22" s="582" t="s">
        <v>191</v>
      </c>
      <c r="E22" s="165"/>
      <c r="F22" s="172"/>
      <c r="G22" s="172"/>
      <c r="H22" s="172"/>
      <c r="I22" s="172"/>
      <c r="J22" s="172"/>
      <c r="K22" s="168">
        <f t="shared" si="0"/>
        <v>0</v>
      </c>
      <c r="L22" s="591">
        <f t="shared" si="1"/>
        <v>0</v>
      </c>
    </row>
    <row r="23" spans="1:12" s="30" customFormat="1">
      <c r="A23" s="588" t="s">
        <v>71</v>
      </c>
      <c r="B23" s="720"/>
      <c r="C23" s="730"/>
      <c r="D23" s="582" t="s">
        <v>66</v>
      </c>
      <c r="E23" s="165"/>
      <c r="F23" s="172"/>
      <c r="G23" s="172"/>
      <c r="H23" s="172"/>
      <c r="I23" s="172"/>
      <c r="J23" s="172"/>
      <c r="K23" s="168">
        <f t="shared" si="0"/>
        <v>0</v>
      </c>
      <c r="L23" s="591">
        <f t="shared" si="1"/>
        <v>0</v>
      </c>
    </row>
    <row r="24" spans="1:12" s="30" customFormat="1">
      <c r="A24" s="588" t="s">
        <v>93</v>
      </c>
      <c r="B24" s="720"/>
      <c r="C24" s="727"/>
      <c r="D24" s="582" t="s">
        <v>67</v>
      </c>
      <c r="E24" s="165"/>
      <c r="F24" s="172">
        <f>F17+F20+F23</f>
        <v>0</v>
      </c>
      <c r="G24" s="172">
        <f>G17+G20+G23</f>
        <v>0</v>
      </c>
      <c r="H24" s="172">
        <f>H17+H20+H23</f>
        <v>0</v>
      </c>
      <c r="I24" s="172">
        <f>I17+I20+I23</f>
        <v>0</v>
      </c>
      <c r="J24" s="172">
        <f>J17+J20+J23</f>
        <v>0</v>
      </c>
      <c r="K24" s="168">
        <f t="shared" si="0"/>
        <v>0</v>
      </c>
      <c r="L24" s="591">
        <f t="shared" si="1"/>
        <v>0</v>
      </c>
    </row>
    <row r="25" spans="1:12" s="30" customFormat="1">
      <c r="A25" s="588" t="s">
        <v>55</v>
      </c>
      <c r="B25" s="720"/>
      <c r="C25" s="710" t="s">
        <v>67</v>
      </c>
      <c r="D25" s="710"/>
      <c r="E25" s="165"/>
      <c r="F25" s="172">
        <f>F24+F16+F15+F14+F13</f>
        <v>0</v>
      </c>
      <c r="G25" s="172">
        <f>G24+G16+G15+G14+G13</f>
        <v>0</v>
      </c>
      <c r="H25" s="172">
        <f>H24+H16+H15+H14+H13</f>
        <v>0</v>
      </c>
      <c r="I25" s="172">
        <f>I24+I16+I15+I14+I13</f>
        <v>0</v>
      </c>
      <c r="J25" s="172">
        <f>J24+J16+J15+J14+J13</f>
        <v>0</v>
      </c>
      <c r="K25" s="168">
        <f t="shared" si="0"/>
        <v>0</v>
      </c>
      <c r="L25" s="591">
        <f t="shared" si="1"/>
        <v>0</v>
      </c>
    </row>
    <row r="26" spans="1:12" s="30" customFormat="1">
      <c r="A26" s="588" t="s">
        <v>94</v>
      </c>
      <c r="B26" s="720" t="s">
        <v>194</v>
      </c>
      <c r="C26" s="710" t="s">
        <v>95</v>
      </c>
      <c r="D26" s="710"/>
      <c r="E26" s="165"/>
      <c r="F26" s="172"/>
      <c r="G26" s="172"/>
      <c r="H26" s="172"/>
      <c r="I26" s="172"/>
      <c r="J26" s="172"/>
      <c r="K26" s="168">
        <f t="shared" si="0"/>
        <v>0</v>
      </c>
      <c r="L26" s="591">
        <f t="shared" si="1"/>
        <v>0</v>
      </c>
    </row>
    <row r="27" spans="1:12" s="30" customFormat="1">
      <c r="A27" s="588" t="s">
        <v>96</v>
      </c>
      <c r="B27" s="720"/>
      <c r="C27" s="710" t="s">
        <v>97</v>
      </c>
      <c r="D27" s="710"/>
      <c r="E27" s="165"/>
      <c r="F27" s="172"/>
      <c r="G27" s="172"/>
      <c r="H27" s="172"/>
      <c r="I27" s="172"/>
      <c r="J27" s="172"/>
      <c r="K27" s="168">
        <f t="shared" si="0"/>
        <v>0</v>
      </c>
      <c r="L27" s="591">
        <f t="shared" si="1"/>
        <v>0</v>
      </c>
    </row>
    <row r="28" spans="1:12" s="30" customFormat="1">
      <c r="A28" s="588" t="s">
        <v>98</v>
      </c>
      <c r="B28" s="720"/>
      <c r="C28" s="710" t="s">
        <v>99</v>
      </c>
      <c r="D28" s="710"/>
      <c r="E28" s="165"/>
      <c r="F28" s="172"/>
      <c r="G28" s="172"/>
      <c r="H28" s="172"/>
      <c r="I28" s="172"/>
      <c r="J28" s="172"/>
      <c r="K28" s="168">
        <f t="shared" si="0"/>
        <v>0</v>
      </c>
      <c r="L28" s="591">
        <f t="shared" si="1"/>
        <v>0</v>
      </c>
    </row>
    <row r="29" spans="1:12" s="30" customFormat="1">
      <c r="A29" s="588" t="s">
        <v>100</v>
      </c>
      <c r="B29" s="720"/>
      <c r="C29" s="710" t="s">
        <v>101</v>
      </c>
      <c r="D29" s="710"/>
      <c r="E29" s="165"/>
      <c r="F29" s="172"/>
      <c r="G29" s="172"/>
      <c r="H29" s="172"/>
      <c r="I29" s="172"/>
      <c r="J29" s="172"/>
      <c r="K29" s="168">
        <f t="shared" si="0"/>
        <v>0</v>
      </c>
      <c r="L29" s="591">
        <f t="shared" si="1"/>
        <v>0</v>
      </c>
    </row>
    <row r="30" spans="1:12" s="30" customFormat="1">
      <c r="A30" s="588" t="s">
        <v>56</v>
      </c>
      <c r="B30" s="720"/>
      <c r="C30" s="710" t="s">
        <v>67</v>
      </c>
      <c r="D30" s="710"/>
      <c r="E30" s="165"/>
      <c r="F30" s="172"/>
      <c r="G30" s="172"/>
      <c r="H30" s="172"/>
      <c r="I30" s="172"/>
      <c r="J30" s="172"/>
      <c r="K30" s="168">
        <f t="shared" si="0"/>
        <v>0</v>
      </c>
      <c r="L30" s="591">
        <f t="shared" si="1"/>
        <v>0</v>
      </c>
    </row>
    <row r="31" spans="1:12" s="30" customFormat="1">
      <c r="A31" s="588" t="s">
        <v>72</v>
      </c>
      <c r="B31" s="720" t="s">
        <v>195</v>
      </c>
      <c r="C31" s="710" t="s">
        <v>102</v>
      </c>
      <c r="D31" s="710"/>
      <c r="E31" s="165"/>
      <c r="F31" s="172"/>
      <c r="G31" s="172"/>
      <c r="H31" s="172"/>
      <c r="I31" s="172"/>
      <c r="J31" s="172"/>
      <c r="K31" s="168">
        <f t="shared" si="0"/>
        <v>0</v>
      </c>
      <c r="L31" s="591">
        <f t="shared" si="1"/>
        <v>0</v>
      </c>
    </row>
    <row r="32" spans="1:12" s="30" customFormat="1">
      <c r="A32" s="588" t="s">
        <v>73</v>
      </c>
      <c r="B32" s="720"/>
      <c r="C32" s="710" t="s">
        <v>103</v>
      </c>
      <c r="D32" s="710"/>
      <c r="E32" s="165"/>
      <c r="F32" s="172"/>
      <c r="G32" s="172"/>
      <c r="H32" s="172"/>
      <c r="I32" s="172"/>
      <c r="J32" s="172"/>
      <c r="K32" s="168">
        <f t="shared" si="0"/>
        <v>0</v>
      </c>
      <c r="L32" s="591">
        <f t="shared" si="1"/>
        <v>0</v>
      </c>
    </row>
    <row r="33" spans="1:12" s="30" customFormat="1">
      <c r="A33" s="588" t="s">
        <v>74</v>
      </c>
      <c r="B33" s="720"/>
      <c r="C33" s="710" t="s">
        <v>104</v>
      </c>
      <c r="D33" s="710"/>
      <c r="E33" s="165"/>
      <c r="F33" s="172"/>
      <c r="G33" s="172"/>
      <c r="H33" s="172"/>
      <c r="I33" s="172"/>
      <c r="J33" s="172"/>
      <c r="K33" s="168">
        <f t="shared" si="0"/>
        <v>0</v>
      </c>
      <c r="L33" s="591">
        <f t="shared" si="1"/>
        <v>0</v>
      </c>
    </row>
    <row r="34" spans="1:12" s="30" customFormat="1">
      <c r="A34" s="588" t="s">
        <v>105</v>
      </c>
      <c r="B34" s="720"/>
      <c r="C34" s="710" t="s">
        <v>106</v>
      </c>
      <c r="D34" s="710"/>
      <c r="E34" s="165"/>
      <c r="F34" s="172"/>
      <c r="G34" s="172"/>
      <c r="H34" s="172"/>
      <c r="I34" s="172"/>
      <c r="J34" s="172"/>
      <c r="K34" s="168">
        <f t="shared" si="0"/>
        <v>0</v>
      </c>
      <c r="L34" s="591">
        <f t="shared" si="1"/>
        <v>0</v>
      </c>
    </row>
    <row r="35" spans="1:12" s="30" customFormat="1">
      <c r="A35" s="588" t="s">
        <v>107</v>
      </c>
      <c r="B35" s="720"/>
      <c r="C35" s="710" t="s">
        <v>108</v>
      </c>
      <c r="D35" s="710"/>
      <c r="E35" s="165"/>
      <c r="F35" s="172"/>
      <c r="G35" s="172"/>
      <c r="H35" s="172"/>
      <c r="I35" s="172"/>
      <c r="J35" s="172"/>
      <c r="K35" s="168">
        <f t="shared" si="0"/>
        <v>0</v>
      </c>
      <c r="L35" s="591">
        <f t="shared" si="1"/>
        <v>0</v>
      </c>
    </row>
    <row r="36" spans="1:12" s="30" customFormat="1">
      <c r="A36" s="588" t="s">
        <v>109</v>
      </c>
      <c r="B36" s="720"/>
      <c r="C36" s="710" t="s">
        <v>110</v>
      </c>
      <c r="D36" s="710"/>
      <c r="E36" s="165"/>
      <c r="F36" s="172"/>
      <c r="G36" s="172"/>
      <c r="H36" s="172"/>
      <c r="I36" s="172"/>
      <c r="J36" s="172"/>
      <c r="K36" s="168">
        <f t="shared" si="0"/>
        <v>0</v>
      </c>
      <c r="L36" s="591">
        <f t="shared" si="1"/>
        <v>0</v>
      </c>
    </row>
    <row r="37" spans="1:12" s="30" customFormat="1">
      <c r="A37" s="588" t="s">
        <v>60</v>
      </c>
      <c r="B37" s="720"/>
      <c r="C37" s="710" t="s">
        <v>67</v>
      </c>
      <c r="D37" s="710"/>
      <c r="E37" s="165"/>
      <c r="F37" s="172"/>
      <c r="G37" s="172"/>
      <c r="H37" s="172"/>
      <c r="I37" s="172"/>
      <c r="J37" s="172"/>
      <c r="K37" s="168">
        <f t="shared" si="0"/>
        <v>0</v>
      </c>
      <c r="L37" s="591">
        <f t="shared" si="1"/>
        <v>0</v>
      </c>
    </row>
    <row r="38" spans="1:12" s="30" customFormat="1">
      <c r="A38" s="588" t="s">
        <v>61</v>
      </c>
      <c r="B38" s="710" t="s">
        <v>111</v>
      </c>
      <c r="C38" s="710"/>
      <c r="D38" s="710"/>
      <c r="E38" s="165"/>
      <c r="F38" s="172"/>
      <c r="G38" s="172"/>
      <c r="H38" s="172"/>
      <c r="I38" s="172"/>
      <c r="J38" s="172"/>
      <c r="K38" s="168">
        <f t="shared" si="0"/>
        <v>0</v>
      </c>
      <c r="L38" s="591">
        <f t="shared" si="1"/>
        <v>0</v>
      </c>
    </row>
    <row r="39" spans="1:12" s="30" customFormat="1">
      <c r="A39" s="588" t="s">
        <v>112</v>
      </c>
      <c r="B39" s="720" t="s">
        <v>113</v>
      </c>
      <c r="C39" s="710" t="s">
        <v>114</v>
      </c>
      <c r="D39" s="710"/>
      <c r="E39" s="165"/>
      <c r="F39" s="172"/>
      <c r="G39" s="172"/>
      <c r="H39" s="172"/>
      <c r="I39" s="172"/>
      <c r="J39" s="172"/>
      <c r="K39" s="168">
        <f t="shared" si="0"/>
        <v>0</v>
      </c>
      <c r="L39" s="591">
        <f t="shared" si="1"/>
        <v>0</v>
      </c>
    </row>
    <row r="40" spans="1:12" s="30" customFormat="1">
      <c r="A40" s="588" t="s">
        <v>115</v>
      </c>
      <c r="B40" s="720"/>
      <c r="C40" s="710" t="s">
        <v>116</v>
      </c>
      <c r="D40" s="710"/>
      <c r="E40" s="165"/>
      <c r="F40" s="172"/>
      <c r="G40" s="172"/>
      <c r="H40" s="172"/>
      <c r="I40" s="172"/>
      <c r="J40" s="172"/>
      <c r="K40" s="168">
        <f t="shared" si="0"/>
        <v>0</v>
      </c>
      <c r="L40" s="591">
        <f t="shared" si="1"/>
        <v>0</v>
      </c>
    </row>
    <row r="41" spans="1:12" s="30" customFormat="1">
      <c r="A41" s="588" t="s">
        <v>117</v>
      </c>
      <c r="B41" s="720"/>
      <c r="C41" s="710" t="s">
        <v>118</v>
      </c>
      <c r="D41" s="710"/>
      <c r="E41" s="165"/>
      <c r="F41" s="172"/>
      <c r="G41" s="172"/>
      <c r="H41" s="172"/>
      <c r="I41" s="172"/>
      <c r="J41" s="172"/>
      <c r="K41" s="168">
        <f t="shared" si="0"/>
        <v>0</v>
      </c>
      <c r="L41" s="591">
        <f t="shared" si="1"/>
        <v>0</v>
      </c>
    </row>
    <row r="42" spans="1:12" s="30" customFormat="1">
      <c r="A42" s="588" t="s">
        <v>119</v>
      </c>
      <c r="B42" s="720"/>
      <c r="C42" s="710" t="s">
        <v>120</v>
      </c>
      <c r="D42" s="710"/>
      <c r="E42" s="165"/>
      <c r="F42" s="172"/>
      <c r="G42" s="172"/>
      <c r="H42" s="172"/>
      <c r="I42" s="172"/>
      <c r="J42" s="172"/>
      <c r="K42" s="168">
        <f t="shared" si="0"/>
        <v>0</v>
      </c>
      <c r="L42" s="591">
        <f t="shared" si="1"/>
        <v>0</v>
      </c>
    </row>
    <row r="43" spans="1:12" s="30" customFormat="1">
      <c r="A43" s="588" t="s">
        <v>121</v>
      </c>
      <c r="B43" s="720"/>
      <c r="C43" s="710" t="s">
        <v>122</v>
      </c>
      <c r="D43" s="710"/>
      <c r="E43" s="165"/>
      <c r="F43" s="172"/>
      <c r="G43" s="172"/>
      <c r="H43" s="172"/>
      <c r="I43" s="172"/>
      <c r="J43" s="172"/>
      <c r="K43" s="168">
        <f t="shared" si="0"/>
        <v>0</v>
      </c>
      <c r="L43" s="591">
        <f t="shared" si="1"/>
        <v>0</v>
      </c>
    </row>
    <row r="44" spans="1:12" s="30" customFormat="1">
      <c r="A44" s="588" t="s">
        <v>123</v>
      </c>
      <c r="B44" s="720"/>
      <c r="C44" s="710" t="s">
        <v>124</v>
      </c>
      <c r="D44" s="710"/>
      <c r="E44" s="165"/>
      <c r="F44" s="172"/>
      <c r="G44" s="172"/>
      <c r="H44" s="172"/>
      <c r="I44" s="172"/>
      <c r="J44" s="172"/>
      <c r="K44" s="168">
        <f t="shared" si="0"/>
        <v>0</v>
      </c>
      <c r="L44" s="591">
        <f t="shared" si="1"/>
        <v>0</v>
      </c>
    </row>
    <row r="45" spans="1:12" s="30" customFormat="1">
      <c r="A45" s="588" t="s">
        <v>125</v>
      </c>
      <c r="B45" s="720"/>
      <c r="C45" s="710" t="s">
        <v>126</v>
      </c>
      <c r="D45" s="710"/>
      <c r="E45" s="165"/>
      <c r="F45" s="172"/>
      <c r="G45" s="172"/>
      <c r="H45" s="172"/>
      <c r="I45" s="172"/>
      <c r="J45" s="172"/>
      <c r="K45" s="168">
        <f t="shared" ref="K45:K64" si="2">SUM(H45:J45)</f>
        <v>0</v>
      </c>
      <c r="L45" s="591">
        <f t="shared" si="1"/>
        <v>0</v>
      </c>
    </row>
    <row r="46" spans="1:12" s="30" customFormat="1">
      <c r="A46" s="588" t="s">
        <v>127</v>
      </c>
      <c r="B46" s="720"/>
      <c r="C46" s="710" t="s">
        <v>128</v>
      </c>
      <c r="D46" s="710"/>
      <c r="E46" s="165"/>
      <c r="F46" s="172"/>
      <c r="G46" s="172"/>
      <c r="H46" s="172"/>
      <c r="I46" s="172"/>
      <c r="J46" s="172"/>
      <c r="K46" s="168">
        <f t="shared" si="2"/>
        <v>0</v>
      </c>
      <c r="L46" s="591">
        <f t="shared" si="1"/>
        <v>0</v>
      </c>
    </row>
    <row r="47" spans="1:12" s="30" customFormat="1">
      <c r="A47" s="588" t="s">
        <v>62</v>
      </c>
      <c r="B47" s="720"/>
      <c r="C47" s="710" t="s">
        <v>67</v>
      </c>
      <c r="D47" s="710"/>
      <c r="E47" s="165"/>
      <c r="F47" s="172"/>
      <c r="G47" s="172"/>
      <c r="H47" s="172"/>
      <c r="I47" s="172"/>
      <c r="J47" s="172"/>
      <c r="K47" s="168">
        <f t="shared" si="2"/>
        <v>0</v>
      </c>
      <c r="L47" s="591">
        <f t="shared" si="1"/>
        <v>0</v>
      </c>
    </row>
    <row r="48" spans="1:12" s="30" customFormat="1">
      <c r="A48" s="588" t="s">
        <v>129</v>
      </c>
      <c r="B48" s="720" t="s">
        <v>66</v>
      </c>
      <c r="C48" s="710" t="s">
        <v>130</v>
      </c>
      <c r="D48" s="710"/>
      <c r="E48" s="165"/>
      <c r="F48" s="172"/>
      <c r="G48" s="172"/>
      <c r="H48" s="172"/>
      <c r="I48" s="172"/>
      <c r="J48" s="172"/>
      <c r="K48" s="168">
        <f t="shared" si="2"/>
        <v>0</v>
      </c>
      <c r="L48" s="591">
        <f t="shared" si="1"/>
        <v>0</v>
      </c>
    </row>
    <row r="49" spans="1:12" s="30" customFormat="1">
      <c r="A49" s="588" t="s">
        <v>131</v>
      </c>
      <c r="B49" s="720"/>
      <c r="C49" s="710" t="s">
        <v>242</v>
      </c>
      <c r="D49" s="710"/>
      <c r="E49" s="165"/>
      <c r="F49" s="172"/>
      <c r="G49" s="172"/>
      <c r="H49" s="172"/>
      <c r="I49" s="172"/>
      <c r="J49" s="172"/>
      <c r="K49" s="168">
        <f t="shared" si="2"/>
        <v>0</v>
      </c>
      <c r="L49" s="591">
        <f t="shared" si="1"/>
        <v>0</v>
      </c>
    </row>
    <row r="50" spans="1:12" s="30" customFormat="1">
      <c r="A50" s="588" t="s">
        <v>215</v>
      </c>
      <c r="B50" s="720"/>
      <c r="C50" s="724" t="s">
        <v>216</v>
      </c>
      <c r="D50" s="725"/>
      <c r="E50" s="165"/>
      <c r="F50" s="172"/>
      <c r="G50" s="172"/>
      <c r="H50" s="172"/>
      <c r="I50" s="172"/>
      <c r="J50" s="172"/>
      <c r="K50" s="168">
        <f>SUM(H50:J50)</f>
        <v>0</v>
      </c>
      <c r="L50" s="591">
        <f>F50+G50+K50</f>
        <v>0</v>
      </c>
    </row>
    <row r="51" spans="1:12" s="30" customFormat="1">
      <c r="A51" s="588" t="s">
        <v>132</v>
      </c>
      <c r="B51" s="720"/>
      <c r="C51" s="710" t="s">
        <v>133</v>
      </c>
      <c r="D51" s="710"/>
      <c r="E51" s="165"/>
      <c r="F51" s="172"/>
      <c r="G51" s="172"/>
      <c r="H51" s="172"/>
      <c r="I51" s="172"/>
      <c r="J51" s="172"/>
      <c r="K51" s="168">
        <f t="shared" si="2"/>
        <v>0</v>
      </c>
      <c r="L51" s="591">
        <f t="shared" si="1"/>
        <v>0</v>
      </c>
    </row>
    <row r="52" spans="1:12" s="30" customFormat="1">
      <c r="A52" s="588" t="s">
        <v>134</v>
      </c>
      <c r="B52" s="720"/>
      <c r="C52" s="710" t="s">
        <v>135</v>
      </c>
      <c r="D52" s="710"/>
      <c r="E52" s="165"/>
      <c r="F52" s="172"/>
      <c r="G52" s="172"/>
      <c r="H52" s="172"/>
      <c r="I52" s="172"/>
      <c r="J52" s="172"/>
      <c r="K52" s="168">
        <f t="shared" si="2"/>
        <v>0</v>
      </c>
      <c r="L52" s="591">
        <f t="shared" si="1"/>
        <v>0</v>
      </c>
    </row>
    <row r="53" spans="1:12" s="30" customFormat="1">
      <c r="A53" s="588" t="s">
        <v>136</v>
      </c>
      <c r="B53" s="720"/>
      <c r="C53" s="710" t="s">
        <v>67</v>
      </c>
      <c r="D53" s="710"/>
      <c r="E53" s="165"/>
      <c r="F53" s="172"/>
      <c r="G53" s="172"/>
      <c r="H53" s="172"/>
      <c r="I53" s="172"/>
      <c r="J53" s="172"/>
      <c r="K53" s="168">
        <f t="shared" si="2"/>
        <v>0</v>
      </c>
      <c r="L53" s="179">
        <f t="shared" si="1"/>
        <v>0</v>
      </c>
    </row>
    <row r="54" spans="1:12" s="30" customFormat="1">
      <c r="A54" s="588" t="s">
        <v>63</v>
      </c>
      <c r="B54" s="710" t="s">
        <v>137</v>
      </c>
      <c r="C54" s="710"/>
      <c r="D54" s="710"/>
      <c r="E54" s="165"/>
      <c r="F54" s="172"/>
      <c r="G54" s="172"/>
      <c r="H54" s="172"/>
      <c r="I54" s="172"/>
      <c r="J54" s="172"/>
      <c r="K54" s="168">
        <f t="shared" si="2"/>
        <v>0</v>
      </c>
      <c r="L54" s="591">
        <f t="shared" si="1"/>
        <v>0</v>
      </c>
    </row>
    <row r="55" spans="1:12" s="30" customFormat="1">
      <c r="A55" s="588" t="s">
        <v>139</v>
      </c>
      <c r="B55" s="720" t="s">
        <v>138</v>
      </c>
      <c r="C55" s="710" t="s">
        <v>196</v>
      </c>
      <c r="D55" s="710"/>
      <c r="E55" s="165"/>
      <c r="F55" s="172"/>
      <c r="G55" s="172"/>
      <c r="H55" s="172"/>
      <c r="I55" s="172"/>
      <c r="J55" s="172"/>
      <c r="K55" s="168">
        <f t="shared" si="2"/>
        <v>0</v>
      </c>
      <c r="L55" s="591">
        <f t="shared" si="1"/>
        <v>0</v>
      </c>
    </row>
    <row r="56" spans="1:12" s="30" customFormat="1">
      <c r="A56" s="584" t="s">
        <v>1733</v>
      </c>
      <c r="B56" s="720"/>
      <c r="C56" s="710" t="s">
        <v>197</v>
      </c>
      <c r="D56" s="710"/>
      <c r="E56" s="165"/>
      <c r="F56" s="172"/>
      <c r="G56" s="172"/>
      <c r="H56" s="172"/>
      <c r="I56" s="172"/>
      <c r="J56" s="172"/>
      <c r="K56" s="168">
        <f t="shared" si="2"/>
        <v>0</v>
      </c>
      <c r="L56" s="179">
        <f t="shared" si="1"/>
        <v>0</v>
      </c>
    </row>
    <row r="57" spans="1:12" s="30" customFormat="1">
      <c r="A57" s="588" t="s">
        <v>1734</v>
      </c>
      <c r="B57" s="720"/>
      <c r="C57" s="710" t="s">
        <v>198</v>
      </c>
      <c r="D57" s="710"/>
      <c r="E57" s="165"/>
      <c r="F57" s="172"/>
      <c r="G57" s="172"/>
      <c r="H57" s="172"/>
      <c r="I57" s="172"/>
      <c r="J57" s="172"/>
      <c r="K57" s="168">
        <f t="shared" si="2"/>
        <v>0</v>
      </c>
      <c r="L57" s="591">
        <f t="shared" si="1"/>
        <v>0</v>
      </c>
    </row>
    <row r="58" spans="1:12" s="30" customFormat="1">
      <c r="A58" s="588" t="s">
        <v>1735</v>
      </c>
      <c r="B58" s="720"/>
      <c r="C58" s="710" t="s">
        <v>199</v>
      </c>
      <c r="D58" s="710"/>
      <c r="E58" s="165"/>
      <c r="F58" s="172"/>
      <c r="G58" s="172"/>
      <c r="H58" s="172"/>
      <c r="I58" s="172"/>
      <c r="J58" s="172"/>
      <c r="K58" s="168">
        <f t="shared" si="2"/>
        <v>0</v>
      </c>
      <c r="L58" s="591">
        <f t="shared" si="1"/>
        <v>0</v>
      </c>
    </row>
    <row r="59" spans="1:12" s="30" customFormat="1">
      <c r="A59" s="611" t="s">
        <v>1736</v>
      </c>
      <c r="B59" s="720"/>
      <c r="C59" s="731" t="s">
        <v>1730</v>
      </c>
      <c r="D59" s="732"/>
      <c r="E59" s="165"/>
      <c r="F59" s="172"/>
      <c r="G59" s="172"/>
      <c r="H59" s="172"/>
      <c r="I59" s="172"/>
      <c r="J59" s="172"/>
      <c r="K59" s="168"/>
      <c r="L59" s="591"/>
    </row>
    <row r="60" spans="1:12" s="30" customFormat="1">
      <c r="A60" s="588" t="s">
        <v>64</v>
      </c>
      <c r="B60" s="720"/>
      <c r="C60" s="710" t="s">
        <v>67</v>
      </c>
      <c r="D60" s="710"/>
      <c r="E60" s="165"/>
      <c r="F60" s="172"/>
      <c r="G60" s="172"/>
      <c r="H60" s="172"/>
      <c r="I60" s="172"/>
      <c r="J60" s="172"/>
      <c r="K60" s="168">
        <f t="shared" si="2"/>
        <v>0</v>
      </c>
      <c r="L60" s="591">
        <f t="shared" si="1"/>
        <v>0</v>
      </c>
    </row>
    <row r="61" spans="1:12" s="30" customFormat="1">
      <c r="A61" s="588" t="s">
        <v>140</v>
      </c>
      <c r="B61" s="720" t="s">
        <v>200</v>
      </c>
      <c r="C61" s="710" t="s">
        <v>141</v>
      </c>
      <c r="D61" s="710"/>
      <c r="E61" s="165"/>
      <c r="F61" s="172"/>
      <c r="G61" s="172"/>
      <c r="H61" s="172"/>
      <c r="I61" s="172"/>
      <c r="J61" s="172"/>
      <c r="K61" s="168">
        <f t="shared" si="2"/>
        <v>0</v>
      </c>
      <c r="L61" s="179">
        <f t="shared" si="1"/>
        <v>0</v>
      </c>
    </row>
    <row r="62" spans="1:12" s="30" customFormat="1">
      <c r="A62" s="588" t="s">
        <v>142</v>
      </c>
      <c r="B62" s="720"/>
      <c r="C62" s="710" t="s">
        <v>143</v>
      </c>
      <c r="D62" s="710"/>
      <c r="E62" s="165"/>
      <c r="F62" s="172"/>
      <c r="G62" s="172"/>
      <c r="H62" s="172"/>
      <c r="I62" s="172"/>
      <c r="J62" s="172"/>
      <c r="K62" s="168">
        <f t="shared" si="2"/>
        <v>0</v>
      </c>
      <c r="L62" s="591">
        <f t="shared" si="1"/>
        <v>0</v>
      </c>
    </row>
    <row r="63" spans="1:12" s="30" customFormat="1">
      <c r="A63" s="588" t="s">
        <v>144</v>
      </c>
      <c r="B63" s="720"/>
      <c r="C63" s="710" t="s">
        <v>145</v>
      </c>
      <c r="D63" s="710"/>
      <c r="E63" s="165"/>
      <c r="F63" s="172"/>
      <c r="G63" s="172"/>
      <c r="H63" s="172"/>
      <c r="I63" s="172"/>
      <c r="J63" s="172"/>
      <c r="K63" s="168">
        <f t="shared" si="2"/>
        <v>0</v>
      </c>
      <c r="L63" s="591">
        <f t="shared" si="1"/>
        <v>0</v>
      </c>
    </row>
    <row r="64" spans="1:12" s="30" customFormat="1">
      <c r="A64" s="588" t="s">
        <v>146</v>
      </c>
      <c r="B64" s="720"/>
      <c r="C64" s="710" t="s">
        <v>147</v>
      </c>
      <c r="D64" s="710"/>
      <c r="E64" s="165"/>
      <c r="F64" s="172"/>
      <c r="G64" s="172"/>
      <c r="H64" s="172"/>
      <c r="I64" s="172"/>
      <c r="J64" s="172"/>
      <c r="K64" s="168">
        <f t="shared" si="2"/>
        <v>0</v>
      </c>
      <c r="L64" s="591">
        <f t="shared" si="1"/>
        <v>0</v>
      </c>
    </row>
    <row r="65" spans="1:12" s="30" customFormat="1">
      <c r="A65" s="588" t="s">
        <v>201</v>
      </c>
      <c r="B65" s="720"/>
      <c r="C65" s="710" t="s">
        <v>202</v>
      </c>
      <c r="D65" s="710"/>
      <c r="E65" s="165"/>
      <c r="F65" s="172"/>
      <c r="G65" s="172"/>
      <c r="H65" s="172"/>
      <c r="I65" s="172"/>
      <c r="J65" s="172"/>
      <c r="K65" s="168"/>
      <c r="L65" s="591"/>
    </row>
    <row r="66" spans="1:12" s="30" customFormat="1">
      <c r="A66" s="588" t="s">
        <v>148</v>
      </c>
      <c r="B66" s="720"/>
      <c r="C66" s="710" t="s">
        <v>67</v>
      </c>
      <c r="D66" s="710"/>
      <c r="E66" s="165"/>
      <c r="F66" s="172"/>
      <c r="G66" s="172"/>
      <c r="H66" s="172"/>
      <c r="I66" s="172"/>
      <c r="J66" s="172"/>
      <c r="K66" s="168">
        <f t="shared" ref="K66:K79" si="3">SUM(H66:J66)</f>
        <v>0</v>
      </c>
      <c r="L66" s="591">
        <f t="shared" ref="L66:L79" si="4">F66+G66+K66</f>
        <v>0</v>
      </c>
    </row>
    <row r="67" spans="1:12" s="30" customFormat="1">
      <c r="A67" s="588" t="s">
        <v>149</v>
      </c>
      <c r="B67" s="720" t="s">
        <v>203</v>
      </c>
      <c r="C67" s="710" t="s">
        <v>150</v>
      </c>
      <c r="D67" s="710"/>
      <c r="E67" s="165"/>
      <c r="F67" s="172"/>
      <c r="G67" s="721"/>
      <c r="H67" s="721"/>
      <c r="I67" s="172"/>
      <c r="J67" s="172"/>
      <c r="K67" s="168">
        <f t="shared" si="3"/>
        <v>0</v>
      </c>
      <c r="L67" s="591">
        <f t="shared" si="4"/>
        <v>0</v>
      </c>
    </row>
    <row r="68" spans="1:12" s="30" customFormat="1">
      <c r="A68" s="588" t="s">
        <v>151</v>
      </c>
      <c r="B68" s="720"/>
      <c r="C68" s="710" t="s">
        <v>152</v>
      </c>
      <c r="D68" s="710"/>
      <c r="E68" s="165"/>
      <c r="F68" s="172"/>
      <c r="G68" s="172"/>
      <c r="H68" s="172"/>
      <c r="I68" s="172"/>
      <c r="J68" s="172"/>
      <c r="K68" s="168">
        <f t="shared" si="3"/>
        <v>0</v>
      </c>
      <c r="L68" s="591">
        <f t="shared" si="4"/>
        <v>0</v>
      </c>
    </row>
    <row r="69" spans="1:12" s="30" customFormat="1">
      <c r="A69" s="588" t="s">
        <v>153</v>
      </c>
      <c r="B69" s="720"/>
      <c r="C69" s="710" t="s">
        <v>67</v>
      </c>
      <c r="D69" s="710"/>
      <c r="E69" s="165"/>
      <c r="F69" s="172"/>
      <c r="G69" s="172"/>
      <c r="H69" s="172"/>
      <c r="I69" s="172"/>
      <c r="J69" s="172"/>
      <c r="K69" s="168">
        <f t="shared" si="3"/>
        <v>0</v>
      </c>
      <c r="L69" s="591">
        <f t="shared" si="4"/>
        <v>0</v>
      </c>
    </row>
    <row r="70" spans="1:12" s="30" customFormat="1">
      <c r="A70" s="588" t="s">
        <v>154</v>
      </c>
      <c r="B70" s="720" t="s">
        <v>1714</v>
      </c>
      <c r="C70" s="710" t="s">
        <v>156</v>
      </c>
      <c r="D70" s="710"/>
      <c r="E70" s="165"/>
      <c r="F70" s="168"/>
      <c r="G70" s="168"/>
      <c r="H70" s="168"/>
      <c r="I70" s="168"/>
      <c r="J70" s="168"/>
      <c r="K70" s="172">
        <f t="shared" si="3"/>
        <v>0</v>
      </c>
      <c r="L70" s="592">
        <f t="shared" si="4"/>
        <v>0</v>
      </c>
    </row>
    <row r="71" spans="1:12" s="30" customFormat="1">
      <c r="A71" s="588" t="s">
        <v>157</v>
      </c>
      <c r="B71" s="720"/>
      <c r="C71" s="710" t="s">
        <v>158</v>
      </c>
      <c r="D71" s="710"/>
      <c r="E71" s="165"/>
      <c r="F71" s="168"/>
      <c r="G71" s="172"/>
      <c r="H71" s="172"/>
      <c r="I71" s="172"/>
      <c r="J71" s="172"/>
      <c r="K71" s="172">
        <f t="shared" si="3"/>
        <v>0</v>
      </c>
      <c r="L71" s="592">
        <f t="shared" si="4"/>
        <v>0</v>
      </c>
    </row>
    <row r="72" spans="1:12" s="30" customFormat="1">
      <c r="A72" s="588" t="s">
        <v>159</v>
      </c>
      <c r="B72" s="720"/>
      <c r="C72" s="710" t="s">
        <v>160</v>
      </c>
      <c r="D72" s="710"/>
      <c r="E72" s="165"/>
      <c r="F72" s="168"/>
      <c r="G72" s="172"/>
      <c r="H72" s="172"/>
      <c r="I72" s="172"/>
      <c r="J72" s="172"/>
      <c r="K72" s="172">
        <f t="shared" si="3"/>
        <v>0</v>
      </c>
      <c r="L72" s="592">
        <f t="shared" si="4"/>
        <v>0</v>
      </c>
    </row>
    <row r="73" spans="1:12" s="30" customFormat="1">
      <c r="A73" s="588" t="s">
        <v>161</v>
      </c>
      <c r="B73" s="720"/>
      <c r="C73" s="710" t="s">
        <v>162</v>
      </c>
      <c r="D73" s="710"/>
      <c r="E73" s="165"/>
      <c r="F73" s="168"/>
      <c r="G73" s="172"/>
      <c r="H73" s="172"/>
      <c r="I73" s="172"/>
      <c r="J73" s="172"/>
      <c r="K73" s="172">
        <f t="shared" si="3"/>
        <v>0</v>
      </c>
      <c r="L73" s="592">
        <f t="shared" si="4"/>
        <v>0</v>
      </c>
    </row>
    <row r="74" spans="1:12" s="30" customFormat="1">
      <c r="A74" s="588" t="s">
        <v>163</v>
      </c>
      <c r="B74" s="720"/>
      <c r="C74" s="710" t="s">
        <v>67</v>
      </c>
      <c r="D74" s="710"/>
      <c r="E74" s="165"/>
      <c r="F74" s="168"/>
      <c r="G74" s="168"/>
      <c r="H74" s="168"/>
      <c r="I74" s="168"/>
      <c r="J74" s="168"/>
      <c r="K74" s="172">
        <f t="shared" si="3"/>
        <v>0</v>
      </c>
      <c r="L74" s="592">
        <f t="shared" si="4"/>
        <v>0</v>
      </c>
    </row>
    <row r="75" spans="1:12" s="30" customFormat="1" ht="14.4" customHeight="1">
      <c r="A75" s="588" t="s">
        <v>1715</v>
      </c>
      <c r="B75" s="711" t="s">
        <v>243</v>
      </c>
      <c r="C75" s="712"/>
      <c r="D75" s="713"/>
      <c r="E75" s="165"/>
      <c r="F75" s="168"/>
      <c r="G75" s="168"/>
      <c r="H75" s="168"/>
      <c r="I75" s="168"/>
      <c r="J75" s="168"/>
      <c r="K75" s="172"/>
      <c r="L75" s="592"/>
    </row>
    <row r="76" spans="1:12" s="30" customFormat="1">
      <c r="A76" s="584" t="s">
        <v>164</v>
      </c>
      <c r="B76" s="710" t="s">
        <v>165</v>
      </c>
      <c r="C76" s="710"/>
      <c r="D76" s="710"/>
      <c r="E76" s="165"/>
      <c r="F76" s="172"/>
      <c r="G76" s="172"/>
      <c r="H76" s="168"/>
      <c r="I76" s="168"/>
      <c r="J76" s="168"/>
      <c r="K76" s="168">
        <f t="shared" si="3"/>
        <v>0</v>
      </c>
      <c r="L76" s="179">
        <f t="shared" si="4"/>
        <v>0</v>
      </c>
    </row>
    <row r="77" spans="1:12" s="30" customFormat="1">
      <c r="A77" s="180" t="s">
        <v>248</v>
      </c>
      <c r="B77" s="714" t="s">
        <v>167</v>
      </c>
      <c r="C77" s="715"/>
      <c r="D77" s="716"/>
      <c r="E77" s="165"/>
      <c r="F77" s="592"/>
      <c r="G77" s="592"/>
      <c r="H77" s="591"/>
      <c r="I77" s="591"/>
      <c r="J77" s="591"/>
      <c r="K77" s="591">
        <f t="shared" si="3"/>
        <v>0</v>
      </c>
      <c r="L77" s="179">
        <f t="shared" si="4"/>
        <v>0</v>
      </c>
    </row>
    <row r="78" spans="1:12" s="30" customFormat="1">
      <c r="A78" s="593" t="s">
        <v>249</v>
      </c>
      <c r="B78" s="717" t="s">
        <v>241</v>
      </c>
      <c r="C78" s="718"/>
      <c r="D78" s="719"/>
      <c r="E78" s="165"/>
      <c r="F78" s="592"/>
      <c r="G78" s="592"/>
      <c r="H78" s="592"/>
      <c r="I78" s="592"/>
      <c r="J78" s="592"/>
      <c r="K78" s="591">
        <f t="shared" si="3"/>
        <v>0</v>
      </c>
      <c r="L78" s="591">
        <f t="shared" si="4"/>
        <v>0</v>
      </c>
    </row>
    <row r="79" spans="1:12" s="30" customFormat="1">
      <c r="A79" s="593" t="s">
        <v>168</v>
      </c>
      <c r="B79" s="717" t="s">
        <v>169</v>
      </c>
      <c r="C79" s="718"/>
      <c r="D79" s="719"/>
      <c r="E79" s="165"/>
      <c r="F79" s="592"/>
      <c r="G79" s="592"/>
      <c r="H79" s="592"/>
      <c r="I79" s="592"/>
      <c r="J79" s="592"/>
      <c r="K79" s="591">
        <f t="shared" si="3"/>
        <v>0</v>
      </c>
      <c r="L79" s="591">
        <f t="shared" si="4"/>
        <v>0</v>
      </c>
    </row>
    <row r="80" spans="1:12" s="30" customFormat="1">
      <c r="C80" s="159"/>
      <c r="D80" s="159"/>
      <c r="E80" s="159"/>
    </row>
    <row r="81" spans="1:12" s="191" customFormat="1">
      <c r="A81" s="189" t="s">
        <v>547</v>
      </c>
      <c r="C81" s="190"/>
    </row>
    <row r="82" spans="1:12" s="191" customFormat="1">
      <c r="C82" s="190"/>
    </row>
    <row r="83" spans="1:12" s="193" customFormat="1">
      <c r="A83" s="192" t="s">
        <v>59</v>
      </c>
      <c r="C83" s="194"/>
      <c r="D83" s="194"/>
      <c r="E83" s="194"/>
    </row>
    <row r="84" spans="1:12" s="193" customFormat="1">
      <c r="C84" s="194"/>
      <c r="D84" s="194"/>
      <c r="E84" s="194"/>
    </row>
    <row r="85" spans="1:12" s="193" customFormat="1">
      <c r="A85" s="193" t="s">
        <v>1716</v>
      </c>
      <c r="C85" s="194"/>
      <c r="D85" s="194"/>
      <c r="E85" s="194"/>
    </row>
    <row r="86" spans="1:12" s="193" customFormat="1">
      <c r="C86" s="194"/>
      <c r="D86" s="194"/>
      <c r="E86" s="194"/>
    </row>
    <row r="87" spans="1:12" s="193" customFormat="1">
      <c r="A87" s="193" t="s">
        <v>1717</v>
      </c>
      <c r="C87" s="194"/>
      <c r="D87" s="194"/>
      <c r="E87" s="194"/>
    </row>
    <row r="88" spans="1:12" s="193" customFormat="1">
      <c r="C88" s="194"/>
      <c r="D88" s="194"/>
      <c r="E88" s="194"/>
    </row>
    <row r="89" spans="1:12" s="194" customFormat="1" ht="33" customHeight="1">
      <c r="A89" s="709" t="s">
        <v>1718</v>
      </c>
      <c r="B89" s="709"/>
      <c r="C89" s="709"/>
      <c r="D89" s="709"/>
      <c r="E89" s="709"/>
      <c r="F89" s="709"/>
      <c r="G89" s="709"/>
      <c r="H89" s="709"/>
      <c r="I89" s="709"/>
      <c r="J89" s="709"/>
      <c r="K89" s="709"/>
      <c r="L89" s="709"/>
    </row>
    <row r="90" spans="1:12" s="193" customFormat="1">
      <c r="C90" s="194"/>
      <c r="D90" s="194"/>
      <c r="E90" s="194"/>
    </row>
    <row r="91" spans="1:12" s="193" customFormat="1">
      <c r="A91" s="193" t="s">
        <v>1719</v>
      </c>
      <c r="C91" s="194"/>
      <c r="D91" s="194"/>
      <c r="E91" s="194"/>
    </row>
    <row r="92" spans="1:12" s="193" customFormat="1">
      <c r="C92" s="194"/>
      <c r="D92" s="194"/>
      <c r="E92" s="194"/>
    </row>
    <row r="93" spans="1:12" s="193" customFormat="1">
      <c r="A93" s="193" t="s">
        <v>1720</v>
      </c>
      <c r="C93" s="194"/>
      <c r="D93" s="194"/>
      <c r="E93" s="194"/>
    </row>
    <row r="94" spans="1:12" s="193" customFormat="1">
      <c r="A94" s="193" t="s">
        <v>1721</v>
      </c>
      <c r="C94" s="194"/>
      <c r="D94" s="194"/>
      <c r="E94" s="194"/>
    </row>
    <row r="95" spans="1:12" s="193" customFormat="1">
      <c r="C95" s="194"/>
      <c r="D95" s="194"/>
      <c r="E95" s="194"/>
    </row>
    <row r="96" spans="1:12" s="193" customFormat="1">
      <c r="A96" s="193" t="s">
        <v>1722</v>
      </c>
      <c r="C96" s="194"/>
      <c r="D96" s="194"/>
      <c r="E96" s="194"/>
    </row>
    <row r="97" spans="1:13" s="193" customFormat="1">
      <c r="C97" s="194"/>
      <c r="D97" s="194"/>
      <c r="E97" s="194"/>
    </row>
    <row r="98" spans="1:13" s="193" customFormat="1">
      <c r="A98" s="193" t="s">
        <v>1723</v>
      </c>
      <c r="C98" s="194"/>
      <c r="D98" s="194"/>
      <c r="E98" s="194"/>
    </row>
    <row r="99" spans="1:13" s="193" customFormat="1">
      <c r="A99" s="193" t="s">
        <v>204</v>
      </c>
      <c r="C99" s="194"/>
      <c r="D99" s="194"/>
      <c r="E99" s="194"/>
    </row>
    <row r="100" spans="1:13" s="193" customFormat="1">
      <c r="A100" s="193" t="s">
        <v>205</v>
      </c>
      <c r="C100" s="194"/>
      <c r="D100" s="194"/>
      <c r="E100" s="194"/>
    </row>
    <row r="101" spans="1:13" s="193" customFormat="1">
      <c r="A101" s="193" t="s">
        <v>206</v>
      </c>
      <c r="C101" s="194"/>
      <c r="D101" s="194"/>
      <c r="E101" s="194"/>
    </row>
    <row r="102" spans="1:13" s="193" customFormat="1">
      <c r="A102" s="612" t="s">
        <v>1738</v>
      </c>
      <c r="B102" s="612"/>
      <c r="C102" s="613"/>
      <c r="D102" s="613"/>
      <c r="E102" s="613"/>
      <c r="F102" s="612"/>
      <c r="G102" s="612"/>
      <c r="H102" s="601"/>
      <c r="I102" s="612"/>
      <c r="J102" s="601"/>
      <c r="K102" s="612"/>
      <c r="L102" s="601"/>
      <c r="M102" s="601"/>
    </row>
    <row r="103" spans="1:13" s="193" customFormat="1">
      <c r="A103" s="612" t="s">
        <v>1740</v>
      </c>
      <c r="B103" s="612"/>
      <c r="C103" s="613"/>
      <c r="D103" s="613"/>
      <c r="E103" s="613"/>
      <c r="F103" s="612"/>
      <c r="G103" s="612"/>
      <c r="H103" s="601"/>
      <c r="I103" s="612"/>
      <c r="J103" s="601"/>
      <c r="K103" s="612"/>
      <c r="L103" s="601"/>
      <c r="M103" s="601"/>
    </row>
    <row r="104" spans="1:13" s="193" customFormat="1">
      <c r="A104" s="614" t="s">
        <v>1737</v>
      </c>
      <c r="B104" s="612"/>
      <c r="C104" s="613"/>
      <c r="D104" s="613"/>
      <c r="E104" s="613"/>
      <c r="F104" s="612"/>
      <c r="G104" s="612"/>
      <c r="H104" s="601"/>
      <c r="I104" s="612"/>
      <c r="J104" s="601"/>
      <c r="K104" s="612"/>
      <c r="L104" s="601"/>
      <c r="M104" s="601"/>
    </row>
    <row r="105" spans="1:13" s="193" customFormat="1">
      <c r="C105" s="194"/>
      <c r="D105" s="194"/>
      <c r="E105" s="194"/>
    </row>
    <row r="106" spans="1:13" s="193" customFormat="1">
      <c r="A106" s="594" t="s">
        <v>1724</v>
      </c>
      <c r="B106" s="595"/>
      <c r="C106" s="595"/>
      <c r="D106" s="595"/>
      <c r="E106" s="595"/>
    </row>
    <row r="107" spans="1:13" s="193" customFormat="1">
      <c r="A107" s="594" t="s">
        <v>1725</v>
      </c>
      <c r="B107" s="595"/>
      <c r="C107" s="595"/>
      <c r="D107" s="595"/>
      <c r="E107" s="595"/>
    </row>
    <row r="108" spans="1:13" s="193" customFormat="1">
      <c r="A108" s="595" t="s">
        <v>1726</v>
      </c>
      <c r="B108" s="595"/>
      <c r="C108" s="595"/>
      <c r="D108" s="595"/>
      <c r="E108" s="595"/>
    </row>
    <row r="109" spans="1:13" s="193" customFormat="1">
      <c r="C109" s="194"/>
      <c r="D109" s="194"/>
      <c r="E109" s="194"/>
    </row>
    <row r="110" spans="1:13" s="193" customFormat="1">
      <c r="A110" s="193" t="s">
        <v>1727</v>
      </c>
      <c r="C110" s="194"/>
      <c r="D110" s="194"/>
      <c r="E110" s="194"/>
    </row>
    <row r="111" spans="1:13" s="193" customFormat="1">
      <c r="C111" s="194"/>
      <c r="D111" s="194"/>
      <c r="E111" s="194"/>
    </row>
    <row r="112" spans="1:13" s="193" customFormat="1">
      <c r="A112" s="151" t="s">
        <v>177</v>
      </c>
      <c r="B112" s="195"/>
      <c r="C112" s="190"/>
      <c r="D112" s="191"/>
      <c r="E112" s="191"/>
      <c r="F112" s="191"/>
      <c r="G112" s="191"/>
      <c r="H112" s="191"/>
      <c r="I112" s="191"/>
      <c r="J112" s="191"/>
    </row>
    <row r="113" spans="1:10" s="193" customFormat="1">
      <c r="A113" s="154" t="s">
        <v>178</v>
      </c>
      <c r="B113" s="195"/>
      <c r="C113" s="190"/>
      <c r="D113" s="191"/>
      <c r="E113" s="191"/>
      <c r="F113" s="191"/>
      <c r="G113" s="191"/>
      <c r="H113" s="191"/>
      <c r="I113" s="191"/>
      <c r="J113" s="191"/>
    </row>
    <row r="114" spans="1:10" s="193" customFormat="1">
      <c r="A114" s="154" t="s">
        <v>207</v>
      </c>
      <c r="B114" s="195"/>
      <c r="C114" s="190"/>
      <c r="D114" s="191"/>
      <c r="E114" s="191"/>
      <c r="F114" s="191"/>
      <c r="G114" s="191"/>
      <c r="H114" s="191"/>
      <c r="I114" s="191"/>
      <c r="J114" s="191"/>
    </row>
    <row r="115" spans="1:10" s="193" customFormat="1">
      <c r="A115" s="154" t="s">
        <v>208</v>
      </c>
      <c r="B115" s="195"/>
      <c r="C115" s="190"/>
      <c r="D115" s="191"/>
      <c r="E115" s="191"/>
      <c r="F115" s="191"/>
      <c r="G115" s="191"/>
      <c r="H115" s="191"/>
      <c r="I115" s="191"/>
      <c r="J115" s="191"/>
    </row>
    <row r="116" spans="1:10" s="193" customFormat="1">
      <c r="A116" s="154" t="s">
        <v>183</v>
      </c>
      <c r="C116" s="194"/>
      <c r="D116" s="194"/>
      <c r="E116" s="194"/>
    </row>
    <row r="117" spans="1:10" s="193" customFormat="1">
      <c r="A117" s="193" t="s">
        <v>218</v>
      </c>
      <c r="C117" s="194"/>
      <c r="D117" s="194"/>
      <c r="E117" s="194"/>
    </row>
    <row r="118" spans="1:10" s="193" customFormat="1">
      <c r="A118" s="193" t="s">
        <v>1728</v>
      </c>
      <c r="C118" s="194"/>
      <c r="D118" s="194"/>
      <c r="E118" s="194"/>
    </row>
    <row r="119" spans="1:10" s="269" customFormat="1">
      <c r="A119" s="445" t="s">
        <v>1741</v>
      </c>
      <c r="B119" s="280"/>
      <c r="C119" s="422"/>
      <c r="D119" s="422"/>
      <c r="E119" s="422"/>
    </row>
  </sheetData>
  <mergeCells count="78">
    <mergeCell ref="L10:L11"/>
    <mergeCell ref="A9:D11"/>
    <mergeCell ref="E10:E11"/>
    <mergeCell ref="F10:F11"/>
    <mergeCell ref="G10:G11"/>
    <mergeCell ref="H10:K10"/>
    <mergeCell ref="B12:D12"/>
    <mergeCell ref="B13:B25"/>
    <mergeCell ref="C13:D13"/>
    <mergeCell ref="C14:D14"/>
    <mergeCell ref="C15:D15"/>
    <mergeCell ref="C16:D16"/>
    <mergeCell ref="C17:C24"/>
    <mergeCell ref="C25:D25"/>
    <mergeCell ref="B26:B30"/>
    <mergeCell ref="C26:D26"/>
    <mergeCell ref="C27:D27"/>
    <mergeCell ref="C28:D28"/>
    <mergeCell ref="C29:D29"/>
    <mergeCell ref="C30:D30"/>
    <mergeCell ref="B31:B37"/>
    <mergeCell ref="C31:D31"/>
    <mergeCell ref="C32:D32"/>
    <mergeCell ref="C33:D33"/>
    <mergeCell ref="C34:D34"/>
    <mergeCell ref="C35:D35"/>
    <mergeCell ref="C36:D36"/>
    <mergeCell ref="C37:D37"/>
    <mergeCell ref="B38:D38"/>
    <mergeCell ref="B39:B47"/>
    <mergeCell ref="C39:D39"/>
    <mergeCell ref="C40:D40"/>
    <mergeCell ref="C41:D41"/>
    <mergeCell ref="C42:D42"/>
    <mergeCell ref="C43:D43"/>
    <mergeCell ref="C44:D44"/>
    <mergeCell ref="C45:D45"/>
    <mergeCell ref="C46:D46"/>
    <mergeCell ref="C47:D47"/>
    <mergeCell ref="B48:B53"/>
    <mergeCell ref="C48:D48"/>
    <mergeCell ref="C49:D49"/>
    <mergeCell ref="C50:D50"/>
    <mergeCell ref="C51:D51"/>
    <mergeCell ref="C52:D52"/>
    <mergeCell ref="C53:D53"/>
    <mergeCell ref="B54:D54"/>
    <mergeCell ref="B55:B60"/>
    <mergeCell ref="C55:D55"/>
    <mergeCell ref="C56:D56"/>
    <mergeCell ref="C57:D57"/>
    <mergeCell ref="C58:D58"/>
    <mergeCell ref="C60:D60"/>
    <mergeCell ref="C72:D72"/>
    <mergeCell ref="C73:D73"/>
    <mergeCell ref="B61:B66"/>
    <mergeCell ref="C61:D61"/>
    <mergeCell ref="C62:D62"/>
    <mergeCell ref="C63:D63"/>
    <mergeCell ref="C64:D64"/>
    <mergeCell ref="C65:D65"/>
    <mergeCell ref="C66:D66"/>
    <mergeCell ref="A89:L89"/>
    <mergeCell ref="C59:D59"/>
    <mergeCell ref="C74:D74"/>
    <mergeCell ref="B75:D75"/>
    <mergeCell ref="B76:D76"/>
    <mergeCell ref="B77:D77"/>
    <mergeCell ref="B78:D78"/>
    <mergeCell ref="B79:D79"/>
    <mergeCell ref="B67:B69"/>
    <mergeCell ref="C67:D67"/>
    <mergeCell ref="G67:H67"/>
    <mergeCell ref="C68:D68"/>
    <mergeCell ref="C69:D69"/>
    <mergeCell ref="B70:B74"/>
    <mergeCell ref="C70:D70"/>
    <mergeCell ref="C71:D71"/>
  </mergeCells>
  <phoneticPr fontId="6" type="noConversion"/>
  <hyperlinks>
    <hyperlink ref="A1" location="목차_개정후!A1" display="목차_개정후!A1" xr:uid="{D53883A1-A7ED-498D-9233-701FFD1ABB7C}"/>
  </hyperlinks>
  <pageMargins left="0.76" right="0.49" top="0.6" bottom="0.46" header="0.5" footer="0.5"/>
  <pageSetup paperSize="9" scale="46" fitToWidth="0"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3CC394-35AC-468B-ADE3-E1564D37C05B}">
  <sheetPr>
    <tabColor theme="0" tint="-0.249977111117893"/>
    <pageSetUpPr fitToPage="1"/>
  </sheetPr>
  <dimension ref="A5:L97"/>
  <sheetViews>
    <sheetView showGridLines="0" view="pageBreakPreview" zoomScaleNormal="85" zoomScaleSheetLayoutView="100" workbookViewId="0">
      <pane xSplit="5" ySplit="10" topLeftCell="F11" activePane="bottomRight" state="frozen"/>
      <selection activeCell="H121" sqref="H121"/>
      <selection pane="topRight" activeCell="H121" sqref="H121"/>
      <selection pane="bottomLeft" activeCell="H121" sqref="H121"/>
      <selection pane="bottomRight" activeCell="F11" sqref="F11"/>
    </sheetView>
  </sheetViews>
  <sheetFormatPr defaultColWidth="8.8984375" defaultRowHeight="14.4"/>
  <cols>
    <col min="1" max="1" width="6" style="14" customWidth="1"/>
    <col min="2" max="2" width="10.09765625" style="14" customWidth="1"/>
    <col min="3" max="3" width="4.69921875" style="44" customWidth="1"/>
    <col min="4" max="4" width="23.59765625" style="44" customWidth="1"/>
    <col min="5" max="5" width="19" style="44" customWidth="1"/>
    <col min="6" max="6" width="11.296875" style="14" bestFit="1" customWidth="1"/>
    <col min="7" max="8" width="9" style="14" customWidth="1"/>
    <col min="9" max="10" width="8.59765625" style="14" bestFit="1" customWidth="1"/>
    <col min="11" max="11" width="11" style="14" bestFit="1" customWidth="1"/>
    <col min="12" max="12" width="11.296875" style="14" customWidth="1"/>
    <col min="13" max="16384" width="8.8984375" style="14"/>
  </cols>
  <sheetData>
    <row r="5" spans="1:12" s="157" customFormat="1" ht="20.399999999999999">
      <c r="A5" s="157" t="s">
        <v>1729</v>
      </c>
      <c r="C5" s="158"/>
      <c r="D5" s="158"/>
      <c r="E5" s="158"/>
    </row>
    <row r="6" spans="1:12" s="30" customFormat="1">
      <c r="C6" s="159"/>
      <c r="D6" s="159"/>
      <c r="E6" s="159"/>
    </row>
    <row r="7" spans="1:12" s="30" customFormat="1">
      <c r="A7" s="160" t="s">
        <v>171</v>
      </c>
      <c r="B7" s="160"/>
      <c r="C7" s="160"/>
      <c r="D7" s="160"/>
      <c r="E7" s="160"/>
      <c r="F7" s="29"/>
      <c r="G7" s="29"/>
      <c r="H7" s="29"/>
      <c r="I7" s="29"/>
      <c r="J7" s="29"/>
      <c r="K7" s="29"/>
      <c r="L7" s="161"/>
    </row>
    <row r="8" spans="1:12" s="30" customFormat="1">
      <c r="A8" s="738" t="s">
        <v>54</v>
      </c>
      <c r="B8" s="739"/>
      <c r="C8" s="739"/>
      <c r="D8" s="739"/>
      <c r="E8" s="581" t="s">
        <v>179</v>
      </c>
      <c r="F8" s="581" t="s">
        <v>55</v>
      </c>
      <c r="G8" s="581" t="s">
        <v>56</v>
      </c>
      <c r="H8" s="581" t="s">
        <v>72</v>
      </c>
      <c r="I8" s="581" t="s">
        <v>73</v>
      </c>
      <c r="J8" s="581" t="s">
        <v>74</v>
      </c>
      <c r="K8" s="581" t="s">
        <v>60</v>
      </c>
      <c r="L8" s="581" t="s">
        <v>61</v>
      </c>
    </row>
    <row r="9" spans="1:12" s="30" customFormat="1" ht="13.5" customHeight="1">
      <c r="A9" s="740"/>
      <c r="B9" s="741"/>
      <c r="C9" s="741"/>
      <c r="D9" s="741"/>
      <c r="E9" s="720" t="s">
        <v>182</v>
      </c>
      <c r="F9" s="720" t="s">
        <v>75</v>
      </c>
      <c r="G9" s="720" t="s">
        <v>76</v>
      </c>
      <c r="H9" s="720" t="s">
        <v>77</v>
      </c>
      <c r="I9" s="720"/>
      <c r="J9" s="720"/>
      <c r="K9" s="720"/>
      <c r="L9" s="720" t="s">
        <v>78</v>
      </c>
    </row>
    <row r="10" spans="1:12" s="30" customFormat="1">
      <c r="A10" s="742"/>
      <c r="B10" s="743"/>
      <c r="C10" s="743"/>
      <c r="D10" s="743"/>
      <c r="E10" s="720"/>
      <c r="F10" s="720"/>
      <c r="G10" s="720"/>
      <c r="H10" s="581" t="s">
        <v>79</v>
      </c>
      <c r="I10" s="581" t="s">
        <v>80</v>
      </c>
      <c r="J10" s="581" t="s">
        <v>81</v>
      </c>
      <c r="K10" s="581" t="s">
        <v>82</v>
      </c>
      <c r="L10" s="720"/>
    </row>
    <row r="11" spans="1:12" s="30" customFormat="1">
      <c r="A11" s="581" t="s">
        <v>179</v>
      </c>
      <c r="B11" s="726" t="s">
        <v>184</v>
      </c>
      <c r="C11" s="726"/>
      <c r="D11" s="726"/>
      <c r="E11" s="581" t="s">
        <v>185</v>
      </c>
      <c r="F11" s="165"/>
      <c r="G11" s="165"/>
      <c r="H11" s="165"/>
      <c r="I11" s="165"/>
      <c r="J11" s="165"/>
      <c r="K11" s="165"/>
      <c r="L11" s="165"/>
    </row>
    <row r="12" spans="1:12" s="30" customFormat="1" ht="13.5" customHeight="1">
      <c r="A12" s="593" t="s">
        <v>83</v>
      </c>
      <c r="B12" s="720" t="s">
        <v>186</v>
      </c>
      <c r="C12" s="710" t="s">
        <v>84</v>
      </c>
      <c r="D12" s="733"/>
      <c r="E12" s="165"/>
      <c r="F12" s="596"/>
      <c r="G12" s="596"/>
      <c r="H12" s="596"/>
      <c r="I12" s="596"/>
      <c r="J12" s="596"/>
      <c r="K12" s="168">
        <f t="shared" ref="K12:K62" si="0">SUM(H12:J12)</f>
        <v>0</v>
      </c>
      <c r="L12" s="168">
        <f t="shared" ref="L12:L62" si="1">F12+G12+K12</f>
        <v>0</v>
      </c>
    </row>
    <row r="13" spans="1:12" s="30" customFormat="1" ht="13.5" customHeight="1">
      <c r="A13" s="593" t="s">
        <v>85</v>
      </c>
      <c r="B13" s="720"/>
      <c r="C13" s="710" t="s">
        <v>86</v>
      </c>
      <c r="D13" s="733"/>
      <c r="E13" s="165"/>
      <c r="F13" s="596"/>
      <c r="G13" s="596"/>
      <c r="H13" s="596"/>
      <c r="I13" s="596"/>
      <c r="J13" s="596"/>
      <c r="K13" s="168">
        <f t="shared" si="0"/>
        <v>0</v>
      </c>
      <c r="L13" s="168">
        <f t="shared" si="1"/>
        <v>0</v>
      </c>
    </row>
    <row r="14" spans="1:12" s="30" customFormat="1" ht="13.5" customHeight="1">
      <c r="A14" s="593" t="s">
        <v>87</v>
      </c>
      <c r="B14" s="720"/>
      <c r="C14" s="710" t="s">
        <v>57</v>
      </c>
      <c r="D14" s="733"/>
      <c r="E14" s="165"/>
      <c r="F14" s="596"/>
      <c r="G14" s="596"/>
      <c r="H14" s="596"/>
      <c r="I14" s="596"/>
      <c r="J14" s="596"/>
      <c r="K14" s="168">
        <f t="shared" si="0"/>
        <v>0</v>
      </c>
      <c r="L14" s="168">
        <f t="shared" si="1"/>
        <v>0</v>
      </c>
    </row>
    <row r="15" spans="1:12" s="30" customFormat="1" ht="13.5" customHeight="1">
      <c r="A15" s="593" t="s">
        <v>88</v>
      </c>
      <c r="B15" s="720"/>
      <c r="C15" s="710" t="s">
        <v>58</v>
      </c>
      <c r="D15" s="733"/>
      <c r="E15" s="165"/>
      <c r="F15" s="596"/>
      <c r="G15" s="596"/>
      <c r="H15" s="596"/>
      <c r="I15" s="596"/>
      <c r="J15" s="596"/>
      <c r="K15" s="168">
        <f t="shared" si="0"/>
        <v>0</v>
      </c>
      <c r="L15" s="168">
        <f t="shared" si="1"/>
        <v>0</v>
      </c>
    </row>
    <row r="16" spans="1:12" s="30" customFormat="1" ht="13.5" customHeight="1">
      <c r="A16" s="593" t="s">
        <v>89</v>
      </c>
      <c r="B16" s="720"/>
      <c r="C16" s="729" t="s">
        <v>187</v>
      </c>
      <c r="D16" s="583" t="s">
        <v>90</v>
      </c>
      <c r="E16" s="165"/>
      <c r="F16" s="172">
        <f>F17+F18</f>
        <v>0</v>
      </c>
      <c r="G16" s="172">
        <f>G17+G18</f>
        <v>0</v>
      </c>
      <c r="H16" s="172">
        <f>H17+H18</f>
        <v>0</v>
      </c>
      <c r="I16" s="172">
        <f>I17+I18</f>
        <v>0</v>
      </c>
      <c r="J16" s="172">
        <f>J17+J18</f>
        <v>0</v>
      </c>
      <c r="K16" s="168">
        <f t="shared" si="0"/>
        <v>0</v>
      </c>
      <c r="L16" s="168">
        <f t="shared" si="1"/>
        <v>0</v>
      </c>
    </row>
    <row r="17" spans="1:12" s="30" customFormat="1" ht="13.5" customHeight="1">
      <c r="A17" s="588" t="s">
        <v>188</v>
      </c>
      <c r="B17" s="720"/>
      <c r="C17" s="730"/>
      <c r="D17" s="583" t="s">
        <v>189</v>
      </c>
      <c r="E17" s="165"/>
      <c r="F17" s="172"/>
      <c r="G17" s="172"/>
      <c r="H17" s="172"/>
      <c r="I17" s="172"/>
      <c r="J17" s="172"/>
      <c r="K17" s="168">
        <f t="shared" si="0"/>
        <v>0</v>
      </c>
      <c r="L17" s="168">
        <f t="shared" si="1"/>
        <v>0</v>
      </c>
    </row>
    <row r="18" spans="1:12" s="30" customFormat="1" ht="13.5" customHeight="1">
      <c r="A18" s="588" t="s">
        <v>190</v>
      </c>
      <c r="B18" s="720"/>
      <c r="C18" s="730"/>
      <c r="D18" s="583" t="s">
        <v>191</v>
      </c>
      <c r="E18" s="165"/>
      <c r="F18" s="172"/>
      <c r="G18" s="172"/>
      <c r="H18" s="172"/>
      <c r="I18" s="172"/>
      <c r="J18" s="172"/>
      <c r="K18" s="168">
        <f t="shared" si="0"/>
        <v>0</v>
      </c>
      <c r="L18" s="168">
        <f t="shared" si="1"/>
        <v>0</v>
      </c>
    </row>
    <row r="19" spans="1:12" s="30" customFormat="1">
      <c r="A19" s="593" t="s">
        <v>91</v>
      </c>
      <c r="B19" s="720"/>
      <c r="C19" s="730"/>
      <c r="D19" s="583" t="s">
        <v>92</v>
      </c>
      <c r="E19" s="165"/>
      <c r="F19" s="172">
        <f>F20+F21</f>
        <v>0</v>
      </c>
      <c r="G19" s="172">
        <f>G20+G21</f>
        <v>0</v>
      </c>
      <c r="H19" s="172">
        <f>H20+H21</f>
        <v>0</v>
      </c>
      <c r="I19" s="172">
        <f>I20+I21</f>
        <v>0</v>
      </c>
      <c r="J19" s="172">
        <f>J20+J21</f>
        <v>0</v>
      </c>
      <c r="K19" s="168">
        <f t="shared" si="0"/>
        <v>0</v>
      </c>
      <c r="L19" s="168">
        <f t="shared" si="1"/>
        <v>0</v>
      </c>
    </row>
    <row r="20" spans="1:12" s="30" customFormat="1">
      <c r="A20" s="588" t="s">
        <v>192</v>
      </c>
      <c r="B20" s="720"/>
      <c r="C20" s="730"/>
      <c r="D20" s="583" t="s">
        <v>189</v>
      </c>
      <c r="E20" s="165"/>
      <c r="F20" s="172"/>
      <c r="G20" s="172"/>
      <c r="H20" s="172"/>
      <c r="I20" s="172"/>
      <c r="J20" s="172"/>
      <c r="K20" s="168">
        <f t="shared" si="0"/>
        <v>0</v>
      </c>
      <c r="L20" s="168">
        <f t="shared" si="1"/>
        <v>0</v>
      </c>
    </row>
    <row r="21" spans="1:12" s="30" customFormat="1" ht="13.5" customHeight="1">
      <c r="A21" s="588" t="s">
        <v>193</v>
      </c>
      <c r="B21" s="720"/>
      <c r="C21" s="730"/>
      <c r="D21" s="583" t="s">
        <v>191</v>
      </c>
      <c r="E21" s="165"/>
      <c r="F21" s="172"/>
      <c r="G21" s="172"/>
      <c r="H21" s="172"/>
      <c r="I21" s="172"/>
      <c r="J21" s="172"/>
      <c r="K21" s="168">
        <f t="shared" si="0"/>
        <v>0</v>
      </c>
      <c r="L21" s="168">
        <f t="shared" si="1"/>
        <v>0</v>
      </c>
    </row>
    <row r="22" spans="1:12" s="30" customFormat="1">
      <c r="A22" s="593" t="s">
        <v>71</v>
      </c>
      <c r="B22" s="720"/>
      <c r="C22" s="730"/>
      <c r="D22" s="583" t="s">
        <v>66</v>
      </c>
      <c r="E22" s="165"/>
      <c r="F22" s="596"/>
      <c r="G22" s="596"/>
      <c r="H22" s="596"/>
      <c r="I22" s="596"/>
      <c r="J22" s="596"/>
      <c r="K22" s="168">
        <f t="shared" si="0"/>
        <v>0</v>
      </c>
      <c r="L22" s="168">
        <f t="shared" si="1"/>
        <v>0</v>
      </c>
    </row>
    <row r="23" spans="1:12" s="30" customFormat="1">
      <c r="A23" s="593" t="s">
        <v>93</v>
      </c>
      <c r="B23" s="720"/>
      <c r="C23" s="727"/>
      <c r="D23" s="583" t="s">
        <v>67</v>
      </c>
      <c r="E23" s="165"/>
      <c r="F23" s="596"/>
      <c r="G23" s="596"/>
      <c r="H23" s="596"/>
      <c r="I23" s="596"/>
      <c r="J23" s="596"/>
      <c r="K23" s="168">
        <f t="shared" si="0"/>
        <v>0</v>
      </c>
      <c r="L23" s="168">
        <f t="shared" si="1"/>
        <v>0</v>
      </c>
    </row>
    <row r="24" spans="1:12" s="30" customFormat="1">
      <c r="A24" s="593" t="s">
        <v>55</v>
      </c>
      <c r="B24" s="720"/>
      <c r="C24" s="710" t="s">
        <v>67</v>
      </c>
      <c r="D24" s="733"/>
      <c r="E24" s="165"/>
      <c r="F24" s="596"/>
      <c r="G24" s="596"/>
      <c r="H24" s="596"/>
      <c r="I24" s="596"/>
      <c r="J24" s="596"/>
      <c r="K24" s="168">
        <f t="shared" si="0"/>
        <v>0</v>
      </c>
      <c r="L24" s="168">
        <f t="shared" si="1"/>
        <v>0</v>
      </c>
    </row>
    <row r="25" spans="1:12" s="30" customFormat="1" ht="13.5" customHeight="1">
      <c r="A25" s="593" t="s">
        <v>94</v>
      </c>
      <c r="B25" s="720" t="s">
        <v>194</v>
      </c>
      <c r="C25" s="710" t="s">
        <v>95</v>
      </c>
      <c r="D25" s="733"/>
      <c r="E25" s="165"/>
      <c r="F25" s="596"/>
      <c r="G25" s="596"/>
      <c r="H25" s="596"/>
      <c r="I25" s="596"/>
      <c r="J25" s="596"/>
      <c r="K25" s="168">
        <f t="shared" si="0"/>
        <v>0</v>
      </c>
      <c r="L25" s="168">
        <f t="shared" si="1"/>
        <v>0</v>
      </c>
    </row>
    <row r="26" spans="1:12" s="30" customFormat="1" ht="13.5" customHeight="1">
      <c r="A26" s="593" t="s">
        <v>96</v>
      </c>
      <c r="B26" s="720"/>
      <c r="C26" s="710" t="s">
        <v>97</v>
      </c>
      <c r="D26" s="733"/>
      <c r="E26" s="165"/>
      <c r="F26" s="596"/>
      <c r="G26" s="596"/>
      <c r="H26" s="596"/>
      <c r="I26" s="596"/>
      <c r="J26" s="596"/>
      <c r="K26" s="168">
        <f t="shared" si="0"/>
        <v>0</v>
      </c>
      <c r="L26" s="168">
        <f t="shared" si="1"/>
        <v>0</v>
      </c>
    </row>
    <row r="27" spans="1:12" s="30" customFormat="1" ht="13.5" customHeight="1">
      <c r="A27" s="593" t="s">
        <v>98</v>
      </c>
      <c r="B27" s="720"/>
      <c r="C27" s="710" t="s">
        <v>99</v>
      </c>
      <c r="D27" s="733"/>
      <c r="E27" s="165"/>
      <c r="F27" s="596"/>
      <c r="G27" s="596"/>
      <c r="H27" s="596"/>
      <c r="I27" s="596"/>
      <c r="J27" s="596"/>
      <c r="K27" s="168">
        <f t="shared" si="0"/>
        <v>0</v>
      </c>
      <c r="L27" s="168">
        <f t="shared" si="1"/>
        <v>0</v>
      </c>
    </row>
    <row r="28" spans="1:12" s="30" customFormat="1" ht="13.5" customHeight="1">
      <c r="A28" s="593" t="s">
        <v>100</v>
      </c>
      <c r="B28" s="720"/>
      <c r="C28" s="710" t="s">
        <v>101</v>
      </c>
      <c r="D28" s="733"/>
      <c r="E28" s="165"/>
      <c r="F28" s="596"/>
      <c r="G28" s="596"/>
      <c r="H28" s="596"/>
      <c r="I28" s="596"/>
      <c r="J28" s="596"/>
      <c r="K28" s="168">
        <f t="shared" si="0"/>
        <v>0</v>
      </c>
      <c r="L28" s="168">
        <f t="shared" si="1"/>
        <v>0</v>
      </c>
    </row>
    <row r="29" spans="1:12" s="30" customFormat="1">
      <c r="A29" s="593" t="s">
        <v>56</v>
      </c>
      <c r="B29" s="720"/>
      <c r="C29" s="710" t="s">
        <v>67</v>
      </c>
      <c r="D29" s="733"/>
      <c r="E29" s="165"/>
      <c r="F29" s="596"/>
      <c r="G29" s="596"/>
      <c r="H29" s="596"/>
      <c r="I29" s="596"/>
      <c r="J29" s="596"/>
      <c r="K29" s="168">
        <f t="shared" si="0"/>
        <v>0</v>
      </c>
      <c r="L29" s="168">
        <f t="shared" si="1"/>
        <v>0</v>
      </c>
    </row>
    <row r="30" spans="1:12" s="30" customFormat="1" ht="13.5" customHeight="1">
      <c r="A30" s="593" t="s">
        <v>72</v>
      </c>
      <c r="B30" s="720" t="s">
        <v>195</v>
      </c>
      <c r="C30" s="710" t="s">
        <v>102</v>
      </c>
      <c r="D30" s="733"/>
      <c r="E30" s="165"/>
      <c r="F30" s="596"/>
      <c r="G30" s="596"/>
      <c r="H30" s="596"/>
      <c r="I30" s="596"/>
      <c r="J30" s="596"/>
      <c r="K30" s="168">
        <f t="shared" si="0"/>
        <v>0</v>
      </c>
      <c r="L30" s="168">
        <f t="shared" si="1"/>
        <v>0</v>
      </c>
    </row>
    <row r="31" spans="1:12" s="30" customFormat="1" ht="13.5" customHeight="1">
      <c r="A31" s="593" t="s">
        <v>73</v>
      </c>
      <c r="B31" s="720"/>
      <c r="C31" s="710" t="s">
        <v>103</v>
      </c>
      <c r="D31" s="733"/>
      <c r="E31" s="165"/>
      <c r="F31" s="596"/>
      <c r="G31" s="596"/>
      <c r="H31" s="596"/>
      <c r="I31" s="596"/>
      <c r="J31" s="596"/>
      <c r="K31" s="168">
        <f t="shared" si="0"/>
        <v>0</v>
      </c>
      <c r="L31" s="168">
        <f t="shared" si="1"/>
        <v>0</v>
      </c>
    </row>
    <row r="32" spans="1:12" s="30" customFormat="1" ht="13.5" customHeight="1">
      <c r="A32" s="593" t="s">
        <v>74</v>
      </c>
      <c r="B32" s="720"/>
      <c r="C32" s="710" t="s">
        <v>104</v>
      </c>
      <c r="D32" s="733"/>
      <c r="E32" s="165"/>
      <c r="F32" s="596"/>
      <c r="G32" s="596"/>
      <c r="H32" s="596"/>
      <c r="I32" s="596"/>
      <c r="J32" s="596"/>
      <c r="K32" s="168">
        <f t="shared" si="0"/>
        <v>0</v>
      </c>
      <c r="L32" s="168">
        <f t="shared" si="1"/>
        <v>0</v>
      </c>
    </row>
    <row r="33" spans="1:12" s="30" customFormat="1" ht="13.5" customHeight="1">
      <c r="A33" s="593" t="s">
        <v>105</v>
      </c>
      <c r="B33" s="720"/>
      <c r="C33" s="710" t="s">
        <v>106</v>
      </c>
      <c r="D33" s="733"/>
      <c r="E33" s="165"/>
      <c r="F33" s="596"/>
      <c r="G33" s="596"/>
      <c r="H33" s="596"/>
      <c r="I33" s="596"/>
      <c r="J33" s="596"/>
      <c r="K33" s="168">
        <f t="shared" si="0"/>
        <v>0</v>
      </c>
      <c r="L33" s="168">
        <f t="shared" si="1"/>
        <v>0</v>
      </c>
    </row>
    <row r="34" spans="1:12" s="30" customFormat="1" ht="13.5" customHeight="1">
      <c r="A34" s="593" t="s">
        <v>107</v>
      </c>
      <c r="B34" s="720"/>
      <c r="C34" s="710" t="s">
        <v>108</v>
      </c>
      <c r="D34" s="733"/>
      <c r="E34" s="165"/>
      <c r="F34" s="596"/>
      <c r="G34" s="596"/>
      <c r="H34" s="596"/>
      <c r="I34" s="596"/>
      <c r="J34" s="596"/>
      <c r="K34" s="168">
        <f t="shared" si="0"/>
        <v>0</v>
      </c>
      <c r="L34" s="168">
        <f t="shared" si="1"/>
        <v>0</v>
      </c>
    </row>
    <row r="35" spans="1:12" s="30" customFormat="1" ht="13.5" customHeight="1">
      <c r="A35" s="593" t="s">
        <v>109</v>
      </c>
      <c r="B35" s="720"/>
      <c r="C35" s="710" t="s">
        <v>110</v>
      </c>
      <c r="D35" s="733"/>
      <c r="E35" s="165"/>
      <c r="F35" s="596"/>
      <c r="G35" s="596"/>
      <c r="H35" s="596"/>
      <c r="I35" s="596"/>
      <c r="J35" s="596"/>
      <c r="K35" s="168">
        <f t="shared" si="0"/>
        <v>0</v>
      </c>
      <c r="L35" s="168">
        <f t="shared" si="1"/>
        <v>0</v>
      </c>
    </row>
    <row r="36" spans="1:12" s="30" customFormat="1">
      <c r="A36" s="593" t="s">
        <v>60</v>
      </c>
      <c r="B36" s="720"/>
      <c r="C36" s="710" t="s">
        <v>67</v>
      </c>
      <c r="D36" s="733"/>
      <c r="E36" s="165"/>
      <c r="F36" s="596"/>
      <c r="G36" s="596"/>
      <c r="H36" s="596"/>
      <c r="I36" s="596"/>
      <c r="J36" s="596"/>
      <c r="K36" s="168">
        <f t="shared" si="0"/>
        <v>0</v>
      </c>
      <c r="L36" s="168">
        <f t="shared" si="1"/>
        <v>0</v>
      </c>
    </row>
    <row r="37" spans="1:12" s="30" customFormat="1" ht="13.5" customHeight="1">
      <c r="A37" s="593" t="s">
        <v>61</v>
      </c>
      <c r="B37" s="710" t="s">
        <v>111</v>
      </c>
      <c r="C37" s="710"/>
      <c r="D37" s="733"/>
      <c r="E37" s="165"/>
      <c r="F37" s="596"/>
      <c r="G37" s="596"/>
      <c r="H37" s="596"/>
      <c r="I37" s="596"/>
      <c r="J37" s="596"/>
      <c r="K37" s="168">
        <f t="shared" si="0"/>
        <v>0</v>
      </c>
      <c r="L37" s="168">
        <f t="shared" si="1"/>
        <v>0</v>
      </c>
    </row>
    <row r="38" spans="1:12" s="30" customFormat="1">
      <c r="A38" s="593" t="s">
        <v>112</v>
      </c>
      <c r="B38" s="720" t="s">
        <v>113</v>
      </c>
      <c r="C38" s="710" t="s">
        <v>114</v>
      </c>
      <c r="D38" s="733"/>
      <c r="E38" s="165"/>
      <c r="F38" s="596"/>
      <c r="G38" s="596"/>
      <c r="H38" s="596"/>
      <c r="I38" s="596"/>
      <c r="J38" s="596"/>
      <c r="K38" s="168">
        <f t="shared" si="0"/>
        <v>0</v>
      </c>
      <c r="L38" s="168">
        <f t="shared" si="1"/>
        <v>0</v>
      </c>
    </row>
    <row r="39" spans="1:12" s="30" customFormat="1" ht="13.5" customHeight="1">
      <c r="A39" s="593" t="s">
        <v>115</v>
      </c>
      <c r="B39" s="720"/>
      <c r="C39" s="710" t="s">
        <v>116</v>
      </c>
      <c r="D39" s="733"/>
      <c r="E39" s="165"/>
      <c r="F39" s="596"/>
      <c r="G39" s="596"/>
      <c r="H39" s="596"/>
      <c r="I39" s="596"/>
      <c r="J39" s="596"/>
      <c r="K39" s="168">
        <f t="shared" si="0"/>
        <v>0</v>
      </c>
      <c r="L39" s="168">
        <f t="shared" si="1"/>
        <v>0</v>
      </c>
    </row>
    <row r="40" spans="1:12" s="30" customFormat="1" ht="13.5" customHeight="1">
      <c r="A40" s="593" t="s">
        <v>117</v>
      </c>
      <c r="B40" s="720"/>
      <c r="C40" s="710" t="s">
        <v>118</v>
      </c>
      <c r="D40" s="733"/>
      <c r="E40" s="165"/>
      <c r="F40" s="596"/>
      <c r="G40" s="596"/>
      <c r="H40" s="596"/>
      <c r="I40" s="596"/>
      <c r="J40" s="596"/>
      <c r="K40" s="168">
        <f t="shared" si="0"/>
        <v>0</v>
      </c>
      <c r="L40" s="168">
        <f t="shared" si="1"/>
        <v>0</v>
      </c>
    </row>
    <row r="41" spans="1:12" s="30" customFormat="1" ht="13.5" customHeight="1">
      <c r="A41" s="593" t="s">
        <v>119</v>
      </c>
      <c r="B41" s="720"/>
      <c r="C41" s="710" t="s">
        <v>120</v>
      </c>
      <c r="D41" s="733"/>
      <c r="E41" s="165"/>
      <c r="F41" s="596"/>
      <c r="G41" s="596"/>
      <c r="H41" s="596"/>
      <c r="I41" s="596"/>
      <c r="J41" s="596"/>
      <c r="K41" s="168">
        <f t="shared" si="0"/>
        <v>0</v>
      </c>
      <c r="L41" s="168">
        <f t="shared" si="1"/>
        <v>0</v>
      </c>
    </row>
    <row r="42" spans="1:12" s="30" customFormat="1" ht="13.5" customHeight="1">
      <c r="A42" s="593" t="s">
        <v>121</v>
      </c>
      <c r="B42" s="720"/>
      <c r="C42" s="710" t="s">
        <v>122</v>
      </c>
      <c r="D42" s="733"/>
      <c r="E42" s="165"/>
      <c r="F42" s="596"/>
      <c r="G42" s="596"/>
      <c r="H42" s="596"/>
      <c r="I42" s="596"/>
      <c r="J42" s="596"/>
      <c r="K42" s="168">
        <f t="shared" si="0"/>
        <v>0</v>
      </c>
      <c r="L42" s="168">
        <f t="shared" si="1"/>
        <v>0</v>
      </c>
    </row>
    <row r="43" spans="1:12" s="30" customFormat="1" ht="13.5" customHeight="1">
      <c r="A43" s="593" t="s">
        <v>123</v>
      </c>
      <c r="B43" s="720"/>
      <c r="C43" s="710" t="s">
        <v>124</v>
      </c>
      <c r="D43" s="733"/>
      <c r="E43" s="165"/>
      <c r="F43" s="596"/>
      <c r="G43" s="596"/>
      <c r="H43" s="596"/>
      <c r="I43" s="596"/>
      <c r="J43" s="596"/>
      <c r="K43" s="168">
        <f t="shared" si="0"/>
        <v>0</v>
      </c>
      <c r="L43" s="168">
        <f t="shared" si="1"/>
        <v>0</v>
      </c>
    </row>
    <row r="44" spans="1:12" s="30" customFormat="1" ht="13.5" customHeight="1">
      <c r="A44" s="593" t="s">
        <v>125</v>
      </c>
      <c r="B44" s="720"/>
      <c r="C44" s="710" t="s">
        <v>126</v>
      </c>
      <c r="D44" s="733"/>
      <c r="E44" s="165"/>
      <c r="F44" s="596"/>
      <c r="G44" s="596"/>
      <c r="H44" s="596"/>
      <c r="I44" s="596"/>
      <c r="J44" s="596"/>
      <c r="K44" s="168">
        <f t="shared" si="0"/>
        <v>0</v>
      </c>
      <c r="L44" s="168">
        <f t="shared" si="1"/>
        <v>0</v>
      </c>
    </row>
    <row r="45" spans="1:12" s="30" customFormat="1" ht="13.5" customHeight="1">
      <c r="A45" s="593" t="s">
        <v>127</v>
      </c>
      <c r="B45" s="720"/>
      <c r="C45" s="710" t="s">
        <v>128</v>
      </c>
      <c r="D45" s="733"/>
      <c r="E45" s="165"/>
      <c r="F45" s="596"/>
      <c r="G45" s="596"/>
      <c r="H45" s="596"/>
      <c r="I45" s="596"/>
      <c r="J45" s="596"/>
      <c r="K45" s="168">
        <f t="shared" si="0"/>
        <v>0</v>
      </c>
      <c r="L45" s="168">
        <f t="shared" si="1"/>
        <v>0</v>
      </c>
    </row>
    <row r="46" spans="1:12" s="30" customFormat="1">
      <c r="A46" s="593" t="s">
        <v>62</v>
      </c>
      <c r="B46" s="720"/>
      <c r="C46" s="710" t="s">
        <v>67</v>
      </c>
      <c r="D46" s="733"/>
      <c r="E46" s="165"/>
      <c r="F46" s="596"/>
      <c r="G46" s="596"/>
      <c r="H46" s="596"/>
      <c r="I46" s="596"/>
      <c r="J46" s="596"/>
      <c r="K46" s="168">
        <f t="shared" si="0"/>
        <v>0</v>
      </c>
      <c r="L46" s="168">
        <f t="shared" si="1"/>
        <v>0</v>
      </c>
    </row>
    <row r="47" spans="1:12" s="30" customFormat="1" ht="13.5" customHeight="1">
      <c r="A47" s="593" t="s">
        <v>129</v>
      </c>
      <c r="B47" s="720" t="s">
        <v>66</v>
      </c>
      <c r="C47" s="710" t="s">
        <v>130</v>
      </c>
      <c r="D47" s="733"/>
      <c r="E47" s="165"/>
      <c r="F47" s="596"/>
      <c r="G47" s="596"/>
      <c r="H47" s="596"/>
      <c r="I47" s="596"/>
      <c r="J47" s="596"/>
      <c r="K47" s="168">
        <f t="shared" si="0"/>
        <v>0</v>
      </c>
      <c r="L47" s="168">
        <f t="shared" si="1"/>
        <v>0</v>
      </c>
    </row>
    <row r="48" spans="1:12" s="30" customFormat="1" ht="13.5" customHeight="1">
      <c r="A48" s="593" t="s">
        <v>131</v>
      </c>
      <c r="B48" s="720"/>
      <c r="C48" s="710" t="s">
        <v>242</v>
      </c>
      <c r="D48" s="710"/>
      <c r="E48" s="165"/>
      <c r="F48" s="596"/>
      <c r="G48" s="596"/>
      <c r="H48" s="596"/>
      <c r="I48" s="596"/>
      <c r="J48" s="596"/>
      <c r="K48" s="168">
        <f t="shared" si="0"/>
        <v>0</v>
      </c>
      <c r="L48" s="168">
        <f t="shared" si="1"/>
        <v>0</v>
      </c>
    </row>
    <row r="49" spans="1:12" s="30" customFormat="1" ht="13.5" customHeight="1">
      <c r="A49" s="593" t="s">
        <v>215</v>
      </c>
      <c r="B49" s="720"/>
      <c r="C49" s="724" t="s">
        <v>216</v>
      </c>
      <c r="D49" s="737"/>
      <c r="E49" s="165"/>
      <c r="F49" s="596"/>
      <c r="G49" s="596"/>
      <c r="H49" s="596"/>
      <c r="I49" s="596"/>
      <c r="J49" s="596"/>
      <c r="K49" s="168">
        <f>SUM(H49:J49)</f>
        <v>0</v>
      </c>
      <c r="L49" s="168">
        <f>F49+G49+K49</f>
        <v>0</v>
      </c>
    </row>
    <row r="50" spans="1:12" s="30" customFormat="1" ht="13.5" customHeight="1">
      <c r="A50" s="593" t="s">
        <v>132</v>
      </c>
      <c r="B50" s="720"/>
      <c r="C50" s="710" t="s">
        <v>133</v>
      </c>
      <c r="D50" s="733"/>
      <c r="E50" s="165"/>
      <c r="F50" s="596"/>
      <c r="G50" s="596"/>
      <c r="H50" s="596"/>
      <c r="I50" s="596"/>
      <c r="J50" s="596"/>
      <c r="K50" s="168">
        <f t="shared" si="0"/>
        <v>0</v>
      </c>
      <c r="L50" s="168">
        <f t="shared" si="1"/>
        <v>0</v>
      </c>
    </row>
    <row r="51" spans="1:12" s="30" customFormat="1" ht="13.5" customHeight="1">
      <c r="A51" s="593" t="s">
        <v>134</v>
      </c>
      <c r="B51" s="720"/>
      <c r="C51" s="710" t="s">
        <v>135</v>
      </c>
      <c r="D51" s="733"/>
      <c r="E51" s="165"/>
      <c r="F51" s="596"/>
      <c r="G51" s="596"/>
      <c r="H51" s="596"/>
      <c r="I51" s="596"/>
      <c r="J51" s="596"/>
      <c r="K51" s="168">
        <f t="shared" si="0"/>
        <v>0</v>
      </c>
      <c r="L51" s="168">
        <f t="shared" si="1"/>
        <v>0</v>
      </c>
    </row>
    <row r="52" spans="1:12" s="30" customFormat="1">
      <c r="A52" s="593" t="s">
        <v>136</v>
      </c>
      <c r="B52" s="720"/>
      <c r="C52" s="710" t="s">
        <v>67</v>
      </c>
      <c r="D52" s="733"/>
      <c r="E52" s="165"/>
      <c r="F52" s="596"/>
      <c r="G52" s="596"/>
      <c r="H52" s="596"/>
      <c r="I52" s="596"/>
      <c r="J52" s="596"/>
      <c r="K52" s="168">
        <f t="shared" si="0"/>
        <v>0</v>
      </c>
      <c r="L52" s="168">
        <f t="shared" si="1"/>
        <v>0</v>
      </c>
    </row>
    <row r="53" spans="1:12" s="30" customFormat="1" ht="13.5" customHeight="1">
      <c r="A53" s="593" t="s">
        <v>63</v>
      </c>
      <c r="B53" s="710" t="s">
        <v>137</v>
      </c>
      <c r="C53" s="710"/>
      <c r="D53" s="733"/>
      <c r="E53" s="165"/>
      <c r="F53" s="596"/>
      <c r="G53" s="596"/>
      <c r="H53" s="596"/>
      <c r="I53" s="596"/>
      <c r="J53" s="596"/>
      <c r="K53" s="168">
        <f t="shared" si="0"/>
        <v>0</v>
      </c>
      <c r="L53" s="168">
        <f t="shared" si="1"/>
        <v>0</v>
      </c>
    </row>
    <row r="54" spans="1:12" s="30" customFormat="1" ht="13.5" customHeight="1">
      <c r="A54" s="608" t="s">
        <v>139</v>
      </c>
      <c r="B54" s="722" t="s">
        <v>138</v>
      </c>
      <c r="C54" s="723" t="s">
        <v>196</v>
      </c>
      <c r="D54" s="723"/>
      <c r="E54" s="165"/>
      <c r="F54" s="596"/>
      <c r="G54" s="596"/>
      <c r="H54" s="596"/>
      <c r="I54" s="596"/>
      <c r="J54" s="596"/>
      <c r="K54" s="168">
        <f t="shared" si="0"/>
        <v>0</v>
      </c>
      <c r="L54" s="168">
        <f t="shared" si="1"/>
        <v>0</v>
      </c>
    </row>
    <row r="55" spans="1:12" s="30" customFormat="1" ht="13.5" customHeight="1">
      <c r="A55" s="609" t="s">
        <v>1733</v>
      </c>
      <c r="B55" s="722"/>
      <c r="C55" s="723" t="s">
        <v>197</v>
      </c>
      <c r="D55" s="723"/>
      <c r="E55" s="165"/>
      <c r="F55" s="596"/>
      <c r="G55" s="596"/>
      <c r="H55" s="596"/>
      <c r="I55" s="596"/>
      <c r="J55" s="596"/>
      <c r="K55" s="168">
        <f t="shared" si="0"/>
        <v>0</v>
      </c>
      <c r="L55" s="168">
        <f t="shared" si="1"/>
        <v>0</v>
      </c>
    </row>
    <row r="56" spans="1:12" s="30" customFormat="1" ht="13.5" customHeight="1">
      <c r="A56" s="608" t="s">
        <v>1734</v>
      </c>
      <c r="B56" s="722"/>
      <c r="C56" s="723" t="s">
        <v>198</v>
      </c>
      <c r="D56" s="723"/>
      <c r="E56" s="165"/>
      <c r="F56" s="596"/>
      <c r="G56" s="596"/>
      <c r="H56" s="596"/>
      <c r="I56" s="596"/>
      <c r="J56" s="596"/>
      <c r="K56" s="168">
        <f t="shared" si="0"/>
        <v>0</v>
      </c>
      <c r="L56" s="168">
        <f t="shared" si="1"/>
        <v>0</v>
      </c>
    </row>
    <row r="57" spans="1:12" s="30" customFormat="1" ht="13.5" customHeight="1">
      <c r="A57" s="608" t="s">
        <v>1735</v>
      </c>
      <c r="B57" s="722"/>
      <c r="C57" s="723" t="s">
        <v>199</v>
      </c>
      <c r="D57" s="723"/>
      <c r="E57" s="165"/>
      <c r="F57" s="596"/>
      <c r="G57" s="596"/>
      <c r="H57" s="596"/>
      <c r="I57" s="596"/>
      <c r="J57" s="596"/>
      <c r="K57" s="168">
        <f t="shared" si="0"/>
        <v>0</v>
      </c>
      <c r="L57" s="168">
        <f t="shared" si="1"/>
        <v>0</v>
      </c>
    </row>
    <row r="58" spans="1:12" s="30" customFormat="1" ht="13.5" customHeight="1">
      <c r="A58" s="608" t="s">
        <v>64</v>
      </c>
      <c r="B58" s="722"/>
      <c r="C58" s="723" t="s">
        <v>67</v>
      </c>
      <c r="D58" s="723"/>
      <c r="E58" s="165"/>
      <c r="F58" s="596"/>
      <c r="G58" s="596"/>
      <c r="H58" s="596"/>
      <c r="I58" s="596"/>
      <c r="J58" s="596"/>
      <c r="K58" s="168">
        <f t="shared" si="0"/>
        <v>0</v>
      </c>
      <c r="L58" s="168">
        <f t="shared" si="1"/>
        <v>0</v>
      </c>
    </row>
    <row r="59" spans="1:12" s="30" customFormat="1" ht="13.5" customHeight="1">
      <c r="A59" s="593" t="s">
        <v>140</v>
      </c>
      <c r="B59" s="720" t="s">
        <v>200</v>
      </c>
      <c r="C59" s="710" t="s">
        <v>141</v>
      </c>
      <c r="D59" s="733"/>
      <c r="E59" s="165"/>
      <c r="F59" s="596"/>
      <c r="G59" s="596"/>
      <c r="H59" s="596"/>
      <c r="I59" s="596"/>
      <c r="J59" s="596"/>
      <c r="K59" s="168">
        <f t="shared" si="0"/>
        <v>0</v>
      </c>
      <c r="L59" s="168">
        <f t="shared" si="1"/>
        <v>0</v>
      </c>
    </row>
    <row r="60" spans="1:12" s="30" customFormat="1" ht="13.5" customHeight="1">
      <c r="A60" s="593" t="s">
        <v>142</v>
      </c>
      <c r="B60" s="720"/>
      <c r="C60" s="710" t="s">
        <v>143</v>
      </c>
      <c r="D60" s="733"/>
      <c r="E60" s="165"/>
      <c r="F60" s="596"/>
      <c r="G60" s="596"/>
      <c r="H60" s="596"/>
      <c r="I60" s="596"/>
      <c r="J60" s="596"/>
      <c r="K60" s="168">
        <f t="shared" si="0"/>
        <v>0</v>
      </c>
      <c r="L60" s="168">
        <f t="shared" si="1"/>
        <v>0</v>
      </c>
    </row>
    <row r="61" spans="1:12" s="30" customFormat="1" ht="13.5" customHeight="1">
      <c r="A61" s="593" t="s">
        <v>144</v>
      </c>
      <c r="B61" s="720"/>
      <c r="C61" s="710" t="s">
        <v>145</v>
      </c>
      <c r="D61" s="733"/>
      <c r="E61" s="165"/>
      <c r="F61" s="596"/>
      <c r="G61" s="596"/>
      <c r="H61" s="596"/>
      <c r="I61" s="596"/>
      <c r="J61" s="596"/>
      <c r="K61" s="168">
        <f t="shared" si="0"/>
        <v>0</v>
      </c>
      <c r="L61" s="168">
        <f t="shared" si="1"/>
        <v>0</v>
      </c>
    </row>
    <row r="62" spans="1:12" s="30" customFormat="1" ht="13.5" customHeight="1">
      <c r="A62" s="593" t="s">
        <v>146</v>
      </c>
      <c r="B62" s="720"/>
      <c r="C62" s="710" t="s">
        <v>147</v>
      </c>
      <c r="D62" s="733"/>
      <c r="E62" s="165"/>
      <c r="F62" s="596"/>
      <c r="G62" s="596"/>
      <c r="H62" s="596"/>
      <c r="I62" s="596"/>
      <c r="J62" s="596"/>
      <c r="K62" s="168">
        <f t="shared" si="0"/>
        <v>0</v>
      </c>
      <c r="L62" s="168">
        <f t="shared" si="1"/>
        <v>0</v>
      </c>
    </row>
    <row r="63" spans="1:12" s="30" customFormat="1" ht="13.5" customHeight="1">
      <c r="A63" s="588" t="s">
        <v>201</v>
      </c>
      <c r="B63" s="720"/>
      <c r="C63" s="710" t="s">
        <v>202</v>
      </c>
      <c r="D63" s="733"/>
      <c r="E63" s="165"/>
      <c r="F63" s="596"/>
      <c r="G63" s="596"/>
      <c r="H63" s="596"/>
      <c r="I63" s="596"/>
      <c r="J63" s="596"/>
      <c r="K63" s="168">
        <f>SUM(H63:J63)</f>
        <v>0</v>
      </c>
      <c r="L63" s="168">
        <f>F63+G63+K63</f>
        <v>0</v>
      </c>
    </row>
    <row r="64" spans="1:12" s="30" customFormat="1" ht="13.5" customHeight="1">
      <c r="A64" s="593" t="s">
        <v>148</v>
      </c>
      <c r="B64" s="720"/>
      <c r="C64" s="710" t="s">
        <v>67</v>
      </c>
      <c r="D64" s="733"/>
      <c r="E64" s="165"/>
      <c r="F64" s="596"/>
      <c r="G64" s="596"/>
      <c r="H64" s="596"/>
      <c r="I64" s="596"/>
      <c r="J64" s="596"/>
      <c r="K64" s="168">
        <f t="shared" ref="K64:K77" si="2">SUM(H64:J64)</f>
        <v>0</v>
      </c>
      <c r="L64" s="168">
        <f t="shared" ref="L64:L77" si="3">F64+G64+K64</f>
        <v>0</v>
      </c>
    </row>
    <row r="65" spans="1:12" s="30" customFormat="1" ht="13.5" customHeight="1">
      <c r="A65" s="593" t="s">
        <v>149</v>
      </c>
      <c r="B65" s="720" t="s">
        <v>203</v>
      </c>
      <c r="C65" s="710" t="s">
        <v>150</v>
      </c>
      <c r="D65" s="733"/>
      <c r="E65" s="165"/>
      <c r="F65" s="597"/>
      <c r="G65" s="736"/>
      <c r="H65" s="736"/>
      <c r="I65" s="597"/>
      <c r="J65" s="597"/>
      <c r="K65" s="168">
        <f t="shared" si="2"/>
        <v>0</v>
      </c>
      <c r="L65" s="168">
        <f t="shared" si="3"/>
        <v>0</v>
      </c>
    </row>
    <row r="66" spans="1:12" s="30" customFormat="1" ht="13.5" customHeight="1">
      <c r="A66" s="593" t="s">
        <v>151</v>
      </c>
      <c r="B66" s="720"/>
      <c r="C66" s="710" t="s">
        <v>152</v>
      </c>
      <c r="D66" s="733"/>
      <c r="E66" s="165"/>
      <c r="F66" s="597"/>
      <c r="G66" s="597"/>
      <c r="H66" s="597"/>
      <c r="I66" s="597"/>
      <c r="J66" s="597"/>
      <c r="K66" s="168">
        <f t="shared" si="2"/>
        <v>0</v>
      </c>
      <c r="L66" s="168">
        <f t="shared" si="3"/>
        <v>0</v>
      </c>
    </row>
    <row r="67" spans="1:12" s="30" customFormat="1" ht="13.5" customHeight="1">
      <c r="A67" s="593" t="s">
        <v>153</v>
      </c>
      <c r="B67" s="720"/>
      <c r="C67" s="710" t="s">
        <v>67</v>
      </c>
      <c r="D67" s="733"/>
      <c r="E67" s="165"/>
      <c r="F67" s="596"/>
      <c r="G67" s="596"/>
      <c r="H67" s="596"/>
      <c r="I67" s="596"/>
      <c r="J67" s="596"/>
      <c r="K67" s="168">
        <f t="shared" si="2"/>
        <v>0</v>
      </c>
      <c r="L67" s="168">
        <f t="shared" si="3"/>
        <v>0</v>
      </c>
    </row>
    <row r="68" spans="1:12" s="30" customFormat="1" ht="13.5" customHeight="1">
      <c r="A68" s="593" t="s">
        <v>154</v>
      </c>
      <c r="B68" s="720" t="s">
        <v>155</v>
      </c>
      <c r="C68" s="710" t="s">
        <v>156</v>
      </c>
      <c r="D68" s="733"/>
      <c r="E68" s="165"/>
      <c r="F68" s="598"/>
      <c r="G68" s="598"/>
      <c r="H68" s="598"/>
      <c r="I68" s="598"/>
      <c r="J68" s="598"/>
      <c r="K68" s="172">
        <f t="shared" si="2"/>
        <v>0</v>
      </c>
      <c r="L68" s="172">
        <f t="shared" si="3"/>
        <v>0</v>
      </c>
    </row>
    <row r="69" spans="1:12" s="30" customFormat="1" ht="13.5" customHeight="1">
      <c r="A69" s="593" t="s">
        <v>157</v>
      </c>
      <c r="B69" s="720"/>
      <c r="C69" s="710" t="s">
        <v>158</v>
      </c>
      <c r="D69" s="733"/>
      <c r="E69" s="165"/>
      <c r="F69" s="598"/>
      <c r="G69" s="596"/>
      <c r="H69" s="596"/>
      <c r="I69" s="596"/>
      <c r="J69" s="596"/>
      <c r="K69" s="172">
        <f t="shared" si="2"/>
        <v>0</v>
      </c>
      <c r="L69" s="172">
        <f t="shared" si="3"/>
        <v>0</v>
      </c>
    </row>
    <row r="70" spans="1:12" s="30" customFormat="1" ht="13.5" customHeight="1">
      <c r="A70" s="593" t="s">
        <v>159</v>
      </c>
      <c r="B70" s="720"/>
      <c r="C70" s="710" t="s">
        <v>160</v>
      </c>
      <c r="D70" s="733"/>
      <c r="E70" s="165"/>
      <c r="F70" s="598"/>
      <c r="G70" s="596"/>
      <c r="H70" s="596"/>
      <c r="I70" s="596"/>
      <c r="J70" s="596"/>
      <c r="K70" s="172">
        <f t="shared" si="2"/>
        <v>0</v>
      </c>
      <c r="L70" s="172">
        <f t="shared" si="3"/>
        <v>0</v>
      </c>
    </row>
    <row r="71" spans="1:12" s="30" customFormat="1" ht="13.5" customHeight="1">
      <c r="A71" s="593" t="s">
        <v>161</v>
      </c>
      <c r="B71" s="720"/>
      <c r="C71" s="710" t="s">
        <v>162</v>
      </c>
      <c r="D71" s="733"/>
      <c r="E71" s="165"/>
      <c r="F71" s="598"/>
      <c r="G71" s="596"/>
      <c r="H71" s="596"/>
      <c r="I71" s="596"/>
      <c r="J71" s="596"/>
      <c r="K71" s="172">
        <f t="shared" si="2"/>
        <v>0</v>
      </c>
      <c r="L71" s="172">
        <f t="shared" si="3"/>
        <v>0</v>
      </c>
    </row>
    <row r="72" spans="1:12" s="30" customFormat="1" ht="13.5" customHeight="1">
      <c r="A72" s="593" t="s">
        <v>163</v>
      </c>
      <c r="B72" s="720"/>
      <c r="C72" s="710" t="s">
        <v>67</v>
      </c>
      <c r="D72" s="733"/>
      <c r="E72" s="165"/>
      <c r="F72" s="598"/>
      <c r="G72" s="598"/>
      <c r="H72" s="598"/>
      <c r="I72" s="598"/>
      <c r="J72" s="598"/>
      <c r="K72" s="172">
        <f t="shared" si="2"/>
        <v>0</v>
      </c>
      <c r="L72" s="172">
        <f t="shared" si="3"/>
        <v>0</v>
      </c>
    </row>
    <row r="73" spans="1:12" s="30" customFormat="1" ht="14.4" customHeight="1">
      <c r="A73" s="588" t="s">
        <v>1715</v>
      </c>
      <c r="B73" s="711" t="s">
        <v>243</v>
      </c>
      <c r="C73" s="734"/>
      <c r="D73" s="735"/>
      <c r="E73" s="165"/>
      <c r="F73" s="168"/>
      <c r="G73" s="168"/>
      <c r="H73" s="168"/>
      <c r="I73" s="168"/>
      <c r="J73" s="168"/>
      <c r="K73" s="172"/>
      <c r="L73" s="592"/>
    </row>
    <row r="74" spans="1:12" s="30" customFormat="1" ht="13.5" customHeight="1">
      <c r="A74" s="599" t="s">
        <v>164</v>
      </c>
      <c r="B74" s="710" t="s">
        <v>165</v>
      </c>
      <c r="C74" s="710"/>
      <c r="D74" s="733"/>
      <c r="E74" s="165"/>
      <c r="F74" s="736"/>
      <c r="G74" s="736"/>
      <c r="H74" s="736"/>
      <c r="I74" s="736"/>
      <c r="J74" s="736"/>
      <c r="K74" s="168">
        <f t="shared" si="2"/>
        <v>0</v>
      </c>
      <c r="L74" s="168">
        <f t="shared" si="3"/>
        <v>0</v>
      </c>
    </row>
    <row r="75" spans="1:12" s="30" customFormat="1" ht="13.5" customHeight="1">
      <c r="A75" s="180" t="s">
        <v>248</v>
      </c>
      <c r="B75" s="714" t="s">
        <v>167</v>
      </c>
      <c r="C75" s="715"/>
      <c r="D75" s="715"/>
      <c r="E75" s="165"/>
      <c r="F75" s="598"/>
      <c r="G75" s="598"/>
      <c r="H75" s="598"/>
      <c r="I75" s="598"/>
      <c r="J75" s="598"/>
      <c r="K75" s="168">
        <f t="shared" si="2"/>
        <v>0</v>
      </c>
      <c r="L75" s="168">
        <f t="shared" si="3"/>
        <v>0</v>
      </c>
    </row>
    <row r="76" spans="1:12" s="30" customFormat="1" ht="13.5" customHeight="1">
      <c r="A76" s="593" t="s">
        <v>249</v>
      </c>
      <c r="B76" s="717" t="s">
        <v>241</v>
      </c>
      <c r="C76" s="718"/>
      <c r="D76" s="719"/>
      <c r="E76" s="165"/>
      <c r="F76" s="598"/>
      <c r="G76" s="598"/>
      <c r="H76" s="598"/>
      <c r="I76" s="598"/>
      <c r="J76" s="598"/>
      <c r="K76" s="168">
        <f t="shared" si="2"/>
        <v>0</v>
      </c>
      <c r="L76" s="168">
        <f t="shared" si="3"/>
        <v>0</v>
      </c>
    </row>
    <row r="77" spans="1:12" s="30" customFormat="1" ht="13.5" customHeight="1">
      <c r="A77" s="593" t="s">
        <v>168</v>
      </c>
      <c r="B77" s="717" t="s">
        <v>169</v>
      </c>
      <c r="C77" s="718"/>
      <c r="D77" s="718"/>
      <c r="E77" s="165"/>
      <c r="F77" s="598"/>
      <c r="G77" s="598"/>
      <c r="H77" s="598"/>
      <c r="I77" s="598"/>
      <c r="J77" s="598"/>
      <c r="K77" s="168">
        <f t="shared" si="2"/>
        <v>0</v>
      </c>
      <c r="L77" s="168">
        <f t="shared" si="3"/>
        <v>0</v>
      </c>
    </row>
    <row r="78" spans="1:12" s="30" customFormat="1">
      <c r="C78" s="159"/>
      <c r="D78" s="159"/>
      <c r="E78" s="159"/>
    </row>
    <row r="79" spans="1:12" s="191" customFormat="1">
      <c r="A79" s="189" t="s">
        <v>547</v>
      </c>
      <c r="C79" s="190"/>
    </row>
    <row r="80" spans="1:12" s="191" customFormat="1">
      <c r="C80" s="190"/>
    </row>
    <row r="81" spans="1:10" s="193" customFormat="1">
      <c r="A81" s="192" t="s">
        <v>59</v>
      </c>
      <c r="C81" s="194"/>
      <c r="D81" s="194"/>
      <c r="E81" s="194"/>
    </row>
    <row r="82" spans="1:10" s="193" customFormat="1" ht="9.75" customHeight="1">
      <c r="C82" s="194"/>
      <c r="D82" s="194"/>
      <c r="E82" s="194"/>
    </row>
    <row r="83" spans="1:10" s="193" customFormat="1">
      <c r="A83" s="193" t="s">
        <v>912</v>
      </c>
      <c r="C83" s="194"/>
      <c r="D83" s="194"/>
      <c r="E83" s="194"/>
    </row>
    <row r="84" spans="1:10" s="193" customFormat="1" ht="6" customHeight="1">
      <c r="C84" s="194"/>
      <c r="D84" s="194"/>
      <c r="E84" s="194"/>
    </row>
    <row r="85" spans="1:10" s="193" customFormat="1">
      <c r="A85" s="193" t="s">
        <v>913</v>
      </c>
      <c r="C85" s="194"/>
      <c r="D85" s="194"/>
      <c r="E85" s="194"/>
    </row>
    <row r="86" spans="1:10" s="193" customFormat="1">
      <c r="A86" s="193" t="s">
        <v>204</v>
      </c>
      <c r="C86" s="194"/>
      <c r="D86" s="194"/>
      <c r="E86" s="194"/>
    </row>
    <row r="87" spans="1:10" s="193" customFormat="1">
      <c r="A87" s="193" t="s">
        <v>205</v>
      </c>
      <c r="C87" s="194"/>
      <c r="D87" s="194"/>
      <c r="E87" s="194"/>
    </row>
    <row r="88" spans="1:10" s="193" customFormat="1">
      <c r="A88" s="193" t="s">
        <v>206</v>
      </c>
      <c r="C88" s="194"/>
      <c r="D88" s="194"/>
      <c r="E88" s="194"/>
    </row>
    <row r="89" spans="1:10" s="193" customFormat="1" ht="6.75" customHeight="1">
      <c r="C89" s="194"/>
      <c r="D89" s="194"/>
      <c r="E89" s="194"/>
    </row>
    <row r="90" spans="1:10" s="193" customFormat="1">
      <c r="A90" s="151" t="s">
        <v>177</v>
      </c>
      <c r="B90" s="195"/>
      <c r="C90" s="190"/>
      <c r="D90" s="191"/>
      <c r="E90" s="191"/>
      <c r="F90" s="191"/>
      <c r="G90" s="191"/>
      <c r="H90" s="191"/>
      <c r="I90" s="191"/>
      <c r="J90" s="191"/>
    </row>
    <row r="91" spans="1:10" s="193" customFormat="1">
      <c r="A91" s="154" t="s">
        <v>178</v>
      </c>
      <c r="B91" s="195"/>
      <c r="C91" s="190"/>
      <c r="D91" s="191"/>
      <c r="E91" s="191"/>
      <c r="F91" s="191"/>
      <c r="G91" s="191"/>
      <c r="H91" s="191"/>
      <c r="I91" s="191"/>
      <c r="J91" s="191"/>
    </row>
    <row r="92" spans="1:10" s="193" customFormat="1">
      <c r="A92" s="154" t="s">
        <v>207</v>
      </c>
      <c r="B92" s="195"/>
      <c r="C92" s="190"/>
      <c r="D92" s="191"/>
      <c r="E92" s="191"/>
      <c r="F92" s="191"/>
      <c r="G92" s="191"/>
      <c r="H92" s="191"/>
      <c r="I92" s="191"/>
      <c r="J92" s="191"/>
    </row>
    <row r="93" spans="1:10" s="193" customFormat="1">
      <c r="A93" s="154" t="s">
        <v>208</v>
      </c>
      <c r="B93" s="195"/>
      <c r="C93" s="190"/>
      <c r="D93" s="191"/>
      <c r="E93" s="191"/>
      <c r="F93" s="191"/>
      <c r="G93" s="191"/>
      <c r="H93" s="191"/>
      <c r="I93" s="191"/>
      <c r="J93" s="191"/>
    </row>
    <row r="94" spans="1:10" s="193" customFormat="1">
      <c r="A94" s="154" t="s">
        <v>183</v>
      </c>
      <c r="C94" s="194"/>
      <c r="D94" s="194"/>
      <c r="E94" s="194"/>
    </row>
    <row r="95" spans="1:10" s="193" customFormat="1">
      <c r="A95" s="193" t="s">
        <v>218</v>
      </c>
      <c r="C95" s="194"/>
      <c r="D95" s="194"/>
      <c r="E95" s="194"/>
    </row>
    <row r="96" spans="1:10" s="193" customFormat="1">
      <c r="A96" s="193" t="s">
        <v>914</v>
      </c>
      <c r="C96" s="194"/>
      <c r="D96" s="194"/>
      <c r="E96" s="194"/>
    </row>
    <row r="97" spans="3:5" s="30" customFormat="1">
      <c r="C97" s="159"/>
      <c r="D97" s="159"/>
      <c r="E97" s="159"/>
    </row>
  </sheetData>
  <mergeCells count="77">
    <mergeCell ref="L9:L10"/>
    <mergeCell ref="A8:D10"/>
    <mergeCell ref="E9:E10"/>
    <mergeCell ref="F9:F10"/>
    <mergeCell ref="G9:G10"/>
    <mergeCell ref="H9:K9"/>
    <mergeCell ref="B11:D11"/>
    <mergeCell ref="B12:B24"/>
    <mergeCell ref="C12:D12"/>
    <mergeCell ref="C13:D13"/>
    <mergeCell ref="C14:D14"/>
    <mergeCell ref="C15:D15"/>
    <mergeCell ref="C16:C23"/>
    <mergeCell ref="C24:D24"/>
    <mergeCell ref="B25:B29"/>
    <mergeCell ref="C25:D25"/>
    <mergeCell ref="C26:D26"/>
    <mergeCell ref="C27:D27"/>
    <mergeCell ref="C28:D28"/>
    <mergeCell ref="C29:D29"/>
    <mergeCell ref="B30:B36"/>
    <mergeCell ref="C30:D30"/>
    <mergeCell ref="C31:D31"/>
    <mergeCell ref="C32:D32"/>
    <mergeCell ref="C33:D33"/>
    <mergeCell ref="C34:D34"/>
    <mergeCell ref="C35:D35"/>
    <mergeCell ref="C36:D36"/>
    <mergeCell ref="B37:D37"/>
    <mergeCell ref="B38:B46"/>
    <mergeCell ref="C38:D38"/>
    <mergeCell ref="C39:D39"/>
    <mergeCell ref="C40:D40"/>
    <mergeCell ref="C41:D41"/>
    <mergeCell ref="C42:D42"/>
    <mergeCell ref="C43:D43"/>
    <mergeCell ref="C44:D44"/>
    <mergeCell ref="C45:D45"/>
    <mergeCell ref="C46:D46"/>
    <mergeCell ref="B47:B52"/>
    <mergeCell ref="C47:D47"/>
    <mergeCell ref="C48:D48"/>
    <mergeCell ref="C49:D49"/>
    <mergeCell ref="C50:D50"/>
    <mergeCell ref="C51:D51"/>
    <mergeCell ref="C52:D52"/>
    <mergeCell ref="B53:D53"/>
    <mergeCell ref="B54:B58"/>
    <mergeCell ref="C54:D54"/>
    <mergeCell ref="C55:D55"/>
    <mergeCell ref="C56:D56"/>
    <mergeCell ref="C57:D57"/>
    <mergeCell ref="C58:D58"/>
    <mergeCell ref="B59:B64"/>
    <mergeCell ref="C59:D59"/>
    <mergeCell ref="C60:D60"/>
    <mergeCell ref="C61:D61"/>
    <mergeCell ref="C62:D62"/>
    <mergeCell ref="C63:D63"/>
    <mergeCell ref="C64:D64"/>
    <mergeCell ref="B65:B67"/>
    <mergeCell ref="C65:D65"/>
    <mergeCell ref="G65:H65"/>
    <mergeCell ref="C66:D66"/>
    <mergeCell ref="C67:D67"/>
    <mergeCell ref="B77:D77"/>
    <mergeCell ref="C72:D72"/>
    <mergeCell ref="B73:D73"/>
    <mergeCell ref="B74:D74"/>
    <mergeCell ref="F74:J74"/>
    <mergeCell ref="B75:D75"/>
    <mergeCell ref="B76:D76"/>
    <mergeCell ref="B68:B72"/>
    <mergeCell ref="C68:D68"/>
    <mergeCell ref="C69:D69"/>
    <mergeCell ref="C70:D70"/>
    <mergeCell ref="C71:D71"/>
  </mergeCells>
  <phoneticPr fontId="6" type="noConversion"/>
  <pageMargins left="0.56000000000000005" right="0.35" top="0.6" bottom="0.46" header="0.5" footer="0.5"/>
  <pageSetup paperSize="9" scale="61" fitToWidth="0" orientation="portrait" horizontalDpi="4294967292" r:id="rId1"/>
  <headerFooter alignWithMargins="0"/>
  <colBreaks count="1" manualBreakCount="1">
    <brk id="12" max="71" man="1"/>
  </col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CC4145-EF36-4144-B5C8-A204E54DF50B}">
  <sheetPr>
    <tabColor rgb="FFFFFF00"/>
  </sheetPr>
  <dimension ref="A1:L101"/>
  <sheetViews>
    <sheetView showGridLines="0" view="pageBreakPreview" zoomScaleNormal="85" zoomScaleSheetLayoutView="100" workbookViewId="0">
      <pane xSplit="5" ySplit="10" topLeftCell="F11" activePane="bottomRight" state="frozen"/>
      <selection activeCell="J111" sqref="J111"/>
      <selection pane="topRight" activeCell="J111" sqref="J111"/>
      <selection pane="bottomLeft" activeCell="J111" sqref="J111"/>
      <selection pane="bottomRight" activeCell="F11" sqref="F11"/>
    </sheetView>
  </sheetViews>
  <sheetFormatPr defaultColWidth="8.8984375" defaultRowHeight="14.4"/>
  <cols>
    <col min="1" max="1" width="6" style="14" customWidth="1"/>
    <col min="2" max="2" width="10.09765625" style="14" customWidth="1"/>
    <col min="3" max="3" width="4.69921875" style="44" customWidth="1"/>
    <col min="4" max="4" width="23.59765625" style="44" customWidth="1"/>
    <col min="5" max="5" width="19" style="44" customWidth="1"/>
    <col min="6" max="6" width="11.296875" style="14" bestFit="1" customWidth="1"/>
    <col min="7" max="8" width="9" style="14" customWidth="1"/>
    <col min="9" max="10" width="8.59765625" style="14" bestFit="1" customWidth="1"/>
    <col min="11" max="11" width="11" style="14" bestFit="1" customWidth="1"/>
    <col min="12" max="12" width="11.296875" style="14" customWidth="1"/>
    <col min="13" max="16384" width="8.8984375" style="14"/>
  </cols>
  <sheetData>
    <row r="1" spans="1:12">
      <c r="A1" s="520"/>
    </row>
    <row r="5" spans="1:12" s="157" customFormat="1" ht="20.399999999999999">
      <c r="A5" s="157" t="s">
        <v>1729</v>
      </c>
      <c r="C5" s="158"/>
      <c r="D5" s="158"/>
      <c r="E5" s="158"/>
    </row>
    <row r="6" spans="1:12" s="30" customFormat="1">
      <c r="C6" s="159"/>
      <c r="D6" s="159"/>
      <c r="E6" s="159"/>
    </row>
    <row r="7" spans="1:12" s="30" customFormat="1">
      <c r="A7" s="160" t="s">
        <v>171</v>
      </c>
      <c r="B7" s="160"/>
      <c r="C7" s="160"/>
      <c r="D7" s="160"/>
      <c r="E7" s="160"/>
      <c r="F7" s="29"/>
      <c r="G7" s="29"/>
      <c r="H7" s="29"/>
      <c r="I7" s="29"/>
      <c r="J7" s="29"/>
      <c r="K7" s="29"/>
      <c r="L7" s="161"/>
    </row>
    <row r="8" spans="1:12" s="30" customFormat="1">
      <c r="A8" s="738" t="s">
        <v>54</v>
      </c>
      <c r="B8" s="739"/>
      <c r="C8" s="739"/>
      <c r="D8" s="739"/>
      <c r="E8" s="581" t="s">
        <v>179</v>
      </c>
      <c r="F8" s="581" t="s">
        <v>55</v>
      </c>
      <c r="G8" s="581" t="s">
        <v>56</v>
      </c>
      <c r="H8" s="581" t="s">
        <v>72</v>
      </c>
      <c r="I8" s="581" t="s">
        <v>73</v>
      </c>
      <c r="J8" s="581" t="s">
        <v>74</v>
      </c>
      <c r="K8" s="581" t="s">
        <v>60</v>
      </c>
      <c r="L8" s="581" t="s">
        <v>61</v>
      </c>
    </row>
    <row r="9" spans="1:12" s="30" customFormat="1" ht="13.5" customHeight="1">
      <c r="A9" s="740"/>
      <c r="B9" s="741"/>
      <c r="C9" s="741"/>
      <c r="D9" s="741"/>
      <c r="E9" s="720" t="s">
        <v>182</v>
      </c>
      <c r="F9" s="720" t="s">
        <v>75</v>
      </c>
      <c r="G9" s="720" t="s">
        <v>76</v>
      </c>
      <c r="H9" s="720" t="s">
        <v>77</v>
      </c>
      <c r="I9" s="720"/>
      <c r="J9" s="720"/>
      <c r="K9" s="720"/>
      <c r="L9" s="720" t="s">
        <v>78</v>
      </c>
    </row>
    <row r="10" spans="1:12" s="30" customFormat="1">
      <c r="A10" s="742"/>
      <c r="B10" s="743"/>
      <c r="C10" s="743"/>
      <c r="D10" s="743"/>
      <c r="E10" s="720"/>
      <c r="F10" s="720"/>
      <c r="G10" s="720"/>
      <c r="H10" s="581" t="s">
        <v>79</v>
      </c>
      <c r="I10" s="581" t="s">
        <v>80</v>
      </c>
      <c r="J10" s="581" t="s">
        <v>81</v>
      </c>
      <c r="K10" s="581" t="s">
        <v>82</v>
      </c>
      <c r="L10" s="720"/>
    </row>
    <row r="11" spans="1:12" s="30" customFormat="1">
      <c r="A11" s="581" t="s">
        <v>179</v>
      </c>
      <c r="B11" s="726" t="s">
        <v>184</v>
      </c>
      <c r="C11" s="726"/>
      <c r="D11" s="726"/>
      <c r="E11" s="581" t="s">
        <v>185</v>
      </c>
      <c r="F11" s="165"/>
      <c r="G11" s="165"/>
      <c r="H11" s="165"/>
      <c r="I11" s="165"/>
      <c r="J11" s="165"/>
      <c r="K11" s="165"/>
      <c r="L11" s="165"/>
    </row>
    <row r="12" spans="1:12" s="30" customFormat="1" ht="13.5" customHeight="1">
      <c r="A12" s="593" t="s">
        <v>83</v>
      </c>
      <c r="B12" s="720" t="s">
        <v>186</v>
      </c>
      <c r="C12" s="710" t="s">
        <v>84</v>
      </c>
      <c r="D12" s="733"/>
      <c r="E12" s="165"/>
      <c r="F12" s="596"/>
      <c r="G12" s="596"/>
      <c r="H12" s="596"/>
      <c r="I12" s="596"/>
      <c r="J12" s="596"/>
      <c r="K12" s="168">
        <f t="shared" ref="K12:K63" si="0">SUM(H12:J12)</f>
        <v>0</v>
      </c>
      <c r="L12" s="168">
        <f t="shared" ref="L12:L63" si="1">F12+G12+K12</f>
        <v>0</v>
      </c>
    </row>
    <row r="13" spans="1:12" s="30" customFormat="1" ht="13.5" customHeight="1">
      <c r="A13" s="593" t="s">
        <v>85</v>
      </c>
      <c r="B13" s="720"/>
      <c r="C13" s="710" t="s">
        <v>86</v>
      </c>
      <c r="D13" s="733"/>
      <c r="E13" s="165"/>
      <c r="F13" s="596"/>
      <c r="G13" s="596"/>
      <c r="H13" s="596"/>
      <c r="I13" s="596"/>
      <c r="J13" s="596"/>
      <c r="K13" s="168">
        <f t="shared" si="0"/>
        <v>0</v>
      </c>
      <c r="L13" s="168">
        <f t="shared" si="1"/>
        <v>0</v>
      </c>
    </row>
    <row r="14" spans="1:12" s="30" customFormat="1" ht="13.5" customHeight="1">
      <c r="A14" s="593" t="s">
        <v>87</v>
      </c>
      <c r="B14" s="720"/>
      <c r="C14" s="710" t="s">
        <v>57</v>
      </c>
      <c r="D14" s="733"/>
      <c r="E14" s="165"/>
      <c r="F14" s="596"/>
      <c r="G14" s="596"/>
      <c r="H14" s="596"/>
      <c r="I14" s="596"/>
      <c r="J14" s="596"/>
      <c r="K14" s="168">
        <f t="shared" si="0"/>
        <v>0</v>
      </c>
      <c r="L14" s="168">
        <f t="shared" si="1"/>
        <v>0</v>
      </c>
    </row>
    <row r="15" spans="1:12" s="30" customFormat="1" ht="13.5" customHeight="1">
      <c r="A15" s="593" t="s">
        <v>88</v>
      </c>
      <c r="B15" s="720"/>
      <c r="C15" s="710" t="s">
        <v>58</v>
      </c>
      <c r="D15" s="733"/>
      <c r="E15" s="165"/>
      <c r="F15" s="596"/>
      <c r="G15" s="596"/>
      <c r="H15" s="596"/>
      <c r="I15" s="596"/>
      <c r="J15" s="596"/>
      <c r="K15" s="168">
        <f t="shared" si="0"/>
        <v>0</v>
      </c>
      <c r="L15" s="168">
        <f t="shared" si="1"/>
        <v>0</v>
      </c>
    </row>
    <row r="16" spans="1:12" s="30" customFormat="1" ht="13.5" customHeight="1">
      <c r="A16" s="593" t="s">
        <v>89</v>
      </c>
      <c r="B16" s="720"/>
      <c r="C16" s="729" t="s">
        <v>187</v>
      </c>
      <c r="D16" s="583" t="s">
        <v>90</v>
      </c>
      <c r="E16" s="165"/>
      <c r="F16" s="172">
        <f>F17+F18</f>
        <v>0</v>
      </c>
      <c r="G16" s="172">
        <f>G17+G18</f>
        <v>0</v>
      </c>
      <c r="H16" s="172">
        <f>H17+H18</f>
        <v>0</v>
      </c>
      <c r="I16" s="172">
        <f>I17+I18</f>
        <v>0</v>
      </c>
      <c r="J16" s="172">
        <f>J17+J18</f>
        <v>0</v>
      </c>
      <c r="K16" s="168">
        <f t="shared" si="0"/>
        <v>0</v>
      </c>
      <c r="L16" s="168">
        <f t="shared" si="1"/>
        <v>0</v>
      </c>
    </row>
    <row r="17" spans="1:12" s="30" customFormat="1" ht="13.5" customHeight="1">
      <c r="A17" s="588" t="s">
        <v>188</v>
      </c>
      <c r="B17" s="720"/>
      <c r="C17" s="730"/>
      <c r="D17" s="583" t="s">
        <v>189</v>
      </c>
      <c r="E17" s="165"/>
      <c r="F17" s="172"/>
      <c r="G17" s="172"/>
      <c r="H17" s="172"/>
      <c r="I17" s="172"/>
      <c r="J17" s="172"/>
      <c r="K17" s="168">
        <f t="shared" si="0"/>
        <v>0</v>
      </c>
      <c r="L17" s="168">
        <f t="shared" si="1"/>
        <v>0</v>
      </c>
    </row>
    <row r="18" spans="1:12" s="30" customFormat="1" ht="13.5" customHeight="1">
      <c r="A18" s="588" t="s">
        <v>190</v>
      </c>
      <c r="B18" s="720"/>
      <c r="C18" s="730"/>
      <c r="D18" s="583" t="s">
        <v>191</v>
      </c>
      <c r="E18" s="165"/>
      <c r="F18" s="172"/>
      <c r="G18" s="172"/>
      <c r="H18" s="172"/>
      <c r="I18" s="172"/>
      <c r="J18" s="172"/>
      <c r="K18" s="168">
        <f t="shared" si="0"/>
        <v>0</v>
      </c>
      <c r="L18" s="168">
        <f t="shared" si="1"/>
        <v>0</v>
      </c>
    </row>
    <row r="19" spans="1:12" s="30" customFormat="1">
      <c r="A19" s="593" t="s">
        <v>91</v>
      </c>
      <c r="B19" s="720"/>
      <c r="C19" s="730"/>
      <c r="D19" s="583" t="s">
        <v>92</v>
      </c>
      <c r="E19" s="165"/>
      <c r="F19" s="172">
        <f>F20+F21</f>
        <v>0</v>
      </c>
      <c r="G19" s="172">
        <f>G20+G21</f>
        <v>0</v>
      </c>
      <c r="H19" s="172">
        <f>H20+H21</f>
        <v>0</v>
      </c>
      <c r="I19" s="172">
        <f>I20+I21</f>
        <v>0</v>
      </c>
      <c r="J19" s="172">
        <f>J20+J21</f>
        <v>0</v>
      </c>
      <c r="K19" s="168">
        <f t="shared" si="0"/>
        <v>0</v>
      </c>
      <c r="L19" s="168">
        <f t="shared" si="1"/>
        <v>0</v>
      </c>
    </row>
    <row r="20" spans="1:12" s="30" customFormat="1">
      <c r="A20" s="588" t="s">
        <v>192</v>
      </c>
      <c r="B20" s="720"/>
      <c r="C20" s="730"/>
      <c r="D20" s="583" t="s">
        <v>189</v>
      </c>
      <c r="E20" s="165"/>
      <c r="F20" s="172"/>
      <c r="G20" s="172"/>
      <c r="H20" s="172"/>
      <c r="I20" s="172"/>
      <c r="J20" s="172"/>
      <c r="K20" s="168">
        <f t="shared" si="0"/>
        <v>0</v>
      </c>
      <c r="L20" s="168">
        <f t="shared" si="1"/>
        <v>0</v>
      </c>
    </row>
    <row r="21" spans="1:12" s="30" customFormat="1" ht="13.5" customHeight="1">
      <c r="A21" s="588" t="s">
        <v>193</v>
      </c>
      <c r="B21" s="720"/>
      <c r="C21" s="730"/>
      <c r="D21" s="583" t="s">
        <v>191</v>
      </c>
      <c r="E21" s="165"/>
      <c r="F21" s="172"/>
      <c r="G21" s="172"/>
      <c r="H21" s="172"/>
      <c r="I21" s="172"/>
      <c r="J21" s="172"/>
      <c r="K21" s="168">
        <f t="shared" si="0"/>
        <v>0</v>
      </c>
      <c r="L21" s="168">
        <f t="shared" si="1"/>
        <v>0</v>
      </c>
    </row>
    <row r="22" spans="1:12" s="30" customFormat="1">
      <c r="A22" s="593" t="s">
        <v>71</v>
      </c>
      <c r="B22" s="720"/>
      <c r="C22" s="730"/>
      <c r="D22" s="583" t="s">
        <v>66</v>
      </c>
      <c r="E22" s="165"/>
      <c r="F22" s="596"/>
      <c r="G22" s="596"/>
      <c r="H22" s="596"/>
      <c r="I22" s="596"/>
      <c r="J22" s="596"/>
      <c r="K22" s="168">
        <f t="shared" si="0"/>
        <v>0</v>
      </c>
      <c r="L22" s="168">
        <f t="shared" si="1"/>
        <v>0</v>
      </c>
    </row>
    <row r="23" spans="1:12" s="30" customFormat="1">
      <c r="A23" s="593" t="s">
        <v>93</v>
      </c>
      <c r="B23" s="720"/>
      <c r="C23" s="727"/>
      <c r="D23" s="583" t="s">
        <v>67</v>
      </c>
      <c r="E23" s="165"/>
      <c r="F23" s="596"/>
      <c r="G23" s="596"/>
      <c r="H23" s="596"/>
      <c r="I23" s="596"/>
      <c r="J23" s="596"/>
      <c r="K23" s="168">
        <f t="shared" si="0"/>
        <v>0</v>
      </c>
      <c r="L23" s="168">
        <f t="shared" si="1"/>
        <v>0</v>
      </c>
    </row>
    <row r="24" spans="1:12" s="30" customFormat="1">
      <c r="A24" s="593" t="s">
        <v>55</v>
      </c>
      <c r="B24" s="720"/>
      <c r="C24" s="710" t="s">
        <v>67</v>
      </c>
      <c r="D24" s="733"/>
      <c r="E24" s="165"/>
      <c r="F24" s="596"/>
      <c r="G24" s="596"/>
      <c r="H24" s="596"/>
      <c r="I24" s="596"/>
      <c r="J24" s="596"/>
      <c r="K24" s="168">
        <f t="shared" si="0"/>
        <v>0</v>
      </c>
      <c r="L24" s="168">
        <f t="shared" si="1"/>
        <v>0</v>
      </c>
    </row>
    <row r="25" spans="1:12" s="30" customFormat="1" ht="13.5" customHeight="1">
      <c r="A25" s="593" t="s">
        <v>94</v>
      </c>
      <c r="B25" s="720" t="s">
        <v>194</v>
      </c>
      <c r="C25" s="710" t="s">
        <v>95</v>
      </c>
      <c r="D25" s="733"/>
      <c r="E25" s="165"/>
      <c r="F25" s="596"/>
      <c r="G25" s="596"/>
      <c r="H25" s="596"/>
      <c r="I25" s="596"/>
      <c r="J25" s="596"/>
      <c r="K25" s="168">
        <f t="shared" si="0"/>
        <v>0</v>
      </c>
      <c r="L25" s="168">
        <f t="shared" si="1"/>
        <v>0</v>
      </c>
    </row>
    <row r="26" spans="1:12" s="30" customFormat="1" ht="13.5" customHeight="1">
      <c r="A26" s="593" t="s">
        <v>96</v>
      </c>
      <c r="B26" s="720"/>
      <c r="C26" s="710" t="s">
        <v>97</v>
      </c>
      <c r="D26" s="733"/>
      <c r="E26" s="165"/>
      <c r="F26" s="596"/>
      <c r="G26" s="596"/>
      <c r="H26" s="596"/>
      <c r="I26" s="596"/>
      <c r="J26" s="596"/>
      <c r="K26" s="168">
        <f t="shared" si="0"/>
        <v>0</v>
      </c>
      <c r="L26" s="168">
        <f t="shared" si="1"/>
        <v>0</v>
      </c>
    </row>
    <row r="27" spans="1:12" s="30" customFormat="1" ht="13.5" customHeight="1">
      <c r="A27" s="593" t="s">
        <v>98</v>
      </c>
      <c r="B27" s="720"/>
      <c r="C27" s="710" t="s">
        <v>99</v>
      </c>
      <c r="D27" s="733"/>
      <c r="E27" s="165"/>
      <c r="F27" s="596"/>
      <c r="G27" s="596"/>
      <c r="H27" s="596"/>
      <c r="I27" s="596"/>
      <c r="J27" s="596"/>
      <c r="K27" s="168">
        <f t="shared" si="0"/>
        <v>0</v>
      </c>
      <c r="L27" s="168">
        <f t="shared" si="1"/>
        <v>0</v>
      </c>
    </row>
    <row r="28" spans="1:12" s="30" customFormat="1" ht="13.5" customHeight="1">
      <c r="A28" s="593" t="s">
        <v>100</v>
      </c>
      <c r="B28" s="720"/>
      <c r="C28" s="710" t="s">
        <v>101</v>
      </c>
      <c r="D28" s="733"/>
      <c r="E28" s="165"/>
      <c r="F28" s="596"/>
      <c r="G28" s="596"/>
      <c r="H28" s="596"/>
      <c r="I28" s="596"/>
      <c r="J28" s="596"/>
      <c r="K28" s="168">
        <f t="shared" si="0"/>
        <v>0</v>
      </c>
      <c r="L28" s="168">
        <f t="shared" si="1"/>
        <v>0</v>
      </c>
    </row>
    <row r="29" spans="1:12" s="30" customFormat="1">
      <c r="A29" s="593" t="s">
        <v>56</v>
      </c>
      <c r="B29" s="720"/>
      <c r="C29" s="710" t="s">
        <v>67</v>
      </c>
      <c r="D29" s="733"/>
      <c r="E29" s="165"/>
      <c r="F29" s="596"/>
      <c r="G29" s="596"/>
      <c r="H29" s="596"/>
      <c r="I29" s="596"/>
      <c r="J29" s="596"/>
      <c r="K29" s="168">
        <f t="shared" si="0"/>
        <v>0</v>
      </c>
      <c r="L29" s="168">
        <f t="shared" si="1"/>
        <v>0</v>
      </c>
    </row>
    <row r="30" spans="1:12" s="30" customFormat="1" ht="13.5" customHeight="1">
      <c r="A30" s="593" t="s">
        <v>72</v>
      </c>
      <c r="B30" s="720" t="s">
        <v>195</v>
      </c>
      <c r="C30" s="710" t="s">
        <v>102</v>
      </c>
      <c r="D30" s="733"/>
      <c r="E30" s="165"/>
      <c r="F30" s="596"/>
      <c r="G30" s="596"/>
      <c r="H30" s="596"/>
      <c r="I30" s="596"/>
      <c r="J30" s="596"/>
      <c r="K30" s="168">
        <f t="shared" si="0"/>
        <v>0</v>
      </c>
      <c r="L30" s="168">
        <f t="shared" si="1"/>
        <v>0</v>
      </c>
    </row>
    <row r="31" spans="1:12" s="30" customFormat="1" ht="13.5" customHeight="1">
      <c r="A31" s="593" t="s">
        <v>73</v>
      </c>
      <c r="B31" s="720"/>
      <c r="C31" s="710" t="s">
        <v>103</v>
      </c>
      <c r="D31" s="733"/>
      <c r="E31" s="165"/>
      <c r="F31" s="596"/>
      <c r="G31" s="596"/>
      <c r="H31" s="596"/>
      <c r="I31" s="596"/>
      <c r="J31" s="596"/>
      <c r="K31" s="168">
        <f t="shared" si="0"/>
        <v>0</v>
      </c>
      <c r="L31" s="168">
        <f t="shared" si="1"/>
        <v>0</v>
      </c>
    </row>
    <row r="32" spans="1:12" s="30" customFormat="1" ht="13.5" customHeight="1">
      <c r="A32" s="593" t="s">
        <v>74</v>
      </c>
      <c r="B32" s="720"/>
      <c r="C32" s="710" t="s">
        <v>104</v>
      </c>
      <c r="D32" s="733"/>
      <c r="E32" s="165"/>
      <c r="F32" s="596"/>
      <c r="G32" s="596"/>
      <c r="H32" s="596"/>
      <c r="I32" s="596"/>
      <c r="J32" s="596"/>
      <c r="K32" s="168">
        <f t="shared" si="0"/>
        <v>0</v>
      </c>
      <c r="L32" s="168">
        <f t="shared" si="1"/>
        <v>0</v>
      </c>
    </row>
    <row r="33" spans="1:12" s="30" customFormat="1" ht="13.5" customHeight="1">
      <c r="A33" s="593" t="s">
        <v>105</v>
      </c>
      <c r="B33" s="720"/>
      <c r="C33" s="710" t="s">
        <v>106</v>
      </c>
      <c r="D33" s="733"/>
      <c r="E33" s="165"/>
      <c r="F33" s="596"/>
      <c r="G33" s="596"/>
      <c r="H33" s="596"/>
      <c r="I33" s="596"/>
      <c r="J33" s="596"/>
      <c r="K33" s="168">
        <f t="shared" si="0"/>
        <v>0</v>
      </c>
      <c r="L33" s="168">
        <f t="shared" si="1"/>
        <v>0</v>
      </c>
    </row>
    <row r="34" spans="1:12" s="30" customFormat="1" ht="13.5" customHeight="1">
      <c r="A34" s="593" t="s">
        <v>107</v>
      </c>
      <c r="B34" s="720"/>
      <c r="C34" s="710" t="s">
        <v>108</v>
      </c>
      <c r="D34" s="733"/>
      <c r="E34" s="165"/>
      <c r="F34" s="596"/>
      <c r="G34" s="596"/>
      <c r="H34" s="596"/>
      <c r="I34" s="596"/>
      <c r="J34" s="596"/>
      <c r="K34" s="168">
        <f t="shared" si="0"/>
        <v>0</v>
      </c>
      <c r="L34" s="168">
        <f t="shared" si="1"/>
        <v>0</v>
      </c>
    </row>
    <row r="35" spans="1:12" s="30" customFormat="1" ht="13.5" customHeight="1">
      <c r="A35" s="593" t="s">
        <v>109</v>
      </c>
      <c r="B35" s="720"/>
      <c r="C35" s="710" t="s">
        <v>110</v>
      </c>
      <c r="D35" s="733"/>
      <c r="E35" s="165"/>
      <c r="F35" s="596"/>
      <c r="G35" s="596"/>
      <c r="H35" s="596"/>
      <c r="I35" s="596"/>
      <c r="J35" s="596"/>
      <c r="K35" s="168">
        <f t="shared" si="0"/>
        <v>0</v>
      </c>
      <c r="L35" s="168">
        <f t="shared" si="1"/>
        <v>0</v>
      </c>
    </row>
    <row r="36" spans="1:12" s="30" customFormat="1">
      <c r="A36" s="593" t="s">
        <v>60</v>
      </c>
      <c r="B36" s="720"/>
      <c r="C36" s="710" t="s">
        <v>67</v>
      </c>
      <c r="D36" s="733"/>
      <c r="E36" s="165"/>
      <c r="F36" s="596"/>
      <c r="G36" s="596"/>
      <c r="H36" s="596"/>
      <c r="I36" s="596"/>
      <c r="J36" s="596"/>
      <c r="K36" s="168">
        <f t="shared" si="0"/>
        <v>0</v>
      </c>
      <c r="L36" s="168">
        <f t="shared" si="1"/>
        <v>0</v>
      </c>
    </row>
    <row r="37" spans="1:12" s="30" customFormat="1" ht="13.5" customHeight="1">
      <c r="A37" s="593" t="s">
        <v>61</v>
      </c>
      <c r="B37" s="710" t="s">
        <v>111</v>
      </c>
      <c r="C37" s="710"/>
      <c r="D37" s="733"/>
      <c r="E37" s="165"/>
      <c r="F37" s="596"/>
      <c r="G37" s="596"/>
      <c r="H37" s="596"/>
      <c r="I37" s="596"/>
      <c r="J37" s="596"/>
      <c r="K37" s="168">
        <f t="shared" si="0"/>
        <v>0</v>
      </c>
      <c r="L37" s="168">
        <f t="shared" si="1"/>
        <v>0</v>
      </c>
    </row>
    <row r="38" spans="1:12" s="30" customFormat="1">
      <c r="A38" s="593" t="s">
        <v>112</v>
      </c>
      <c r="B38" s="720" t="s">
        <v>113</v>
      </c>
      <c r="C38" s="710" t="s">
        <v>114</v>
      </c>
      <c r="D38" s="733"/>
      <c r="E38" s="165"/>
      <c r="F38" s="596"/>
      <c r="G38" s="596"/>
      <c r="H38" s="596"/>
      <c r="I38" s="596"/>
      <c r="J38" s="596"/>
      <c r="K38" s="168">
        <f t="shared" si="0"/>
        <v>0</v>
      </c>
      <c r="L38" s="168">
        <f t="shared" si="1"/>
        <v>0</v>
      </c>
    </row>
    <row r="39" spans="1:12" s="30" customFormat="1" ht="13.5" customHeight="1">
      <c r="A39" s="593" t="s">
        <v>115</v>
      </c>
      <c r="B39" s="720"/>
      <c r="C39" s="710" t="s">
        <v>116</v>
      </c>
      <c r="D39" s="733"/>
      <c r="E39" s="165"/>
      <c r="F39" s="596"/>
      <c r="G39" s="596"/>
      <c r="H39" s="596"/>
      <c r="I39" s="596"/>
      <c r="J39" s="596"/>
      <c r="K39" s="168">
        <f t="shared" si="0"/>
        <v>0</v>
      </c>
      <c r="L39" s="168">
        <f t="shared" si="1"/>
        <v>0</v>
      </c>
    </row>
    <row r="40" spans="1:12" s="30" customFormat="1" ht="13.5" customHeight="1">
      <c r="A40" s="593" t="s">
        <v>117</v>
      </c>
      <c r="B40" s="720"/>
      <c r="C40" s="710" t="s">
        <v>118</v>
      </c>
      <c r="D40" s="733"/>
      <c r="E40" s="165"/>
      <c r="F40" s="596"/>
      <c r="G40" s="596"/>
      <c r="H40" s="596"/>
      <c r="I40" s="596"/>
      <c r="J40" s="596"/>
      <c r="K40" s="168">
        <f t="shared" si="0"/>
        <v>0</v>
      </c>
      <c r="L40" s="168">
        <f t="shared" si="1"/>
        <v>0</v>
      </c>
    </row>
    <row r="41" spans="1:12" s="30" customFormat="1" ht="13.5" customHeight="1">
      <c r="A41" s="593" t="s">
        <v>119</v>
      </c>
      <c r="B41" s="720"/>
      <c r="C41" s="710" t="s">
        <v>120</v>
      </c>
      <c r="D41" s="733"/>
      <c r="E41" s="165"/>
      <c r="F41" s="596"/>
      <c r="G41" s="596"/>
      <c r="H41" s="596"/>
      <c r="I41" s="596"/>
      <c r="J41" s="596"/>
      <c r="K41" s="168">
        <f t="shared" si="0"/>
        <v>0</v>
      </c>
      <c r="L41" s="168">
        <f t="shared" si="1"/>
        <v>0</v>
      </c>
    </row>
    <row r="42" spans="1:12" s="30" customFormat="1" ht="13.5" customHeight="1">
      <c r="A42" s="593" t="s">
        <v>121</v>
      </c>
      <c r="B42" s="720"/>
      <c r="C42" s="710" t="s">
        <v>122</v>
      </c>
      <c r="D42" s="733"/>
      <c r="E42" s="165"/>
      <c r="F42" s="596"/>
      <c r="G42" s="596"/>
      <c r="H42" s="596"/>
      <c r="I42" s="596"/>
      <c r="J42" s="596"/>
      <c r="K42" s="168">
        <f t="shared" si="0"/>
        <v>0</v>
      </c>
      <c r="L42" s="168">
        <f t="shared" si="1"/>
        <v>0</v>
      </c>
    </row>
    <row r="43" spans="1:12" s="30" customFormat="1" ht="13.5" customHeight="1">
      <c r="A43" s="593" t="s">
        <v>123</v>
      </c>
      <c r="B43" s="720"/>
      <c r="C43" s="710" t="s">
        <v>124</v>
      </c>
      <c r="D43" s="733"/>
      <c r="E43" s="165"/>
      <c r="F43" s="596"/>
      <c r="G43" s="596"/>
      <c r="H43" s="596"/>
      <c r="I43" s="596"/>
      <c r="J43" s="596"/>
      <c r="K43" s="168">
        <f t="shared" si="0"/>
        <v>0</v>
      </c>
      <c r="L43" s="168">
        <f t="shared" si="1"/>
        <v>0</v>
      </c>
    </row>
    <row r="44" spans="1:12" s="30" customFormat="1" ht="13.5" customHeight="1">
      <c r="A44" s="593" t="s">
        <v>125</v>
      </c>
      <c r="B44" s="720"/>
      <c r="C44" s="710" t="s">
        <v>126</v>
      </c>
      <c r="D44" s="733"/>
      <c r="E44" s="165"/>
      <c r="F44" s="596"/>
      <c r="G44" s="596"/>
      <c r="H44" s="596"/>
      <c r="I44" s="596"/>
      <c r="J44" s="596"/>
      <c r="K44" s="168">
        <f t="shared" si="0"/>
        <v>0</v>
      </c>
      <c r="L44" s="168">
        <f t="shared" si="1"/>
        <v>0</v>
      </c>
    </row>
    <row r="45" spans="1:12" s="30" customFormat="1" ht="13.5" customHeight="1">
      <c r="A45" s="593" t="s">
        <v>127</v>
      </c>
      <c r="B45" s="720"/>
      <c r="C45" s="710" t="s">
        <v>128</v>
      </c>
      <c r="D45" s="733"/>
      <c r="E45" s="165"/>
      <c r="F45" s="596"/>
      <c r="G45" s="596"/>
      <c r="H45" s="596"/>
      <c r="I45" s="596"/>
      <c r="J45" s="596"/>
      <c r="K45" s="168">
        <f t="shared" si="0"/>
        <v>0</v>
      </c>
      <c r="L45" s="168">
        <f t="shared" si="1"/>
        <v>0</v>
      </c>
    </row>
    <row r="46" spans="1:12" s="30" customFormat="1">
      <c r="A46" s="593" t="s">
        <v>62</v>
      </c>
      <c r="B46" s="720"/>
      <c r="C46" s="710" t="s">
        <v>67</v>
      </c>
      <c r="D46" s="733"/>
      <c r="E46" s="165"/>
      <c r="F46" s="596"/>
      <c r="G46" s="596"/>
      <c r="H46" s="596"/>
      <c r="I46" s="596"/>
      <c r="J46" s="596"/>
      <c r="K46" s="168">
        <f t="shared" si="0"/>
        <v>0</v>
      </c>
      <c r="L46" s="168">
        <f t="shared" si="1"/>
        <v>0</v>
      </c>
    </row>
    <row r="47" spans="1:12" s="30" customFormat="1" ht="13.5" customHeight="1">
      <c r="A47" s="593" t="s">
        <v>129</v>
      </c>
      <c r="B47" s="720" t="s">
        <v>66</v>
      </c>
      <c r="C47" s="710" t="s">
        <v>130</v>
      </c>
      <c r="D47" s="733"/>
      <c r="E47" s="165"/>
      <c r="F47" s="596"/>
      <c r="G47" s="596"/>
      <c r="H47" s="596"/>
      <c r="I47" s="596"/>
      <c r="J47" s="596"/>
      <c r="K47" s="168">
        <f t="shared" si="0"/>
        <v>0</v>
      </c>
      <c r="L47" s="168">
        <f t="shared" si="1"/>
        <v>0</v>
      </c>
    </row>
    <row r="48" spans="1:12" s="30" customFormat="1" ht="13.5" customHeight="1">
      <c r="A48" s="593" t="s">
        <v>131</v>
      </c>
      <c r="B48" s="720"/>
      <c r="C48" s="710" t="s">
        <v>242</v>
      </c>
      <c r="D48" s="710"/>
      <c r="E48" s="165"/>
      <c r="F48" s="596"/>
      <c r="G48" s="596"/>
      <c r="H48" s="596"/>
      <c r="I48" s="596"/>
      <c r="J48" s="596"/>
      <c r="K48" s="168">
        <f t="shared" si="0"/>
        <v>0</v>
      </c>
      <c r="L48" s="168">
        <f t="shared" si="1"/>
        <v>0</v>
      </c>
    </row>
    <row r="49" spans="1:12" s="30" customFormat="1" ht="13.5" customHeight="1">
      <c r="A49" s="593" t="s">
        <v>215</v>
      </c>
      <c r="B49" s="720"/>
      <c r="C49" s="724" t="s">
        <v>216</v>
      </c>
      <c r="D49" s="737"/>
      <c r="E49" s="165"/>
      <c r="F49" s="596"/>
      <c r="G49" s="596"/>
      <c r="H49" s="596"/>
      <c r="I49" s="596"/>
      <c r="J49" s="596"/>
      <c r="K49" s="168">
        <f>SUM(H49:J49)</f>
        <v>0</v>
      </c>
      <c r="L49" s="168">
        <f>F49+G49+K49</f>
        <v>0</v>
      </c>
    </row>
    <row r="50" spans="1:12" s="30" customFormat="1" ht="13.5" customHeight="1">
      <c r="A50" s="593" t="s">
        <v>132</v>
      </c>
      <c r="B50" s="720"/>
      <c r="C50" s="710" t="s">
        <v>133</v>
      </c>
      <c r="D50" s="733"/>
      <c r="E50" s="165"/>
      <c r="F50" s="596"/>
      <c r="G50" s="596"/>
      <c r="H50" s="596"/>
      <c r="I50" s="596"/>
      <c r="J50" s="596"/>
      <c r="K50" s="168">
        <f t="shared" si="0"/>
        <v>0</v>
      </c>
      <c r="L50" s="168">
        <f t="shared" si="1"/>
        <v>0</v>
      </c>
    </row>
    <row r="51" spans="1:12" s="30" customFormat="1" ht="13.5" customHeight="1">
      <c r="A51" s="593" t="s">
        <v>134</v>
      </c>
      <c r="B51" s="720"/>
      <c r="C51" s="710" t="s">
        <v>135</v>
      </c>
      <c r="D51" s="733"/>
      <c r="E51" s="165"/>
      <c r="F51" s="596"/>
      <c r="G51" s="596"/>
      <c r="H51" s="596"/>
      <c r="I51" s="596"/>
      <c r="J51" s="596"/>
      <c r="K51" s="168">
        <f t="shared" si="0"/>
        <v>0</v>
      </c>
      <c r="L51" s="168">
        <f t="shared" si="1"/>
        <v>0</v>
      </c>
    </row>
    <row r="52" spans="1:12" s="30" customFormat="1">
      <c r="A52" s="593" t="s">
        <v>136</v>
      </c>
      <c r="B52" s="720"/>
      <c r="C52" s="710" t="s">
        <v>67</v>
      </c>
      <c r="D52" s="733"/>
      <c r="E52" s="165"/>
      <c r="F52" s="596"/>
      <c r="G52" s="596"/>
      <c r="H52" s="596"/>
      <c r="I52" s="596"/>
      <c r="J52" s="596"/>
      <c r="K52" s="168">
        <f t="shared" si="0"/>
        <v>0</v>
      </c>
      <c r="L52" s="168">
        <f t="shared" si="1"/>
        <v>0</v>
      </c>
    </row>
    <row r="53" spans="1:12" s="30" customFormat="1" ht="13.5" customHeight="1">
      <c r="A53" s="593" t="s">
        <v>63</v>
      </c>
      <c r="B53" s="710" t="s">
        <v>137</v>
      </c>
      <c r="C53" s="710"/>
      <c r="D53" s="733"/>
      <c r="E53" s="165"/>
      <c r="F53" s="596"/>
      <c r="G53" s="596"/>
      <c r="H53" s="596"/>
      <c r="I53" s="596"/>
      <c r="J53" s="596"/>
      <c r="K53" s="168">
        <f t="shared" si="0"/>
        <v>0</v>
      </c>
      <c r="L53" s="168">
        <f t="shared" si="1"/>
        <v>0</v>
      </c>
    </row>
    <row r="54" spans="1:12" s="30" customFormat="1" ht="13.5" customHeight="1">
      <c r="A54" s="593" t="s">
        <v>139</v>
      </c>
      <c r="B54" s="720" t="s">
        <v>138</v>
      </c>
      <c r="C54" s="710" t="s">
        <v>196</v>
      </c>
      <c r="D54" s="733"/>
      <c r="E54" s="165"/>
      <c r="F54" s="596"/>
      <c r="G54" s="596"/>
      <c r="H54" s="596"/>
      <c r="I54" s="596"/>
      <c r="J54" s="596"/>
      <c r="K54" s="168">
        <f t="shared" si="0"/>
        <v>0</v>
      </c>
      <c r="L54" s="168">
        <f t="shared" si="1"/>
        <v>0</v>
      </c>
    </row>
    <row r="55" spans="1:12" s="30" customFormat="1" ht="13.5" customHeight="1">
      <c r="A55" s="180" t="s">
        <v>1733</v>
      </c>
      <c r="B55" s="720"/>
      <c r="C55" s="710" t="s">
        <v>197</v>
      </c>
      <c r="D55" s="733"/>
      <c r="E55" s="165"/>
      <c r="F55" s="596"/>
      <c r="G55" s="596"/>
      <c r="H55" s="596"/>
      <c r="I55" s="596"/>
      <c r="J55" s="596"/>
      <c r="K55" s="168">
        <f t="shared" si="0"/>
        <v>0</v>
      </c>
      <c r="L55" s="168">
        <f t="shared" si="1"/>
        <v>0</v>
      </c>
    </row>
    <row r="56" spans="1:12" s="30" customFormat="1" ht="13.5" customHeight="1">
      <c r="A56" s="593" t="s">
        <v>1734</v>
      </c>
      <c r="B56" s="720"/>
      <c r="C56" s="710" t="s">
        <v>198</v>
      </c>
      <c r="D56" s="733"/>
      <c r="E56" s="165"/>
      <c r="F56" s="596"/>
      <c r="G56" s="596"/>
      <c r="H56" s="596"/>
      <c r="I56" s="596"/>
      <c r="J56" s="596"/>
      <c r="K56" s="168">
        <f t="shared" si="0"/>
        <v>0</v>
      </c>
      <c r="L56" s="168">
        <f t="shared" si="1"/>
        <v>0</v>
      </c>
    </row>
    <row r="57" spans="1:12" s="30" customFormat="1" ht="13.5" customHeight="1">
      <c r="A57" s="593" t="s">
        <v>1735</v>
      </c>
      <c r="B57" s="720"/>
      <c r="C57" s="710" t="s">
        <v>199</v>
      </c>
      <c r="D57" s="733"/>
      <c r="E57" s="165"/>
      <c r="F57" s="596"/>
      <c r="G57" s="596"/>
      <c r="H57" s="596"/>
      <c r="I57" s="596"/>
      <c r="J57" s="596"/>
      <c r="K57" s="168">
        <f t="shared" si="0"/>
        <v>0</v>
      </c>
      <c r="L57" s="168">
        <f t="shared" si="1"/>
        <v>0</v>
      </c>
    </row>
    <row r="58" spans="1:12" s="30" customFormat="1" ht="13.5" customHeight="1">
      <c r="A58" s="600" t="s">
        <v>1736</v>
      </c>
      <c r="B58" s="720"/>
      <c r="C58" s="731" t="s">
        <v>1730</v>
      </c>
      <c r="D58" s="732"/>
      <c r="E58" s="165"/>
      <c r="F58" s="596"/>
      <c r="G58" s="596"/>
      <c r="H58" s="596"/>
      <c r="I58" s="596"/>
      <c r="J58" s="596"/>
      <c r="K58" s="168"/>
      <c r="L58" s="168"/>
    </row>
    <row r="59" spans="1:12" s="30" customFormat="1" ht="13.5" customHeight="1">
      <c r="A59" s="593" t="s">
        <v>64</v>
      </c>
      <c r="B59" s="720"/>
      <c r="C59" s="710" t="s">
        <v>67</v>
      </c>
      <c r="D59" s="733"/>
      <c r="E59" s="165"/>
      <c r="F59" s="596"/>
      <c r="G59" s="596"/>
      <c r="H59" s="596"/>
      <c r="I59" s="596"/>
      <c r="J59" s="596"/>
      <c r="K59" s="168">
        <f t="shared" si="0"/>
        <v>0</v>
      </c>
      <c r="L59" s="168">
        <f t="shared" si="1"/>
        <v>0</v>
      </c>
    </row>
    <row r="60" spans="1:12" s="30" customFormat="1" ht="13.5" customHeight="1">
      <c r="A60" s="593" t="s">
        <v>140</v>
      </c>
      <c r="B60" s="720" t="s">
        <v>200</v>
      </c>
      <c r="C60" s="710" t="s">
        <v>141</v>
      </c>
      <c r="D60" s="733"/>
      <c r="E60" s="165"/>
      <c r="F60" s="596"/>
      <c r="G60" s="596"/>
      <c r="H60" s="596"/>
      <c r="I60" s="596"/>
      <c r="J60" s="596"/>
      <c r="K60" s="168">
        <f t="shared" si="0"/>
        <v>0</v>
      </c>
      <c r="L60" s="168">
        <f t="shared" si="1"/>
        <v>0</v>
      </c>
    </row>
    <row r="61" spans="1:12" s="30" customFormat="1" ht="13.5" customHeight="1">
      <c r="A61" s="593" t="s">
        <v>142</v>
      </c>
      <c r="B61" s="720"/>
      <c r="C61" s="710" t="s">
        <v>143</v>
      </c>
      <c r="D61" s="733"/>
      <c r="E61" s="165"/>
      <c r="F61" s="596"/>
      <c r="G61" s="596"/>
      <c r="H61" s="596"/>
      <c r="I61" s="596"/>
      <c r="J61" s="596"/>
      <c r="K61" s="168">
        <f t="shared" si="0"/>
        <v>0</v>
      </c>
      <c r="L61" s="168">
        <f t="shared" si="1"/>
        <v>0</v>
      </c>
    </row>
    <row r="62" spans="1:12" s="30" customFormat="1" ht="13.5" customHeight="1">
      <c r="A62" s="593" t="s">
        <v>144</v>
      </c>
      <c r="B62" s="720"/>
      <c r="C62" s="710" t="s">
        <v>145</v>
      </c>
      <c r="D62" s="733"/>
      <c r="E62" s="165"/>
      <c r="F62" s="596"/>
      <c r="G62" s="596"/>
      <c r="H62" s="596"/>
      <c r="I62" s="596"/>
      <c r="J62" s="596"/>
      <c r="K62" s="168">
        <f t="shared" si="0"/>
        <v>0</v>
      </c>
      <c r="L62" s="168">
        <f t="shared" si="1"/>
        <v>0</v>
      </c>
    </row>
    <row r="63" spans="1:12" s="30" customFormat="1" ht="13.5" customHeight="1">
      <c r="A63" s="593" t="s">
        <v>146</v>
      </c>
      <c r="B63" s="720"/>
      <c r="C63" s="710" t="s">
        <v>147</v>
      </c>
      <c r="D63" s="733"/>
      <c r="E63" s="165"/>
      <c r="F63" s="596"/>
      <c r="G63" s="596"/>
      <c r="H63" s="596"/>
      <c r="I63" s="596"/>
      <c r="J63" s="596"/>
      <c r="K63" s="168">
        <f t="shared" si="0"/>
        <v>0</v>
      </c>
      <c r="L63" s="168">
        <f t="shared" si="1"/>
        <v>0</v>
      </c>
    </row>
    <row r="64" spans="1:12" s="30" customFormat="1" ht="13.5" customHeight="1">
      <c r="A64" s="588" t="s">
        <v>201</v>
      </c>
      <c r="B64" s="720"/>
      <c r="C64" s="710" t="s">
        <v>202</v>
      </c>
      <c r="D64" s="733"/>
      <c r="E64" s="165"/>
      <c r="F64" s="596"/>
      <c r="G64" s="596"/>
      <c r="H64" s="596"/>
      <c r="I64" s="596"/>
      <c r="J64" s="596"/>
      <c r="K64" s="168">
        <f>SUM(H64:J64)</f>
        <v>0</v>
      </c>
      <c r="L64" s="168">
        <f>F64+G64+K64</f>
        <v>0</v>
      </c>
    </row>
    <row r="65" spans="1:12" s="30" customFormat="1" ht="13.5" customHeight="1">
      <c r="A65" s="593" t="s">
        <v>148</v>
      </c>
      <c r="B65" s="720"/>
      <c r="C65" s="710" t="s">
        <v>67</v>
      </c>
      <c r="D65" s="733"/>
      <c r="E65" s="165"/>
      <c r="F65" s="596"/>
      <c r="G65" s="596"/>
      <c r="H65" s="596"/>
      <c r="I65" s="596"/>
      <c r="J65" s="596"/>
      <c r="K65" s="168">
        <f t="shared" ref="K65:K78" si="2">SUM(H65:J65)</f>
        <v>0</v>
      </c>
      <c r="L65" s="168">
        <f t="shared" ref="L65:L78" si="3">F65+G65+K65</f>
        <v>0</v>
      </c>
    </row>
    <row r="66" spans="1:12" s="30" customFormat="1" ht="13.5" customHeight="1">
      <c r="A66" s="593" t="s">
        <v>149</v>
      </c>
      <c r="B66" s="720" t="s">
        <v>203</v>
      </c>
      <c r="C66" s="710" t="s">
        <v>150</v>
      </c>
      <c r="D66" s="733"/>
      <c r="E66" s="165"/>
      <c r="F66" s="597"/>
      <c r="G66" s="736"/>
      <c r="H66" s="736"/>
      <c r="I66" s="597"/>
      <c r="J66" s="597"/>
      <c r="K66" s="168">
        <f t="shared" si="2"/>
        <v>0</v>
      </c>
      <c r="L66" s="168">
        <f t="shared" si="3"/>
        <v>0</v>
      </c>
    </row>
    <row r="67" spans="1:12" s="30" customFormat="1" ht="13.5" customHeight="1">
      <c r="A67" s="593" t="s">
        <v>151</v>
      </c>
      <c r="B67" s="720"/>
      <c r="C67" s="710" t="s">
        <v>152</v>
      </c>
      <c r="D67" s="733"/>
      <c r="E67" s="165"/>
      <c r="F67" s="597"/>
      <c r="G67" s="597"/>
      <c r="H67" s="597"/>
      <c r="I67" s="597"/>
      <c r="J67" s="597"/>
      <c r="K67" s="168">
        <f t="shared" si="2"/>
        <v>0</v>
      </c>
      <c r="L67" s="168">
        <f t="shared" si="3"/>
        <v>0</v>
      </c>
    </row>
    <row r="68" spans="1:12" s="30" customFormat="1" ht="13.5" customHeight="1">
      <c r="A68" s="593" t="s">
        <v>153</v>
      </c>
      <c r="B68" s="720"/>
      <c r="C68" s="710" t="s">
        <v>67</v>
      </c>
      <c r="D68" s="733"/>
      <c r="E68" s="165"/>
      <c r="F68" s="596"/>
      <c r="G68" s="596"/>
      <c r="H68" s="596"/>
      <c r="I68" s="596"/>
      <c r="J68" s="596"/>
      <c r="K68" s="168">
        <f t="shared" si="2"/>
        <v>0</v>
      </c>
      <c r="L68" s="168">
        <f t="shared" si="3"/>
        <v>0</v>
      </c>
    </row>
    <row r="69" spans="1:12" s="30" customFormat="1" ht="13.5" customHeight="1">
      <c r="A69" s="593" t="s">
        <v>154</v>
      </c>
      <c r="B69" s="720" t="s">
        <v>155</v>
      </c>
      <c r="C69" s="710" t="s">
        <v>156</v>
      </c>
      <c r="D69" s="733"/>
      <c r="E69" s="165"/>
      <c r="F69" s="598"/>
      <c r="G69" s="598"/>
      <c r="H69" s="598"/>
      <c r="I69" s="598"/>
      <c r="J69" s="598"/>
      <c r="K69" s="172">
        <f t="shared" si="2"/>
        <v>0</v>
      </c>
      <c r="L69" s="172">
        <f t="shared" si="3"/>
        <v>0</v>
      </c>
    </row>
    <row r="70" spans="1:12" s="30" customFormat="1" ht="13.5" customHeight="1">
      <c r="A70" s="593" t="s">
        <v>157</v>
      </c>
      <c r="B70" s="720"/>
      <c r="C70" s="710" t="s">
        <v>158</v>
      </c>
      <c r="D70" s="733"/>
      <c r="E70" s="165"/>
      <c r="F70" s="598"/>
      <c r="G70" s="596"/>
      <c r="H70" s="596"/>
      <c r="I70" s="596"/>
      <c r="J70" s="596"/>
      <c r="K70" s="172">
        <f t="shared" si="2"/>
        <v>0</v>
      </c>
      <c r="L70" s="172">
        <f t="shared" si="3"/>
        <v>0</v>
      </c>
    </row>
    <row r="71" spans="1:12" s="30" customFormat="1" ht="13.5" customHeight="1">
      <c r="A71" s="593" t="s">
        <v>159</v>
      </c>
      <c r="B71" s="720"/>
      <c r="C71" s="710" t="s">
        <v>160</v>
      </c>
      <c r="D71" s="733"/>
      <c r="E71" s="165"/>
      <c r="F71" s="598"/>
      <c r="G71" s="596"/>
      <c r="H71" s="596"/>
      <c r="I71" s="596"/>
      <c r="J71" s="596"/>
      <c r="K71" s="172">
        <f t="shared" si="2"/>
        <v>0</v>
      </c>
      <c r="L71" s="172">
        <f t="shared" si="3"/>
        <v>0</v>
      </c>
    </row>
    <row r="72" spans="1:12" s="30" customFormat="1" ht="13.5" customHeight="1">
      <c r="A72" s="593" t="s">
        <v>161</v>
      </c>
      <c r="B72" s="720"/>
      <c r="C72" s="710" t="s">
        <v>162</v>
      </c>
      <c r="D72" s="733"/>
      <c r="E72" s="165"/>
      <c r="F72" s="598"/>
      <c r="G72" s="596"/>
      <c r="H72" s="596"/>
      <c r="I72" s="596"/>
      <c r="J72" s="596"/>
      <c r="K72" s="172">
        <f t="shared" si="2"/>
        <v>0</v>
      </c>
      <c r="L72" s="172">
        <f t="shared" si="3"/>
        <v>0</v>
      </c>
    </row>
    <row r="73" spans="1:12" s="30" customFormat="1" ht="13.5" customHeight="1">
      <c r="A73" s="593" t="s">
        <v>163</v>
      </c>
      <c r="B73" s="720"/>
      <c r="C73" s="710" t="s">
        <v>67</v>
      </c>
      <c r="D73" s="733"/>
      <c r="E73" s="165"/>
      <c r="F73" s="598"/>
      <c r="G73" s="598"/>
      <c r="H73" s="598"/>
      <c r="I73" s="598"/>
      <c r="J73" s="598"/>
      <c r="K73" s="172">
        <f t="shared" si="2"/>
        <v>0</v>
      </c>
      <c r="L73" s="172">
        <f t="shared" si="3"/>
        <v>0</v>
      </c>
    </row>
    <row r="74" spans="1:12" s="30" customFormat="1" ht="14.4" customHeight="1">
      <c r="A74" s="588" t="s">
        <v>1715</v>
      </c>
      <c r="B74" s="711" t="s">
        <v>243</v>
      </c>
      <c r="C74" s="734"/>
      <c r="D74" s="735"/>
      <c r="E74" s="165"/>
      <c r="F74" s="168"/>
      <c r="G74" s="168"/>
      <c r="H74" s="168"/>
      <c r="I74" s="168"/>
      <c r="J74" s="168"/>
      <c r="K74" s="172"/>
      <c r="L74" s="592"/>
    </row>
    <row r="75" spans="1:12" s="30" customFormat="1" ht="13.5" customHeight="1">
      <c r="A75" s="599" t="s">
        <v>164</v>
      </c>
      <c r="B75" s="710" t="s">
        <v>165</v>
      </c>
      <c r="C75" s="710"/>
      <c r="D75" s="733"/>
      <c r="E75" s="165"/>
      <c r="F75" s="736"/>
      <c r="G75" s="736"/>
      <c r="H75" s="736"/>
      <c r="I75" s="736"/>
      <c r="J75" s="736"/>
      <c r="K75" s="168">
        <f t="shared" si="2"/>
        <v>0</v>
      </c>
      <c r="L75" s="168">
        <f t="shared" si="3"/>
        <v>0</v>
      </c>
    </row>
    <row r="76" spans="1:12" s="30" customFormat="1" ht="13.5" customHeight="1">
      <c r="A76" s="180" t="s">
        <v>248</v>
      </c>
      <c r="B76" s="714" t="s">
        <v>167</v>
      </c>
      <c r="C76" s="715"/>
      <c r="D76" s="715"/>
      <c r="E76" s="165"/>
      <c r="F76" s="598"/>
      <c r="G76" s="598"/>
      <c r="H76" s="598"/>
      <c r="I76" s="598"/>
      <c r="J76" s="598"/>
      <c r="K76" s="168">
        <f t="shared" si="2"/>
        <v>0</v>
      </c>
      <c r="L76" s="168">
        <f t="shared" si="3"/>
        <v>0</v>
      </c>
    </row>
    <row r="77" spans="1:12" s="30" customFormat="1" ht="13.5" customHeight="1">
      <c r="A77" s="593" t="s">
        <v>249</v>
      </c>
      <c r="B77" s="717" t="s">
        <v>241</v>
      </c>
      <c r="C77" s="718"/>
      <c r="D77" s="719"/>
      <c r="E77" s="165"/>
      <c r="F77" s="598"/>
      <c r="G77" s="598"/>
      <c r="H77" s="598"/>
      <c r="I77" s="598"/>
      <c r="J77" s="598"/>
      <c r="K77" s="168">
        <f t="shared" si="2"/>
        <v>0</v>
      </c>
      <c r="L77" s="168">
        <f t="shared" si="3"/>
        <v>0</v>
      </c>
    </row>
    <row r="78" spans="1:12" s="30" customFormat="1" ht="13.5" customHeight="1">
      <c r="A78" s="593" t="s">
        <v>168</v>
      </c>
      <c r="B78" s="717" t="s">
        <v>169</v>
      </c>
      <c r="C78" s="718"/>
      <c r="D78" s="718"/>
      <c r="E78" s="165"/>
      <c r="F78" s="598"/>
      <c r="G78" s="598"/>
      <c r="H78" s="598"/>
      <c r="I78" s="598"/>
      <c r="J78" s="598"/>
      <c r="K78" s="168">
        <f t="shared" si="2"/>
        <v>0</v>
      </c>
      <c r="L78" s="168">
        <f t="shared" si="3"/>
        <v>0</v>
      </c>
    </row>
    <row r="79" spans="1:12" s="30" customFormat="1">
      <c r="C79" s="159"/>
      <c r="D79" s="159"/>
      <c r="E79" s="159"/>
    </row>
    <row r="80" spans="1:12" s="191" customFormat="1">
      <c r="A80" s="189" t="s">
        <v>547</v>
      </c>
      <c r="C80" s="190"/>
    </row>
    <row r="81" spans="1:12" s="191" customFormat="1">
      <c r="C81" s="190"/>
    </row>
    <row r="82" spans="1:12" s="193" customFormat="1">
      <c r="A82" s="192" t="s">
        <v>59</v>
      </c>
      <c r="C82" s="194"/>
      <c r="D82" s="194"/>
      <c r="E82" s="194"/>
    </row>
    <row r="83" spans="1:12" s="193" customFormat="1" ht="9.75" customHeight="1">
      <c r="C83" s="194"/>
      <c r="D83" s="194"/>
      <c r="E83" s="194"/>
    </row>
    <row r="84" spans="1:12" s="193" customFormat="1">
      <c r="A84" s="193" t="s">
        <v>912</v>
      </c>
      <c r="C84" s="194"/>
      <c r="D84" s="194"/>
      <c r="E84" s="194"/>
    </row>
    <row r="85" spans="1:12" s="193" customFormat="1" ht="6" customHeight="1">
      <c r="C85" s="194"/>
      <c r="D85" s="194"/>
      <c r="E85" s="194"/>
    </row>
    <row r="86" spans="1:12" s="193" customFormat="1">
      <c r="A86" s="193" t="s">
        <v>913</v>
      </c>
      <c r="C86" s="194"/>
      <c r="D86" s="194"/>
      <c r="E86" s="194"/>
    </row>
    <row r="87" spans="1:12" s="193" customFormat="1">
      <c r="A87" s="193" t="s">
        <v>204</v>
      </c>
      <c r="C87" s="194"/>
      <c r="D87" s="194"/>
      <c r="E87" s="194"/>
    </row>
    <row r="88" spans="1:12" s="193" customFormat="1">
      <c r="A88" s="193" t="s">
        <v>205</v>
      </c>
      <c r="C88" s="194"/>
      <c r="D88" s="194"/>
      <c r="E88" s="194"/>
    </row>
    <row r="89" spans="1:12" s="193" customFormat="1">
      <c r="A89" s="193" t="s">
        <v>206</v>
      </c>
      <c r="C89" s="194"/>
      <c r="D89" s="194"/>
      <c r="E89" s="194"/>
    </row>
    <row r="90" spans="1:12" s="193" customFormat="1">
      <c r="A90" s="612" t="s">
        <v>1738</v>
      </c>
      <c r="B90" s="612"/>
      <c r="C90" s="613"/>
      <c r="D90" s="613"/>
      <c r="E90" s="613"/>
      <c r="F90" s="612"/>
      <c r="G90" s="612"/>
      <c r="H90" s="601"/>
      <c r="I90" s="612"/>
      <c r="J90" s="601"/>
      <c r="K90" s="612"/>
      <c r="L90" s="601"/>
    </row>
    <row r="91" spans="1:12" s="193" customFormat="1">
      <c r="A91" s="612" t="s">
        <v>1739</v>
      </c>
      <c r="B91" s="612"/>
      <c r="C91" s="613"/>
      <c r="D91" s="613"/>
      <c r="E91" s="613"/>
      <c r="F91" s="612"/>
      <c r="G91" s="612"/>
      <c r="H91" s="601"/>
      <c r="I91" s="612"/>
      <c r="J91" s="601"/>
      <c r="K91" s="612"/>
      <c r="L91" s="601"/>
    </row>
    <row r="92" spans="1:12" s="193" customFormat="1">
      <c r="A92" s="614" t="s">
        <v>1737</v>
      </c>
      <c r="B92" s="612"/>
      <c r="C92" s="613"/>
      <c r="D92" s="613"/>
      <c r="E92" s="613"/>
      <c r="F92" s="612"/>
      <c r="G92" s="612"/>
      <c r="H92" s="601"/>
      <c r="I92" s="612"/>
      <c r="J92" s="601"/>
      <c r="K92" s="612"/>
      <c r="L92" s="601"/>
    </row>
    <row r="93" spans="1:12" s="604" customFormat="1">
      <c r="A93" s="602"/>
      <c r="B93" s="602"/>
      <c r="C93" s="603"/>
      <c r="D93" s="603"/>
      <c r="E93" s="603"/>
      <c r="F93" s="602"/>
      <c r="G93" s="602"/>
    </row>
    <row r="94" spans="1:12" s="193" customFormat="1">
      <c r="A94" s="151" t="s">
        <v>177</v>
      </c>
      <c r="B94" s="195"/>
      <c r="C94" s="190"/>
      <c r="D94" s="191"/>
      <c r="E94" s="191"/>
      <c r="F94" s="191"/>
      <c r="G94" s="191"/>
      <c r="H94" s="191"/>
      <c r="I94" s="191"/>
      <c r="J94" s="191"/>
    </row>
    <row r="95" spans="1:12" s="193" customFormat="1">
      <c r="A95" s="154" t="s">
        <v>178</v>
      </c>
      <c r="B95" s="195"/>
      <c r="C95" s="190"/>
      <c r="D95" s="191"/>
      <c r="E95" s="191"/>
      <c r="F95" s="191"/>
      <c r="G95" s="191"/>
      <c r="H95" s="191"/>
      <c r="I95" s="191"/>
      <c r="J95" s="191"/>
    </row>
    <row r="96" spans="1:12" s="193" customFormat="1">
      <c r="A96" s="154" t="s">
        <v>207</v>
      </c>
      <c r="B96" s="195"/>
      <c r="C96" s="190"/>
      <c r="D96" s="191"/>
      <c r="E96" s="191"/>
      <c r="F96" s="191"/>
      <c r="G96" s="191"/>
      <c r="H96" s="191"/>
      <c r="I96" s="191"/>
      <c r="J96" s="191"/>
    </row>
    <row r="97" spans="1:10" s="193" customFormat="1">
      <c r="A97" s="154" t="s">
        <v>208</v>
      </c>
      <c r="B97" s="195"/>
      <c r="C97" s="190"/>
      <c r="D97" s="191"/>
      <c r="E97" s="191"/>
      <c r="F97" s="191"/>
      <c r="G97" s="191"/>
      <c r="H97" s="191"/>
      <c r="I97" s="191"/>
      <c r="J97" s="191"/>
    </row>
    <row r="98" spans="1:10" s="193" customFormat="1">
      <c r="A98" s="154" t="s">
        <v>183</v>
      </c>
      <c r="C98" s="194"/>
      <c r="D98" s="194"/>
      <c r="E98" s="194"/>
    </row>
    <row r="99" spans="1:10" s="193" customFormat="1">
      <c r="A99" s="193" t="s">
        <v>218</v>
      </c>
      <c r="C99" s="194"/>
      <c r="D99" s="194"/>
      <c r="E99" s="194"/>
    </row>
    <row r="100" spans="1:10" s="193" customFormat="1">
      <c r="A100" s="193" t="s">
        <v>914</v>
      </c>
      <c r="C100" s="194"/>
      <c r="D100" s="194"/>
      <c r="E100" s="194"/>
    </row>
    <row r="101" spans="1:10" s="30" customFormat="1">
      <c r="A101" s="445" t="s">
        <v>1741</v>
      </c>
      <c r="B101" s="280"/>
      <c r="C101" s="422"/>
      <c r="D101" s="422"/>
      <c r="E101" s="422"/>
    </row>
  </sheetData>
  <mergeCells count="78">
    <mergeCell ref="L9:L10"/>
    <mergeCell ref="A8:D10"/>
    <mergeCell ref="E9:E10"/>
    <mergeCell ref="F9:F10"/>
    <mergeCell ref="G9:G10"/>
    <mergeCell ref="H9:K9"/>
    <mergeCell ref="B11:D11"/>
    <mergeCell ref="B12:B24"/>
    <mergeCell ref="C12:D12"/>
    <mergeCell ref="C13:D13"/>
    <mergeCell ref="C14:D14"/>
    <mergeCell ref="C15:D15"/>
    <mergeCell ref="C16:C23"/>
    <mergeCell ref="C24:D24"/>
    <mergeCell ref="B25:B29"/>
    <mergeCell ref="C25:D25"/>
    <mergeCell ref="C26:D26"/>
    <mergeCell ref="C27:D27"/>
    <mergeCell ref="C28:D28"/>
    <mergeCell ref="C29:D29"/>
    <mergeCell ref="B30:B36"/>
    <mergeCell ref="C30:D30"/>
    <mergeCell ref="C31:D31"/>
    <mergeCell ref="C32:D32"/>
    <mergeCell ref="C33:D33"/>
    <mergeCell ref="C34:D34"/>
    <mergeCell ref="C35:D35"/>
    <mergeCell ref="C36:D36"/>
    <mergeCell ref="B37:D37"/>
    <mergeCell ref="B38:B46"/>
    <mergeCell ref="C38:D38"/>
    <mergeCell ref="C39:D39"/>
    <mergeCell ref="C40:D40"/>
    <mergeCell ref="C41:D41"/>
    <mergeCell ref="C42:D42"/>
    <mergeCell ref="C43:D43"/>
    <mergeCell ref="C44:D44"/>
    <mergeCell ref="C45:D45"/>
    <mergeCell ref="C46:D46"/>
    <mergeCell ref="B47:B52"/>
    <mergeCell ref="C47:D47"/>
    <mergeCell ref="C48:D48"/>
    <mergeCell ref="C49:D49"/>
    <mergeCell ref="C50:D50"/>
    <mergeCell ref="C51:D51"/>
    <mergeCell ref="C52:D52"/>
    <mergeCell ref="B53:D53"/>
    <mergeCell ref="B54:B59"/>
    <mergeCell ref="C54:D54"/>
    <mergeCell ref="C55:D55"/>
    <mergeCell ref="C56:D56"/>
    <mergeCell ref="C57:D57"/>
    <mergeCell ref="C59:D59"/>
    <mergeCell ref="F75:J75"/>
    <mergeCell ref="B76:D76"/>
    <mergeCell ref="B77:D77"/>
    <mergeCell ref="B66:B68"/>
    <mergeCell ref="C66:D66"/>
    <mergeCell ref="G66:H66"/>
    <mergeCell ref="C67:D67"/>
    <mergeCell ref="C68:D68"/>
    <mergeCell ref="B69:B73"/>
    <mergeCell ref="C69:D69"/>
    <mergeCell ref="C70:D70"/>
    <mergeCell ref="C71:D71"/>
    <mergeCell ref="C72:D72"/>
    <mergeCell ref="B78:D78"/>
    <mergeCell ref="C58:D58"/>
    <mergeCell ref="C73:D73"/>
    <mergeCell ref="B74:D74"/>
    <mergeCell ref="B75:D75"/>
    <mergeCell ref="B60:B65"/>
    <mergeCell ref="C60:D60"/>
    <mergeCell ref="C61:D61"/>
    <mergeCell ref="C62:D62"/>
    <mergeCell ref="C63:D63"/>
    <mergeCell ref="C64:D64"/>
    <mergeCell ref="C65:D65"/>
  </mergeCells>
  <phoneticPr fontId="6" type="noConversion"/>
  <pageMargins left="0.56000000000000005" right="0.35" top="0.6" bottom="0.46" header="0.5" footer="0.5"/>
  <pageSetup paperSize="9" scale="56" orientation="portrait" horizontalDpi="4294967292" r:id="rId1"/>
  <headerFooter alignWithMargins="0"/>
  <colBreaks count="1" manualBreakCount="1">
    <brk id="12" max="71" man="1"/>
  </colBreak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C16266-96F0-44F5-A37E-FF178FB33187}">
  <sheetPr codeName="Sheet6">
    <tabColor theme="0" tint="-0.249977111117893"/>
  </sheetPr>
  <dimension ref="A5:L99"/>
  <sheetViews>
    <sheetView showGridLines="0" view="pageBreakPreview" zoomScale="85" zoomScaleNormal="85" zoomScaleSheetLayoutView="85" workbookViewId="0">
      <pane xSplit="4" ySplit="11" topLeftCell="E12" activePane="bottomRight" state="frozen"/>
      <selection pane="topRight" activeCell="E1" sqref="E1"/>
      <selection pane="bottomLeft" activeCell="A12" sqref="A12"/>
      <selection pane="bottomRight" activeCell="E12" sqref="E12"/>
    </sheetView>
  </sheetViews>
  <sheetFormatPr defaultColWidth="8.8984375" defaultRowHeight="14.4"/>
  <cols>
    <col min="1" max="1" width="6" style="14" customWidth="1"/>
    <col min="2" max="2" width="10.09765625" style="14" customWidth="1"/>
    <col min="3" max="3" width="4.69921875" style="44" customWidth="1"/>
    <col min="4" max="4" width="22.3984375" style="44" customWidth="1"/>
    <col min="5" max="5" width="18.3984375" style="44" customWidth="1"/>
    <col min="6" max="6" width="11.296875" style="14" bestFit="1" customWidth="1"/>
    <col min="7" max="8" width="9" style="14" customWidth="1"/>
    <col min="9" max="10" width="8.59765625" style="14" bestFit="1" customWidth="1"/>
    <col min="11" max="11" width="11" style="14" bestFit="1" customWidth="1"/>
    <col min="12" max="12" width="11.296875" style="14" customWidth="1"/>
    <col min="13" max="16384" width="8.8984375" style="14"/>
  </cols>
  <sheetData>
    <row r="5" spans="1:12" s="157" customFormat="1" ht="20.399999999999999">
      <c r="A5" s="157" t="s">
        <v>911</v>
      </c>
      <c r="C5" s="158"/>
      <c r="D5" s="158"/>
      <c r="E5" s="158"/>
    </row>
    <row r="6" spans="1:12" s="30" customFormat="1">
      <c r="C6" s="159"/>
      <c r="D6" s="159"/>
      <c r="E6" s="159"/>
    </row>
    <row r="7" spans="1:12" s="30" customFormat="1">
      <c r="A7" s="160" t="s">
        <v>171</v>
      </c>
      <c r="B7" s="160"/>
      <c r="C7" s="160"/>
      <c r="D7" s="160"/>
      <c r="E7" s="160"/>
      <c r="F7" s="29"/>
      <c r="G7" s="29"/>
      <c r="H7" s="29"/>
      <c r="I7" s="29"/>
      <c r="J7" s="29"/>
      <c r="K7" s="29"/>
      <c r="L7" s="161"/>
    </row>
    <row r="8" spans="1:12" s="30" customFormat="1">
      <c r="A8" s="738" t="s">
        <v>54</v>
      </c>
      <c r="B8" s="739"/>
      <c r="C8" s="739"/>
      <c r="D8" s="754"/>
      <c r="E8" s="162" t="s">
        <v>179</v>
      </c>
      <c r="F8" s="163" t="s">
        <v>55</v>
      </c>
      <c r="G8" s="163" t="s">
        <v>56</v>
      </c>
      <c r="H8" s="163" t="s">
        <v>72</v>
      </c>
      <c r="I8" s="163" t="s">
        <v>73</v>
      </c>
      <c r="J8" s="163" t="s">
        <v>74</v>
      </c>
      <c r="K8" s="163" t="s">
        <v>60</v>
      </c>
      <c r="L8" s="163" t="s">
        <v>61</v>
      </c>
    </row>
    <row r="9" spans="1:12" s="30" customFormat="1">
      <c r="A9" s="740"/>
      <c r="B9" s="741"/>
      <c r="C9" s="741"/>
      <c r="D9" s="755"/>
      <c r="E9" s="720" t="s">
        <v>182</v>
      </c>
      <c r="F9" s="752" t="s">
        <v>75</v>
      </c>
      <c r="G9" s="752" t="s">
        <v>76</v>
      </c>
      <c r="H9" s="759" t="s">
        <v>77</v>
      </c>
      <c r="I9" s="760"/>
      <c r="J9" s="760"/>
      <c r="K9" s="761"/>
      <c r="L9" s="752" t="s">
        <v>78</v>
      </c>
    </row>
    <row r="10" spans="1:12" s="30" customFormat="1">
      <c r="A10" s="756"/>
      <c r="B10" s="757"/>
      <c r="C10" s="757"/>
      <c r="D10" s="758"/>
      <c r="E10" s="720"/>
      <c r="F10" s="753"/>
      <c r="G10" s="753"/>
      <c r="H10" s="164" t="s">
        <v>79</v>
      </c>
      <c r="I10" s="164" t="s">
        <v>80</v>
      </c>
      <c r="J10" s="164" t="s">
        <v>81</v>
      </c>
      <c r="K10" s="164" t="s">
        <v>82</v>
      </c>
      <c r="L10" s="753"/>
    </row>
    <row r="11" spans="1:12" s="30" customFormat="1">
      <c r="A11" s="162" t="s">
        <v>179</v>
      </c>
      <c r="B11" s="726" t="s">
        <v>184</v>
      </c>
      <c r="C11" s="726"/>
      <c r="D11" s="726"/>
      <c r="E11" s="162" t="s">
        <v>185</v>
      </c>
      <c r="F11" s="165"/>
      <c r="G11" s="165"/>
      <c r="H11" s="165"/>
      <c r="I11" s="165"/>
      <c r="J11" s="165"/>
      <c r="K11" s="165"/>
      <c r="L11" s="165"/>
    </row>
    <row r="12" spans="1:12" s="30" customFormat="1">
      <c r="A12" s="166" t="s">
        <v>83</v>
      </c>
      <c r="B12" s="720" t="s">
        <v>186</v>
      </c>
      <c r="C12" s="710" t="s">
        <v>84</v>
      </c>
      <c r="D12" s="710"/>
      <c r="E12" s="165"/>
      <c r="F12" s="167"/>
      <c r="G12" s="167"/>
      <c r="H12" s="167"/>
      <c r="I12" s="167"/>
      <c r="J12" s="167"/>
      <c r="K12" s="168">
        <f t="shared" ref="K12:K62" si="0">SUM(H12:J12)</f>
        <v>0</v>
      </c>
      <c r="L12" s="169">
        <f t="shared" ref="L12:L62" si="1">F12+G12+K12</f>
        <v>0</v>
      </c>
    </row>
    <row r="13" spans="1:12" s="30" customFormat="1">
      <c r="A13" s="166" t="s">
        <v>85</v>
      </c>
      <c r="B13" s="720"/>
      <c r="C13" s="710" t="s">
        <v>86</v>
      </c>
      <c r="D13" s="710"/>
      <c r="E13" s="165"/>
      <c r="F13" s="167"/>
      <c r="G13" s="167"/>
      <c r="H13" s="167"/>
      <c r="I13" s="167"/>
      <c r="J13" s="167"/>
      <c r="K13" s="168">
        <f t="shared" si="0"/>
        <v>0</v>
      </c>
      <c r="L13" s="169">
        <f t="shared" si="1"/>
        <v>0</v>
      </c>
    </row>
    <row r="14" spans="1:12" s="30" customFormat="1">
      <c r="A14" s="166" t="s">
        <v>87</v>
      </c>
      <c r="B14" s="720"/>
      <c r="C14" s="710" t="s">
        <v>57</v>
      </c>
      <c r="D14" s="710"/>
      <c r="E14" s="165"/>
      <c r="F14" s="167"/>
      <c r="G14" s="167"/>
      <c r="H14" s="167"/>
      <c r="I14" s="167"/>
      <c r="J14" s="167"/>
      <c r="K14" s="168">
        <f t="shared" si="0"/>
        <v>0</v>
      </c>
      <c r="L14" s="169">
        <f t="shared" si="1"/>
        <v>0</v>
      </c>
    </row>
    <row r="15" spans="1:12" s="30" customFormat="1">
      <c r="A15" s="166" t="s">
        <v>88</v>
      </c>
      <c r="B15" s="720"/>
      <c r="C15" s="710" t="s">
        <v>58</v>
      </c>
      <c r="D15" s="710"/>
      <c r="E15" s="165"/>
      <c r="F15" s="167"/>
      <c r="G15" s="167"/>
      <c r="H15" s="167"/>
      <c r="I15" s="167"/>
      <c r="J15" s="167"/>
      <c r="K15" s="168">
        <f t="shared" si="0"/>
        <v>0</v>
      </c>
      <c r="L15" s="169">
        <f t="shared" si="1"/>
        <v>0</v>
      </c>
    </row>
    <row r="16" spans="1:12" s="30" customFormat="1">
      <c r="A16" s="166" t="s">
        <v>89</v>
      </c>
      <c r="B16" s="720"/>
      <c r="C16" s="751" t="s">
        <v>187</v>
      </c>
      <c r="D16" s="170" t="s">
        <v>90</v>
      </c>
      <c r="E16" s="165"/>
      <c r="F16" s="167"/>
      <c r="G16" s="167"/>
      <c r="H16" s="167"/>
      <c r="I16" s="167"/>
      <c r="J16" s="167"/>
      <c r="K16" s="168">
        <f t="shared" si="0"/>
        <v>0</v>
      </c>
      <c r="L16" s="169">
        <f t="shared" si="1"/>
        <v>0</v>
      </c>
    </row>
    <row r="17" spans="1:12" s="30" customFormat="1">
      <c r="A17" s="171" t="s">
        <v>188</v>
      </c>
      <c r="B17" s="720"/>
      <c r="C17" s="730"/>
      <c r="D17" s="170" t="s">
        <v>189</v>
      </c>
      <c r="E17" s="165"/>
      <c r="F17" s="172"/>
      <c r="G17" s="172"/>
      <c r="H17" s="172"/>
      <c r="I17" s="172"/>
      <c r="J17" s="172"/>
      <c r="K17" s="168">
        <f t="shared" si="0"/>
        <v>0</v>
      </c>
      <c r="L17" s="169">
        <f t="shared" si="1"/>
        <v>0</v>
      </c>
    </row>
    <row r="18" spans="1:12" s="30" customFormat="1">
      <c r="A18" s="171" t="s">
        <v>190</v>
      </c>
      <c r="B18" s="720"/>
      <c r="C18" s="730"/>
      <c r="D18" s="170" t="s">
        <v>191</v>
      </c>
      <c r="E18" s="165"/>
      <c r="F18" s="172"/>
      <c r="G18" s="172"/>
      <c r="H18" s="172"/>
      <c r="I18" s="172"/>
      <c r="J18" s="172"/>
      <c r="K18" s="168">
        <f t="shared" si="0"/>
        <v>0</v>
      </c>
      <c r="L18" s="169">
        <f t="shared" si="1"/>
        <v>0</v>
      </c>
    </row>
    <row r="19" spans="1:12" s="30" customFormat="1">
      <c r="A19" s="166" t="s">
        <v>91</v>
      </c>
      <c r="B19" s="720"/>
      <c r="C19" s="730"/>
      <c r="D19" s="170" t="s">
        <v>92</v>
      </c>
      <c r="E19" s="165"/>
      <c r="F19" s="167"/>
      <c r="G19" s="167"/>
      <c r="H19" s="167"/>
      <c r="I19" s="167"/>
      <c r="J19" s="167"/>
      <c r="K19" s="168">
        <f t="shared" si="0"/>
        <v>0</v>
      </c>
      <c r="L19" s="169">
        <f t="shared" si="1"/>
        <v>0</v>
      </c>
    </row>
    <row r="20" spans="1:12" s="30" customFormat="1">
      <c r="A20" s="171" t="s">
        <v>192</v>
      </c>
      <c r="B20" s="720"/>
      <c r="C20" s="730"/>
      <c r="D20" s="170" t="s">
        <v>189</v>
      </c>
      <c r="E20" s="165"/>
      <c r="F20" s="172"/>
      <c r="G20" s="172"/>
      <c r="H20" s="172"/>
      <c r="I20" s="172"/>
      <c r="J20" s="172"/>
      <c r="K20" s="168">
        <f t="shared" si="0"/>
        <v>0</v>
      </c>
      <c r="L20" s="169">
        <f t="shared" si="1"/>
        <v>0</v>
      </c>
    </row>
    <row r="21" spans="1:12" s="30" customFormat="1">
      <c r="A21" s="171" t="s">
        <v>193</v>
      </c>
      <c r="B21" s="720"/>
      <c r="C21" s="730"/>
      <c r="D21" s="170" t="s">
        <v>191</v>
      </c>
      <c r="E21" s="165"/>
      <c r="F21" s="172"/>
      <c r="G21" s="172"/>
      <c r="H21" s="172"/>
      <c r="I21" s="172"/>
      <c r="J21" s="172"/>
      <c r="K21" s="168">
        <f t="shared" si="0"/>
        <v>0</v>
      </c>
      <c r="L21" s="169">
        <f t="shared" si="1"/>
        <v>0</v>
      </c>
    </row>
    <row r="22" spans="1:12" s="30" customFormat="1">
      <c r="A22" s="166" t="s">
        <v>71</v>
      </c>
      <c r="B22" s="720"/>
      <c r="C22" s="730"/>
      <c r="D22" s="170" t="s">
        <v>68</v>
      </c>
      <c r="E22" s="165"/>
      <c r="F22" s="167"/>
      <c r="G22" s="167"/>
      <c r="H22" s="167"/>
      <c r="I22" s="167"/>
      <c r="J22" s="167"/>
      <c r="K22" s="168">
        <f t="shared" si="0"/>
        <v>0</v>
      </c>
      <c r="L22" s="169">
        <f t="shared" si="1"/>
        <v>0</v>
      </c>
    </row>
    <row r="23" spans="1:12" s="30" customFormat="1">
      <c r="A23" s="166" t="s">
        <v>93</v>
      </c>
      <c r="B23" s="720"/>
      <c r="C23" s="727"/>
      <c r="D23" s="170" t="s">
        <v>67</v>
      </c>
      <c r="E23" s="165"/>
      <c r="F23" s="167"/>
      <c r="G23" s="167"/>
      <c r="H23" s="167"/>
      <c r="I23" s="167"/>
      <c r="J23" s="167"/>
      <c r="K23" s="168">
        <f t="shared" si="0"/>
        <v>0</v>
      </c>
      <c r="L23" s="169">
        <f t="shared" si="1"/>
        <v>0</v>
      </c>
    </row>
    <row r="24" spans="1:12" s="30" customFormat="1">
      <c r="A24" s="166" t="s">
        <v>55</v>
      </c>
      <c r="B24" s="720"/>
      <c r="C24" s="710" t="s">
        <v>67</v>
      </c>
      <c r="D24" s="710"/>
      <c r="E24" s="165"/>
      <c r="F24" s="173"/>
      <c r="G24" s="173"/>
      <c r="H24" s="173"/>
      <c r="I24" s="173"/>
      <c r="J24" s="173"/>
      <c r="K24" s="168">
        <f t="shared" si="0"/>
        <v>0</v>
      </c>
      <c r="L24" s="169">
        <f t="shared" si="1"/>
        <v>0</v>
      </c>
    </row>
    <row r="25" spans="1:12" s="30" customFormat="1">
      <c r="A25" s="166" t="s">
        <v>94</v>
      </c>
      <c r="B25" s="720" t="s">
        <v>194</v>
      </c>
      <c r="C25" s="710" t="s">
        <v>95</v>
      </c>
      <c r="D25" s="710"/>
      <c r="E25" s="165"/>
      <c r="F25" s="167"/>
      <c r="G25" s="167"/>
      <c r="H25" s="167"/>
      <c r="I25" s="167"/>
      <c r="J25" s="167"/>
      <c r="K25" s="168">
        <f t="shared" si="0"/>
        <v>0</v>
      </c>
      <c r="L25" s="169">
        <f t="shared" si="1"/>
        <v>0</v>
      </c>
    </row>
    <row r="26" spans="1:12" s="30" customFormat="1">
      <c r="A26" s="166" t="s">
        <v>96</v>
      </c>
      <c r="B26" s="720"/>
      <c r="C26" s="710" t="s">
        <v>97</v>
      </c>
      <c r="D26" s="710"/>
      <c r="E26" s="165"/>
      <c r="F26" s="167"/>
      <c r="G26" s="167"/>
      <c r="H26" s="167"/>
      <c r="I26" s="167"/>
      <c r="J26" s="167"/>
      <c r="K26" s="168">
        <f t="shared" si="0"/>
        <v>0</v>
      </c>
      <c r="L26" s="169">
        <f t="shared" si="1"/>
        <v>0</v>
      </c>
    </row>
    <row r="27" spans="1:12" s="30" customFormat="1">
      <c r="A27" s="166" t="s">
        <v>98</v>
      </c>
      <c r="B27" s="720"/>
      <c r="C27" s="710" t="s">
        <v>99</v>
      </c>
      <c r="D27" s="710"/>
      <c r="E27" s="165"/>
      <c r="F27" s="167"/>
      <c r="G27" s="167"/>
      <c r="H27" s="167"/>
      <c r="I27" s="167"/>
      <c r="J27" s="167"/>
      <c r="K27" s="168">
        <f t="shared" si="0"/>
        <v>0</v>
      </c>
      <c r="L27" s="169">
        <f t="shared" si="1"/>
        <v>0</v>
      </c>
    </row>
    <row r="28" spans="1:12" s="30" customFormat="1">
      <c r="A28" s="166" t="s">
        <v>100</v>
      </c>
      <c r="B28" s="720"/>
      <c r="C28" s="710" t="s">
        <v>101</v>
      </c>
      <c r="D28" s="710"/>
      <c r="E28" s="165"/>
      <c r="F28" s="167"/>
      <c r="G28" s="167"/>
      <c r="H28" s="167"/>
      <c r="I28" s="167"/>
      <c r="J28" s="167"/>
      <c r="K28" s="168">
        <f t="shared" si="0"/>
        <v>0</v>
      </c>
      <c r="L28" s="169">
        <f t="shared" si="1"/>
        <v>0</v>
      </c>
    </row>
    <row r="29" spans="1:12" s="30" customFormat="1">
      <c r="A29" s="166" t="s">
        <v>56</v>
      </c>
      <c r="B29" s="720"/>
      <c r="C29" s="710" t="s">
        <v>67</v>
      </c>
      <c r="D29" s="710"/>
      <c r="E29" s="165"/>
      <c r="F29" s="173"/>
      <c r="G29" s="173"/>
      <c r="H29" s="173"/>
      <c r="I29" s="173"/>
      <c r="J29" s="173"/>
      <c r="K29" s="168">
        <f t="shared" si="0"/>
        <v>0</v>
      </c>
      <c r="L29" s="169">
        <f t="shared" si="1"/>
        <v>0</v>
      </c>
    </row>
    <row r="30" spans="1:12" s="30" customFormat="1">
      <c r="A30" s="166" t="s">
        <v>72</v>
      </c>
      <c r="B30" s="720" t="s">
        <v>195</v>
      </c>
      <c r="C30" s="710" t="s">
        <v>102</v>
      </c>
      <c r="D30" s="710"/>
      <c r="E30" s="165"/>
      <c r="F30" s="167"/>
      <c r="G30" s="167"/>
      <c r="H30" s="167"/>
      <c r="I30" s="167"/>
      <c r="J30" s="167"/>
      <c r="K30" s="168">
        <f t="shared" si="0"/>
        <v>0</v>
      </c>
      <c r="L30" s="169">
        <f t="shared" si="1"/>
        <v>0</v>
      </c>
    </row>
    <row r="31" spans="1:12" s="30" customFormat="1">
      <c r="A31" s="166" t="s">
        <v>73</v>
      </c>
      <c r="B31" s="720"/>
      <c r="C31" s="710" t="s">
        <v>103</v>
      </c>
      <c r="D31" s="710"/>
      <c r="E31" s="165"/>
      <c r="F31" s="167"/>
      <c r="G31" s="167"/>
      <c r="H31" s="167"/>
      <c r="I31" s="167"/>
      <c r="J31" s="167"/>
      <c r="K31" s="168">
        <f t="shared" si="0"/>
        <v>0</v>
      </c>
      <c r="L31" s="169">
        <f t="shared" si="1"/>
        <v>0</v>
      </c>
    </row>
    <row r="32" spans="1:12" s="30" customFormat="1">
      <c r="A32" s="166" t="s">
        <v>74</v>
      </c>
      <c r="B32" s="720"/>
      <c r="C32" s="710" t="s">
        <v>104</v>
      </c>
      <c r="D32" s="710"/>
      <c r="E32" s="165"/>
      <c r="F32" s="167"/>
      <c r="G32" s="167"/>
      <c r="H32" s="167"/>
      <c r="I32" s="167"/>
      <c r="J32" s="167"/>
      <c r="K32" s="168">
        <f t="shared" si="0"/>
        <v>0</v>
      </c>
      <c r="L32" s="169">
        <f t="shared" si="1"/>
        <v>0</v>
      </c>
    </row>
    <row r="33" spans="1:12" s="30" customFormat="1">
      <c r="A33" s="166" t="s">
        <v>105</v>
      </c>
      <c r="B33" s="720"/>
      <c r="C33" s="710" t="s">
        <v>106</v>
      </c>
      <c r="D33" s="710"/>
      <c r="E33" s="165"/>
      <c r="F33" s="167"/>
      <c r="G33" s="167"/>
      <c r="H33" s="167"/>
      <c r="I33" s="167"/>
      <c r="J33" s="167"/>
      <c r="K33" s="168">
        <f t="shared" si="0"/>
        <v>0</v>
      </c>
      <c r="L33" s="169">
        <f t="shared" si="1"/>
        <v>0</v>
      </c>
    </row>
    <row r="34" spans="1:12" s="30" customFormat="1">
      <c r="A34" s="166" t="s">
        <v>107</v>
      </c>
      <c r="B34" s="720"/>
      <c r="C34" s="710" t="s">
        <v>108</v>
      </c>
      <c r="D34" s="710"/>
      <c r="E34" s="165"/>
      <c r="F34" s="167"/>
      <c r="G34" s="167"/>
      <c r="H34" s="167"/>
      <c r="I34" s="167"/>
      <c r="J34" s="167"/>
      <c r="K34" s="168">
        <f t="shared" si="0"/>
        <v>0</v>
      </c>
      <c r="L34" s="169">
        <f t="shared" si="1"/>
        <v>0</v>
      </c>
    </row>
    <row r="35" spans="1:12" s="30" customFormat="1">
      <c r="A35" s="166" t="s">
        <v>109</v>
      </c>
      <c r="B35" s="720"/>
      <c r="C35" s="710" t="s">
        <v>110</v>
      </c>
      <c r="D35" s="710"/>
      <c r="E35" s="165"/>
      <c r="F35" s="167"/>
      <c r="G35" s="167"/>
      <c r="H35" s="167"/>
      <c r="I35" s="167"/>
      <c r="J35" s="167"/>
      <c r="K35" s="168">
        <f t="shared" si="0"/>
        <v>0</v>
      </c>
      <c r="L35" s="169">
        <f t="shared" si="1"/>
        <v>0</v>
      </c>
    </row>
    <row r="36" spans="1:12" s="30" customFormat="1">
      <c r="A36" s="166" t="s">
        <v>60</v>
      </c>
      <c r="B36" s="720"/>
      <c r="C36" s="710" t="s">
        <v>67</v>
      </c>
      <c r="D36" s="710"/>
      <c r="E36" s="165"/>
      <c r="F36" s="173"/>
      <c r="G36" s="173"/>
      <c r="H36" s="173"/>
      <c r="I36" s="173"/>
      <c r="J36" s="173"/>
      <c r="K36" s="168">
        <f t="shared" si="0"/>
        <v>0</v>
      </c>
      <c r="L36" s="169">
        <f t="shared" si="1"/>
        <v>0</v>
      </c>
    </row>
    <row r="37" spans="1:12" s="30" customFormat="1">
      <c r="A37" s="166" t="s">
        <v>61</v>
      </c>
      <c r="B37" s="710" t="s">
        <v>111</v>
      </c>
      <c r="C37" s="710"/>
      <c r="D37" s="710"/>
      <c r="E37" s="165"/>
      <c r="F37" s="174"/>
      <c r="G37" s="167"/>
      <c r="H37" s="167"/>
      <c r="I37" s="167"/>
      <c r="J37" s="167"/>
      <c r="K37" s="168">
        <f t="shared" si="0"/>
        <v>0</v>
      </c>
      <c r="L37" s="169">
        <f t="shared" si="1"/>
        <v>0</v>
      </c>
    </row>
    <row r="38" spans="1:12" s="30" customFormat="1">
      <c r="A38" s="166" t="s">
        <v>112</v>
      </c>
      <c r="B38" s="720" t="s">
        <v>113</v>
      </c>
      <c r="C38" s="710" t="s">
        <v>114</v>
      </c>
      <c r="D38" s="710"/>
      <c r="E38" s="165"/>
      <c r="F38" s="167"/>
      <c r="G38" s="167"/>
      <c r="H38" s="167"/>
      <c r="I38" s="167"/>
      <c r="J38" s="167"/>
      <c r="K38" s="168">
        <f t="shared" si="0"/>
        <v>0</v>
      </c>
      <c r="L38" s="169">
        <f t="shared" si="1"/>
        <v>0</v>
      </c>
    </row>
    <row r="39" spans="1:12" s="30" customFormat="1">
      <c r="A39" s="166" t="s">
        <v>115</v>
      </c>
      <c r="B39" s="720"/>
      <c r="C39" s="710" t="s">
        <v>116</v>
      </c>
      <c r="D39" s="710"/>
      <c r="E39" s="165"/>
      <c r="F39" s="167"/>
      <c r="G39" s="167"/>
      <c r="H39" s="167"/>
      <c r="I39" s="167"/>
      <c r="J39" s="167"/>
      <c r="K39" s="168">
        <f t="shared" si="0"/>
        <v>0</v>
      </c>
      <c r="L39" s="169">
        <f t="shared" si="1"/>
        <v>0</v>
      </c>
    </row>
    <row r="40" spans="1:12" s="30" customFormat="1">
      <c r="A40" s="166" t="s">
        <v>117</v>
      </c>
      <c r="B40" s="720"/>
      <c r="C40" s="710" t="s">
        <v>118</v>
      </c>
      <c r="D40" s="710"/>
      <c r="E40" s="165"/>
      <c r="F40" s="167"/>
      <c r="G40" s="167"/>
      <c r="H40" s="167"/>
      <c r="I40" s="167"/>
      <c r="J40" s="167"/>
      <c r="K40" s="168">
        <f t="shared" si="0"/>
        <v>0</v>
      </c>
      <c r="L40" s="169">
        <f t="shared" si="1"/>
        <v>0</v>
      </c>
    </row>
    <row r="41" spans="1:12" s="30" customFormat="1">
      <c r="A41" s="166" t="s">
        <v>119</v>
      </c>
      <c r="B41" s="720"/>
      <c r="C41" s="710" t="s">
        <v>120</v>
      </c>
      <c r="D41" s="710"/>
      <c r="E41" s="165"/>
      <c r="F41" s="167"/>
      <c r="G41" s="167"/>
      <c r="H41" s="167"/>
      <c r="I41" s="167"/>
      <c r="J41" s="167"/>
      <c r="K41" s="168">
        <f t="shared" si="0"/>
        <v>0</v>
      </c>
      <c r="L41" s="169">
        <f t="shared" si="1"/>
        <v>0</v>
      </c>
    </row>
    <row r="42" spans="1:12" s="30" customFormat="1">
      <c r="A42" s="166" t="s">
        <v>121</v>
      </c>
      <c r="B42" s="720"/>
      <c r="C42" s="710" t="s">
        <v>122</v>
      </c>
      <c r="D42" s="710"/>
      <c r="E42" s="165"/>
      <c r="F42" s="167"/>
      <c r="G42" s="167"/>
      <c r="H42" s="167"/>
      <c r="I42" s="167"/>
      <c r="J42" s="167"/>
      <c r="K42" s="168">
        <f t="shared" si="0"/>
        <v>0</v>
      </c>
      <c r="L42" s="169">
        <f t="shared" si="1"/>
        <v>0</v>
      </c>
    </row>
    <row r="43" spans="1:12" s="30" customFormat="1">
      <c r="A43" s="166" t="s">
        <v>123</v>
      </c>
      <c r="B43" s="720"/>
      <c r="C43" s="710" t="s">
        <v>124</v>
      </c>
      <c r="D43" s="710"/>
      <c r="E43" s="165"/>
      <c r="F43" s="167"/>
      <c r="G43" s="167"/>
      <c r="H43" s="167"/>
      <c r="I43" s="167"/>
      <c r="J43" s="167"/>
      <c r="K43" s="168">
        <f t="shared" si="0"/>
        <v>0</v>
      </c>
      <c r="L43" s="169">
        <f t="shared" si="1"/>
        <v>0</v>
      </c>
    </row>
    <row r="44" spans="1:12" s="30" customFormat="1">
      <c r="A44" s="166" t="s">
        <v>125</v>
      </c>
      <c r="B44" s="720"/>
      <c r="C44" s="710" t="s">
        <v>126</v>
      </c>
      <c r="D44" s="710"/>
      <c r="E44" s="165"/>
      <c r="F44" s="167"/>
      <c r="G44" s="167"/>
      <c r="H44" s="167"/>
      <c r="I44" s="167"/>
      <c r="J44" s="167"/>
      <c r="K44" s="168">
        <f t="shared" si="0"/>
        <v>0</v>
      </c>
      <c r="L44" s="169">
        <f t="shared" si="1"/>
        <v>0</v>
      </c>
    </row>
    <row r="45" spans="1:12" s="30" customFormat="1">
      <c r="A45" s="166" t="s">
        <v>127</v>
      </c>
      <c r="B45" s="720"/>
      <c r="C45" s="710" t="s">
        <v>128</v>
      </c>
      <c r="D45" s="710"/>
      <c r="E45" s="165"/>
      <c r="F45" s="174"/>
      <c r="G45" s="167"/>
      <c r="H45" s="167"/>
      <c r="I45" s="167"/>
      <c r="J45" s="167"/>
      <c r="K45" s="168">
        <f t="shared" si="0"/>
        <v>0</v>
      </c>
      <c r="L45" s="169">
        <f t="shared" si="1"/>
        <v>0</v>
      </c>
    </row>
    <row r="46" spans="1:12" s="30" customFormat="1">
      <c r="A46" s="166" t="s">
        <v>62</v>
      </c>
      <c r="B46" s="720"/>
      <c r="C46" s="710" t="s">
        <v>67</v>
      </c>
      <c r="D46" s="710"/>
      <c r="E46" s="165"/>
      <c r="F46" s="167"/>
      <c r="G46" s="167"/>
      <c r="H46" s="167"/>
      <c r="I46" s="167"/>
      <c r="J46" s="167"/>
      <c r="K46" s="168">
        <f t="shared" si="0"/>
        <v>0</v>
      </c>
      <c r="L46" s="169">
        <f t="shared" si="1"/>
        <v>0</v>
      </c>
    </row>
    <row r="47" spans="1:12" s="30" customFormat="1">
      <c r="A47" s="166" t="s">
        <v>129</v>
      </c>
      <c r="B47" s="720" t="s">
        <v>66</v>
      </c>
      <c r="C47" s="710" t="s">
        <v>130</v>
      </c>
      <c r="D47" s="710"/>
      <c r="E47" s="165"/>
      <c r="F47" s="167"/>
      <c r="G47" s="167"/>
      <c r="H47" s="167"/>
      <c r="I47" s="167"/>
      <c r="J47" s="167"/>
      <c r="K47" s="168">
        <f t="shared" si="0"/>
        <v>0</v>
      </c>
      <c r="L47" s="169">
        <f t="shared" si="1"/>
        <v>0</v>
      </c>
    </row>
    <row r="48" spans="1:12" s="30" customFormat="1">
      <c r="A48" s="175" t="s">
        <v>131</v>
      </c>
      <c r="B48" s="720"/>
      <c r="C48" s="723" t="s">
        <v>217</v>
      </c>
      <c r="D48" s="723"/>
      <c r="E48" s="165"/>
      <c r="F48" s="167"/>
      <c r="G48" s="167"/>
      <c r="H48" s="167"/>
      <c r="I48" s="167"/>
      <c r="J48" s="167"/>
      <c r="K48" s="168">
        <f t="shared" si="0"/>
        <v>0</v>
      </c>
      <c r="L48" s="169">
        <f t="shared" si="1"/>
        <v>0</v>
      </c>
    </row>
    <row r="49" spans="1:12" s="30" customFormat="1">
      <c r="A49" s="166" t="s">
        <v>215</v>
      </c>
      <c r="B49" s="720"/>
      <c r="C49" s="724" t="s">
        <v>216</v>
      </c>
      <c r="D49" s="725"/>
      <c r="E49" s="165"/>
      <c r="F49" s="176"/>
      <c r="G49" s="176"/>
      <c r="H49" s="176"/>
      <c r="I49" s="176"/>
      <c r="J49" s="176"/>
      <c r="K49" s="168">
        <f>SUM(H49:J49)</f>
        <v>0</v>
      </c>
      <c r="L49" s="169">
        <f>F49+G49+K49</f>
        <v>0</v>
      </c>
    </row>
    <row r="50" spans="1:12" s="30" customFormat="1">
      <c r="A50" s="166" t="s">
        <v>132</v>
      </c>
      <c r="B50" s="720"/>
      <c r="C50" s="710" t="s">
        <v>133</v>
      </c>
      <c r="D50" s="710"/>
      <c r="E50" s="165"/>
      <c r="F50" s="177"/>
      <c r="G50" s="177"/>
      <c r="H50" s="177"/>
      <c r="I50" s="177"/>
      <c r="J50" s="177"/>
      <c r="K50" s="168">
        <f t="shared" si="0"/>
        <v>0</v>
      </c>
      <c r="L50" s="169">
        <f t="shared" si="1"/>
        <v>0</v>
      </c>
    </row>
    <row r="51" spans="1:12" s="30" customFormat="1">
      <c r="A51" s="166" t="s">
        <v>134</v>
      </c>
      <c r="B51" s="720"/>
      <c r="C51" s="710" t="s">
        <v>135</v>
      </c>
      <c r="D51" s="710"/>
      <c r="E51" s="165"/>
      <c r="F51" s="178"/>
      <c r="G51" s="178"/>
      <c r="H51" s="178"/>
      <c r="I51" s="178"/>
      <c r="J51" s="178"/>
      <c r="K51" s="168">
        <f t="shared" si="0"/>
        <v>0</v>
      </c>
      <c r="L51" s="169">
        <f t="shared" si="1"/>
        <v>0</v>
      </c>
    </row>
    <row r="52" spans="1:12" s="30" customFormat="1">
      <c r="A52" s="166" t="s">
        <v>136</v>
      </c>
      <c r="B52" s="720"/>
      <c r="C52" s="710" t="s">
        <v>67</v>
      </c>
      <c r="D52" s="710"/>
      <c r="E52" s="165"/>
      <c r="F52" s="173"/>
      <c r="G52" s="173"/>
      <c r="H52" s="173"/>
      <c r="I52" s="173"/>
      <c r="J52" s="173"/>
      <c r="K52" s="168">
        <f t="shared" si="0"/>
        <v>0</v>
      </c>
      <c r="L52" s="179">
        <f t="shared" si="1"/>
        <v>0</v>
      </c>
    </row>
    <row r="53" spans="1:12" s="30" customFormat="1">
      <c r="A53" s="166" t="s">
        <v>63</v>
      </c>
      <c r="B53" s="710" t="s">
        <v>137</v>
      </c>
      <c r="C53" s="710"/>
      <c r="D53" s="710"/>
      <c r="E53" s="165"/>
      <c r="F53" s="167"/>
      <c r="G53" s="167"/>
      <c r="H53" s="167"/>
      <c r="I53" s="167"/>
      <c r="J53" s="167"/>
      <c r="K53" s="168">
        <f t="shared" si="0"/>
        <v>0</v>
      </c>
      <c r="L53" s="169">
        <f t="shared" si="1"/>
        <v>0</v>
      </c>
    </row>
    <row r="54" spans="1:12" s="30" customFormat="1">
      <c r="A54" s="175" t="s">
        <v>139</v>
      </c>
      <c r="B54" s="722" t="s">
        <v>138</v>
      </c>
      <c r="C54" s="723" t="s">
        <v>196</v>
      </c>
      <c r="D54" s="723"/>
      <c r="E54" s="165"/>
      <c r="F54" s="167"/>
      <c r="G54" s="173"/>
      <c r="H54" s="173"/>
      <c r="I54" s="173"/>
      <c r="J54" s="173"/>
      <c r="K54" s="168">
        <f t="shared" si="0"/>
        <v>0</v>
      </c>
      <c r="L54" s="169">
        <f t="shared" si="1"/>
        <v>0</v>
      </c>
    </row>
    <row r="55" spans="1:12" s="30" customFormat="1">
      <c r="A55" s="610" t="s">
        <v>1733</v>
      </c>
      <c r="B55" s="722"/>
      <c r="C55" s="723" t="s">
        <v>197</v>
      </c>
      <c r="D55" s="723"/>
      <c r="E55" s="165"/>
      <c r="F55" s="178"/>
      <c r="G55" s="181"/>
      <c r="H55" s="181"/>
      <c r="I55" s="181"/>
      <c r="J55" s="181"/>
      <c r="K55" s="168">
        <f t="shared" si="0"/>
        <v>0</v>
      </c>
      <c r="L55" s="179">
        <f t="shared" si="1"/>
        <v>0</v>
      </c>
    </row>
    <row r="56" spans="1:12" s="30" customFormat="1">
      <c r="A56" s="175" t="s">
        <v>1734</v>
      </c>
      <c r="B56" s="722"/>
      <c r="C56" s="723" t="s">
        <v>198</v>
      </c>
      <c r="D56" s="723"/>
      <c r="E56" s="165"/>
      <c r="F56" s="167"/>
      <c r="G56" s="173"/>
      <c r="H56" s="173"/>
      <c r="I56" s="173"/>
      <c r="J56" s="173"/>
      <c r="K56" s="168">
        <f t="shared" si="0"/>
        <v>0</v>
      </c>
      <c r="L56" s="169">
        <f t="shared" si="1"/>
        <v>0</v>
      </c>
    </row>
    <row r="57" spans="1:12" s="30" customFormat="1">
      <c r="A57" s="175" t="s">
        <v>1735</v>
      </c>
      <c r="B57" s="722"/>
      <c r="C57" s="723" t="s">
        <v>199</v>
      </c>
      <c r="D57" s="723"/>
      <c r="E57" s="165"/>
      <c r="F57" s="167"/>
      <c r="G57" s="173"/>
      <c r="H57" s="173"/>
      <c r="I57" s="173"/>
      <c r="J57" s="173"/>
      <c r="K57" s="168">
        <f t="shared" si="0"/>
        <v>0</v>
      </c>
      <c r="L57" s="169">
        <f t="shared" si="1"/>
        <v>0</v>
      </c>
    </row>
    <row r="58" spans="1:12" s="30" customFormat="1">
      <c r="A58" s="175" t="s">
        <v>64</v>
      </c>
      <c r="B58" s="722"/>
      <c r="C58" s="723" t="s">
        <v>67</v>
      </c>
      <c r="D58" s="723"/>
      <c r="E58" s="165"/>
      <c r="F58" s="167"/>
      <c r="G58" s="167"/>
      <c r="H58" s="167"/>
      <c r="I58" s="167"/>
      <c r="J58" s="167"/>
      <c r="K58" s="168">
        <f t="shared" si="0"/>
        <v>0</v>
      </c>
      <c r="L58" s="169">
        <f t="shared" si="1"/>
        <v>0</v>
      </c>
    </row>
    <row r="59" spans="1:12" s="30" customFormat="1">
      <c r="A59" s="166" t="s">
        <v>140</v>
      </c>
      <c r="B59" s="720" t="s">
        <v>200</v>
      </c>
      <c r="C59" s="710" t="s">
        <v>141</v>
      </c>
      <c r="D59" s="710"/>
      <c r="E59" s="165"/>
      <c r="F59" s="178"/>
      <c r="G59" s="178"/>
      <c r="H59" s="178"/>
      <c r="I59" s="178"/>
      <c r="J59" s="178"/>
      <c r="K59" s="168">
        <f t="shared" si="0"/>
        <v>0</v>
      </c>
      <c r="L59" s="179">
        <f t="shared" si="1"/>
        <v>0</v>
      </c>
    </row>
    <row r="60" spans="1:12" s="30" customFormat="1">
      <c r="A60" s="166" t="s">
        <v>142</v>
      </c>
      <c r="B60" s="720"/>
      <c r="C60" s="710" t="s">
        <v>143</v>
      </c>
      <c r="D60" s="710"/>
      <c r="E60" s="165"/>
      <c r="F60" s="167"/>
      <c r="G60" s="167"/>
      <c r="H60" s="167"/>
      <c r="I60" s="167"/>
      <c r="J60" s="167"/>
      <c r="K60" s="168">
        <f t="shared" si="0"/>
        <v>0</v>
      </c>
      <c r="L60" s="169">
        <f t="shared" si="1"/>
        <v>0</v>
      </c>
    </row>
    <row r="61" spans="1:12" s="30" customFormat="1">
      <c r="A61" s="166" t="s">
        <v>144</v>
      </c>
      <c r="B61" s="720"/>
      <c r="C61" s="710" t="s">
        <v>145</v>
      </c>
      <c r="D61" s="710"/>
      <c r="E61" s="165"/>
      <c r="F61" s="167"/>
      <c r="G61" s="167"/>
      <c r="H61" s="167"/>
      <c r="I61" s="167"/>
      <c r="J61" s="167"/>
      <c r="K61" s="168">
        <f t="shared" si="0"/>
        <v>0</v>
      </c>
      <c r="L61" s="169">
        <f t="shared" si="1"/>
        <v>0</v>
      </c>
    </row>
    <row r="62" spans="1:12" s="30" customFormat="1">
      <c r="A62" s="166" t="s">
        <v>146</v>
      </c>
      <c r="B62" s="720"/>
      <c r="C62" s="733" t="s">
        <v>147</v>
      </c>
      <c r="D62" s="750"/>
      <c r="E62" s="165"/>
      <c r="F62" s="173"/>
      <c r="G62" s="173"/>
      <c r="H62" s="173"/>
      <c r="I62" s="173"/>
      <c r="J62" s="173"/>
      <c r="K62" s="168">
        <f t="shared" si="0"/>
        <v>0</v>
      </c>
      <c r="L62" s="169">
        <f t="shared" si="1"/>
        <v>0</v>
      </c>
    </row>
    <row r="63" spans="1:12" s="30" customFormat="1">
      <c r="A63" s="171" t="s">
        <v>201</v>
      </c>
      <c r="B63" s="720"/>
      <c r="C63" s="710" t="s">
        <v>202</v>
      </c>
      <c r="D63" s="733"/>
      <c r="E63" s="165"/>
      <c r="F63" s="173"/>
      <c r="G63" s="173"/>
      <c r="H63" s="173"/>
      <c r="I63" s="173"/>
      <c r="J63" s="173"/>
      <c r="K63" s="168"/>
      <c r="L63" s="169"/>
    </row>
    <row r="64" spans="1:12" s="30" customFormat="1">
      <c r="A64" s="166" t="s">
        <v>148</v>
      </c>
      <c r="B64" s="720"/>
      <c r="C64" s="710" t="s">
        <v>67</v>
      </c>
      <c r="D64" s="710"/>
      <c r="E64" s="165"/>
      <c r="F64" s="167"/>
      <c r="G64" s="167"/>
      <c r="H64" s="167"/>
      <c r="I64" s="167"/>
      <c r="J64" s="167"/>
      <c r="K64" s="168">
        <f t="shared" ref="K64:K77" si="2">SUM(H64:J64)</f>
        <v>0</v>
      </c>
      <c r="L64" s="169">
        <f t="shared" ref="L64:L77" si="3">F64+G64+K64</f>
        <v>0</v>
      </c>
    </row>
    <row r="65" spans="1:12" s="30" customFormat="1">
      <c r="A65" s="166" t="s">
        <v>149</v>
      </c>
      <c r="B65" s="720" t="s">
        <v>203</v>
      </c>
      <c r="C65" s="710" t="s">
        <v>150</v>
      </c>
      <c r="D65" s="710"/>
      <c r="E65" s="165"/>
      <c r="F65" s="167"/>
      <c r="G65" s="744"/>
      <c r="H65" s="745"/>
      <c r="I65" s="167"/>
      <c r="J65" s="167"/>
      <c r="K65" s="168">
        <f t="shared" si="2"/>
        <v>0</v>
      </c>
      <c r="L65" s="169">
        <f t="shared" si="3"/>
        <v>0</v>
      </c>
    </row>
    <row r="66" spans="1:12" s="30" customFormat="1">
      <c r="A66" s="166" t="s">
        <v>151</v>
      </c>
      <c r="B66" s="720"/>
      <c r="C66" s="710" t="s">
        <v>152</v>
      </c>
      <c r="D66" s="710"/>
      <c r="E66" s="165"/>
      <c r="F66" s="167"/>
      <c r="G66" s="167"/>
      <c r="H66" s="167"/>
      <c r="I66" s="167"/>
      <c r="J66" s="167"/>
      <c r="K66" s="168">
        <f t="shared" si="2"/>
        <v>0</v>
      </c>
      <c r="L66" s="169">
        <f t="shared" si="3"/>
        <v>0</v>
      </c>
    </row>
    <row r="67" spans="1:12" s="30" customFormat="1">
      <c r="A67" s="166" t="s">
        <v>153</v>
      </c>
      <c r="B67" s="720"/>
      <c r="C67" s="710" t="s">
        <v>67</v>
      </c>
      <c r="D67" s="710"/>
      <c r="E67" s="165"/>
      <c r="F67" s="173"/>
      <c r="G67" s="173"/>
      <c r="H67" s="173"/>
      <c r="I67" s="173"/>
      <c r="J67" s="173"/>
      <c r="K67" s="168">
        <f t="shared" si="2"/>
        <v>0</v>
      </c>
      <c r="L67" s="169">
        <f t="shared" si="3"/>
        <v>0</v>
      </c>
    </row>
    <row r="68" spans="1:12" s="30" customFormat="1">
      <c r="A68" s="166" t="s">
        <v>154</v>
      </c>
      <c r="B68" s="720" t="s">
        <v>155</v>
      </c>
      <c r="C68" s="710" t="s">
        <v>156</v>
      </c>
      <c r="D68" s="710"/>
      <c r="E68" s="165"/>
      <c r="F68" s="182"/>
      <c r="G68" s="182"/>
      <c r="H68" s="182"/>
      <c r="I68" s="182"/>
      <c r="J68" s="182"/>
      <c r="K68" s="172">
        <f t="shared" si="2"/>
        <v>0</v>
      </c>
      <c r="L68" s="183">
        <f t="shared" si="3"/>
        <v>0</v>
      </c>
    </row>
    <row r="69" spans="1:12" s="30" customFormat="1">
      <c r="A69" s="166" t="s">
        <v>157</v>
      </c>
      <c r="B69" s="720"/>
      <c r="C69" s="710" t="s">
        <v>158</v>
      </c>
      <c r="D69" s="710"/>
      <c r="E69" s="165"/>
      <c r="F69" s="182"/>
      <c r="G69" s="173"/>
      <c r="H69" s="173"/>
      <c r="I69" s="173"/>
      <c r="J69" s="173"/>
      <c r="K69" s="172">
        <f t="shared" si="2"/>
        <v>0</v>
      </c>
      <c r="L69" s="183">
        <f t="shared" si="3"/>
        <v>0</v>
      </c>
    </row>
    <row r="70" spans="1:12" s="30" customFormat="1">
      <c r="A70" s="166" t="s">
        <v>159</v>
      </c>
      <c r="B70" s="720"/>
      <c r="C70" s="710" t="s">
        <v>160</v>
      </c>
      <c r="D70" s="710"/>
      <c r="E70" s="165"/>
      <c r="F70" s="182"/>
      <c r="G70" s="173"/>
      <c r="H70" s="173"/>
      <c r="I70" s="173"/>
      <c r="J70" s="173"/>
      <c r="K70" s="172">
        <f t="shared" si="2"/>
        <v>0</v>
      </c>
      <c r="L70" s="183">
        <f t="shared" si="3"/>
        <v>0</v>
      </c>
    </row>
    <row r="71" spans="1:12" s="30" customFormat="1">
      <c r="A71" s="166" t="s">
        <v>161</v>
      </c>
      <c r="B71" s="720"/>
      <c r="C71" s="710" t="s">
        <v>162</v>
      </c>
      <c r="D71" s="710"/>
      <c r="E71" s="165"/>
      <c r="F71" s="182"/>
      <c r="G71" s="173"/>
      <c r="H71" s="173"/>
      <c r="I71" s="173"/>
      <c r="J71" s="173"/>
      <c r="K71" s="172">
        <f t="shared" si="2"/>
        <v>0</v>
      </c>
      <c r="L71" s="183">
        <f t="shared" si="3"/>
        <v>0</v>
      </c>
    </row>
    <row r="72" spans="1:12" s="30" customFormat="1">
      <c r="A72" s="166" t="s">
        <v>163</v>
      </c>
      <c r="B72" s="720"/>
      <c r="C72" s="710" t="s">
        <v>67</v>
      </c>
      <c r="D72" s="710"/>
      <c r="E72" s="165"/>
      <c r="F72" s="182"/>
      <c r="G72" s="182"/>
      <c r="H72" s="182"/>
      <c r="I72" s="182"/>
      <c r="J72" s="182"/>
      <c r="K72" s="172">
        <f t="shared" si="2"/>
        <v>0</v>
      </c>
      <c r="L72" s="183">
        <f t="shared" si="3"/>
        <v>0</v>
      </c>
    </row>
    <row r="73" spans="1:12" s="30" customFormat="1" ht="14.4" customHeight="1">
      <c r="A73" s="171" t="s">
        <v>248</v>
      </c>
      <c r="B73" s="711" t="s">
        <v>243</v>
      </c>
      <c r="C73" s="746"/>
      <c r="D73" s="713"/>
      <c r="E73" s="165"/>
      <c r="F73" s="168"/>
      <c r="G73" s="168"/>
      <c r="H73" s="168"/>
      <c r="I73" s="168"/>
      <c r="J73" s="168"/>
      <c r="K73" s="172"/>
      <c r="L73" s="183"/>
    </row>
    <row r="74" spans="1:12" s="30" customFormat="1">
      <c r="A74" s="180" t="s">
        <v>164</v>
      </c>
      <c r="B74" s="710" t="s">
        <v>165</v>
      </c>
      <c r="C74" s="710"/>
      <c r="D74" s="710"/>
      <c r="E74" s="165"/>
      <c r="F74" s="181"/>
      <c r="G74" s="181"/>
      <c r="H74" s="184"/>
      <c r="I74" s="184"/>
      <c r="J74" s="184"/>
      <c r="K74" s="168">
        <f t="shared" si="2"/>
        <v>0</v>
      </c>
      <c r="L74" s="179">
        <f t="shared" si="3"/>
        <v>0</v>
      </c>
    </row>
    <row r="75" spans="1:12" s="30" customFormat="1">
      <c r="A75" s="180" t="s">
        <v>166</v>
      </c>
      <c r="B75" s="747" t="s">
        <v>167</v>
      </c>
      <c r="C75" s="748"/>
      <c r="D75" s="749"/>
      <c r="E75" s="165"/>
      <c r="F75" s="181"/>
      <c r="G75" s="181"/>
      <c r="H75" s="184"/>
      <c r="I75" s="184"/>
      <c r="J75" s="184"/>
      <c r="K75" s="169">
        <f t="shared" si="2"/>
        <v>0</v>
      </c>
      <c r="L75" s="179">
        <f t="shared" si="3"/>
        <v>0</v>
      </c>
    </row>
    <row r="76" spans="1:12" s="30" customFormat="1">
      <c r="A76" s="166" t="s">
        <v>136</v>
      </c>
      <c r="B76" s="717" t="s">
        <v>241</v>
      </c>
      <c r="C76" s="718"/>
      <c r="D76" s="719"/>
      <c r="E76" s="165"/>
      <c r="F76" s="173"/>
      <c r="G76" s="173"/>
      <c r="H76" s="173"/>
      <c r="I76" s="173"/>
      <c r="J76" s="173"/>
      <c r="K76" s="169">
        <f t="shared" si="2"/>
        <v>0</v>
      </c>
      <c r="L76" s="169">
        <f t="shared" si="3"/>
        <v>0</v>
      </c>
    </row>
    <row r="77" spans="1:12" s="30" customFormat="1">
      <c r="A77" s="166" t="s">
        <v>168</v>
      </c>
      <c r="B77" s="717" t="s">
        <v>169</v>
      </c>
      <c r="C77" s="718"/>
      <c r="D77" s="719"/>
      <c r="E77" s="165"/>
      <c r="F77" s="173"/>
      <c r="G77" s="173"/>
      <c r="H77" s="173"/>
      <c r="I77" s="173"/>
      <c r="J77" s="173"/>
      <c r="K77" s="169">
        <f t="shared" si="2"/>
        <v>0</v>
      </c>
      <c r="L77" s="169">
        <f t="shared" si="3"/>
        <v>0</v>
      </c>
    </row>
    <row r="78" spans="1:12" s="30" customFormat="1">
      <c r="A78" s="185"/>
      <c r="B78" s="186"/>
      <c r="C78" s="186"/>
      <c r="D78" s="186"/>
      <c r="E78" s="185"/>
      <c r="F78" s="187"/>
      <c r="G78" s="187"/>
      <c r="H78" s="187"/>
      <c r="I78" s="187"/>
      <c r="J78" s="187"/>
      <c r="K78" s="188"/>
      <c r="L78" s="188"/>
    </row>
    <row r="79" spans="1:12" s="191" customFormat="1">
      <c r="A79" s="189" t="s">
        <v>547</v>
      </c>
      <c r="B79" s="189"/>
      <c r="C79" s="190"/>
    </row>
    <row r="80" spans="1:12" s="191" customFormat="1">
      <c r="C80" s="190"/>
    </row>
    <row r="81" spans="1:10" s="193" customFormat="1">
      <c r="A81" s="192" t="s">
        <v>59</v>
      </c>
      <c r="C81" s="194"/>
      <c r="D81" s="194"/>
      <c r="E81" s="194"/>
    </row>
    <row r="82" spans="1:10" s="193" customFormat="1">
      <c r="C82" s="194"/>
      <c r="D82" s="194"/>
      <c r="E82" s="194"/>
    </row>
    <row r="83" spans="1:10" s="193" customFormat="1">
      <c r="A83" s="193" t="s">
        <v>912</v>
      </c>
      <c r="C83" s="194"/>
      <c r="D83" s="194"/>
      <c r="E83" s="194"/>
    </row>
    <row r="84" spans="1:10" s="193" customFormat="1">
      <c r="C84" s="194"/>
      <c r="D84" s="194"/>
      <c r="E84" s="194"/>
    </row>
    <row r="85" spans="1:10" s="193" customFormat="1">
      <c r="A85" s="193" t="s">
        <v>913</v>
      </c>
      <c r="C85" s="194"/>
      <c r="D85" s="194"/>
      <c r="E85" s="194"/>
    </row>
    <row r="86" spans="1:10" s="193" customFormat="1">
      <c r="A86" s="193" t="s">
        <v>204</v>
      </c>
      <c r="C86" s="194"/>
      <c r="D86" s="194"/>
      <c r="E86" s="194"/>
    </row>
    <row r="87" spans="1:10" s="193" customFormat="1">
      <c r="A87" s="193" t="s">
        <v>205</v>
      </c>
      <c r="C87" s="194"/>
      <c r="D87" s="194"/>
      <c r="E87" s="194"/>
    </row>
    <row r="88" spans="1:10" s="193" customFormat="1">
      <c r="A88" s="193" t="s">
        <v>206</v>
      </c>
      <c r="C88" s="194"/>
      <c r="D88" s="194"/>
      <c r="E88" s="194"/>
    </row>
    <row r="89" spans="1:10" s="193" customFormat="1">
      <c r="C89" s="194"/>
      <c r="D89" s="194"/>
      <c r="E89" s="194"/>
    </row>
    <row r="90" spans="1:10" s="193" customFormat="1">
      <c r="A90" s="151" t="s">
        <v>177</v>
      </c>
      <c r="B90" s="195"/>
      <c r="C90" s="190"/>
      <c r="D90" s="191"/>
      <c r="E90" s="191"/>
      <c r="F90" s="191"/>
      <c r="G90" s="191"/>
      <c r="H90" s="191"/>
      <c r="I90" s="191"/>
      <c r="J90" s="191"/>
    </row>
    <row r="91" spans="1:10" s="193" customFormat="1">
      <c r="A91" s="154" t="s">
        <v>178</v>
      </c>
      <c r="B91" s="195"/>
      <c r="C91" s="190"/>
      <c r="D91" s="191"/>
      <c r="E91" s="191"/>
      <c r="F91" s="191"/>
      <c r="G91" s="191"/>
      <c r="H91" s="191"/>
      <c r="I91" s="191"/>
      <c r="J91" s="191"/>
    </row>
    <row r="92" spans="1:10" s="193" customFormat="1">
      <c r="A92" s="154" t="s">
        <v>207</v>
      </c>
      <c r="B92" s="195"/>
      <c r="C92" s="190"/>
      <c r="D92" s="191"/>
      <c r="E92" s="191"/>
      <c r="F92" s="191"/>
      <c r="G92" s="191"/>
      <c r="H92" s="191"/>
      <c r="I92" s="191"/>
      <c r="J92" s="191"/>
    </row>
    <row r="93" spans="1:10" s="193" customFormat="1">
      <c r="A93" s="154" t="s">
        <v>208</v>
      </c>
      <c r="B93" s="195"/>
      <c r="C93" s="190"/>
      <c r="D93" s="191"/>
      <c r="E93" s="191"/>
      <c r="F93" s="191"/>
      <c r="G93" s="191"/>
      <c r="H93" s="191"/>
      <c r="I93" s="191"/>
      <c r="J93" s="191"/>
    </row>
    <row r="94" spans="1:10" s="193" customFormat="1">
      <c r="A94" s="154" t="s">
        <v>183</v>
      </c>
      <c r="C94" s="194"/>
      <c r="D94" s="194"/>
      <c r="E94" s="194"/>
    </row>
    <row r="95" spans="1:10" s="193" customFormat="1">
      <c r="A95" s="193" t="s">
        <v>218</v>
      </c>
      <c r="C95" s="194"/>
      <c r="D95" s="194"/>
      <c r="E95" s="194"/>
    </row>
    <row r="96" spans="1:10" s="30" customFormat="1">
      <c r="A96" s="193" t="s">
        <v>914</v>
      </c>
      <c r="C96" s="159"/>
      <c r="D96" s="159"/>
      <c r="E96" s="159"/>
    </row>
    <row r="97" spans="3:5" s="30" customFormat="1">
      <c r="C97" s="159"/>
      <c r="D97" s="159"/>
      <c r="E97" s="159"/>
    </row>
    <row r="98" spans="3:5" s="30" customFormat="1">
      <c r="C98" s="159"/>
      <c r="D98" s="159"/>
      <c r="E98" s="159"/>
    </row>
    <row r="99" spans="3:5" s="30" customFormat="1">
      <c r="C99" s="159"/>
      <c r="D99" s="159"/>
      <c r="E99" s="159"/>
    </row>
  </sheetData>
  <mergeCells count="76">
    <mergeCell ref="L9:L10"/>
    <mergeCell ref="A8:D10"/>
    <mergeCell ref="E9:E10"/>
    <mergeCell ref="F9:F10"/>
    <mergeCell ref="G9:G10"/>
    <mergeCell ref="H9:K9"/>
    <mergeCell ref="B11:D11"/>
    <mergeCell ref="B12:B24"/>
    <mergeCell ref="C12:D12"/>
    <mergeCell ref="C13:D13"/>
    <mergeCell ref="C14:D14"/>
    <mergeCell ref="C15:D15"/>
    <mergeCell ref="C16:C23"/>
    <mergeCell ref="C24:D24"/>
    <mergeCell ref="B25:B29"/>
    <mergeCell ref="C25:D25"/>
    <mergeCell ref="C26:D26"/>
    <mergeCell ref="C27:D27"/>
    <mergeCell ref="C28:D28"/>
    <mergeCell ref="C29:D29"/>
    <mergeCell ref="B30:B36"/>
    <mergeCell ref="C30:D30"/>
    <mergeCell ref="C31:D31"/>
    <mergeCell ref="C32:D32"/>
    <mergeCell ref="C33:D33"/>
    <mergeCell ref="C34:D34"/>
    <mergeCell ref="C35:D35"/>
    <mergeCell ref="C36:D36"/>
    <mergeCell ref="B37:D37"/>
    <mergeCell ref="B38:B46"/>
    <mergeCell ref="C38:D38"/>
    <mergeCell ref="C39:D39"/>
    <mergeCell ref="C40:D40"/>
    <mergeCell ref="C41:D41"/>
    <mergeCell ref="C42:D42"/>
    <mergeCell ref="C43:D43"/>
    <mergeCell ref="C44:D44"/>
    <mergeCell ref="C45:D45"/>
    <mergeCell ref="C46:D46"/>
    <mergeCell ref="B47:B52"/>
    <mergeCell ref="C47:D47"/>
    <mergeCell ref="C48:D48"/>
    <mergeCell ref="C49:D49"/>
    <mergeCell ref="C50:D50"/>
    <mergeCell ref="C51:D51"/>
    <mergeCell ref="C52:D52"/>
    <mergeCell ref="B53:D53"/>
    <mergeCell ref="B54:B58"/>
    <mergeCell ref="C54:D54"/>
    <mergeCell ref="C55:D55"/>
    <mergeCell ref="C56:D56"/>
    <mergeCell ref="C57:D57"/>
    <mergeCell ref="C58:D58"/>
    <mergeCell ref="B59:B64"/>
    <mergeCell ref="C59:D59"/>
    <mergeCell ref="C60:D60"/>
    <mergeCell ref="C61:D61"/>
    <mergeCell ref="C62:D62"/>
    <mergeCell ref="C63:D63"/>
    <mergeCell ref="C64:D64"/>
    <mergeCell ref="B77:D77"/>
    <mergeCell ref="B65:B67"/>
    <mergeCell ref="C65:D65"/>
    <mergeCell ref="G65:H65"/>
    <mergeCell ref="C66:D66"/>
    <mergeCell ref="C67:D67"/>
    <mergeCell ref="B68:B72"/>
    <mergeCell ref="C68:D68"/>
    <mergeCell ref="C69:D69"/>
    <mergeCell ref="C70:D70"/>
    <mergeCell ref="C71:D71"/>
    <mergeCell ref="C72:D72"/>
    <mergeCell ref="B73:D73"/>
    <mergeCell ref="B74:D74"/>
    <mergeCell ref="B75:D75"/>
    <mergeCell ref="B76:D76"/>
  </mergeCells>
  <phoneticPr fontId="6" type="noConversion"/>
  <pageMargins left="0.72" right="0.21" top="0.6" bottom="0.46" header="0.5" footer="0.5"/>
  <pageSetup paperSize="9" scale="57" orientation="portrait" horizontalDpi="4294967292" r:id="rId1"/>
  <headerFooter alignWithMargins="0"/>
  <colBreaks count="1" manualBreakCount="1">
    <brk id="12" max="71" man="1"/>
  </colBreaks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CCEA19-2456-4B1D-A3D6-4305FBA5C950}">
  <sheetPr codeName="Sheet7">
    <tabColor rgb="FFFFFF00"/>
  </sheetPr>
  <dimension ref="A4:M103"/>
  <sheetViews>
    <sheetView showGridLines="0" view="pageBreakPreview" zoomScale="85" zoomScaleNormal="85" zoomScaleSheetLayoutView="85" workbookViewId="0">
      <pane xSplit="4" ySplit="11" topLeftCell="E12" activePane="bottomRight" state="frozen"/>
      <selection activeCell="E12" sqref="E12"/>
      <selection pane="topRight" activeCell="E12" sqref="E12"/>
      <selection pane="bottomLeft" activeCell="E12" sqref="E12"/>
      <selection pane="bottomRight" activeCell="E12" sqref="E12"/>
    </sheetView>
  </sheetViews>
  <sheetFormatPr defaultColWidth="8.8984375" defaultRowHeight="14.4"/>
  <cols>
    <col min="1" max="1" width="6" style="14" customWidth="1"/>
    <col min="2" max="2" width="10.09765625" style="14" customWidth="1"/>
    <col min="3" max="3" width="4.69921875" style="44" customWidth="1"/>
    <col min="4" max="4" width="22.3984375" style="44" customWidth="1"/>
    <col min="5" max="5" width="18.3984375" style="44" customWidth="1"/>
    <col min="6" max="12" width="9.19921875" style="14" customWidth="1"/>
    <col min="13" max="16384" width="8.8984375" style="14"/>
  </cols>
  <sheetData>
    <row r="4" spans="1:13">
      <c r="M4" s="520"/>
    </row>
    <row r="5" spans="1:13" s="157" customFormat="1" ht="20.399999999999999">
      <c r="A5" s="157" t="s">
        <v>911</v>
      </c>
      <c r="C5" s="158"/>
      <c r="D5" s="158"/>
      <c r="E5" s="158"/>
    </row>
    <row r="6" spans="1:13" s="30" customFormat="1">
      <c r="C6" s="159"/>
      <c r="D6" s="159"/>
      <c r="E6" s="159"/>
    </row>
    <row r="7" spans="1:13" s="30" customFormat="1">
      <c r="A7" s="160" t="s">
        <v>171</v>
      </c>
      <c r="B7" s="160"/>
      <c r="C7" s="160"/>
      <c r="D7" s="160"/>
      <c r="E7" s="160"/>
      <c r="F7" s="29"/>
      <c r="G7" s="29"/>
      <c r="H7" s="29"/>
      <c r="I7" s="29"/>
      <c r="J7" s="29"/>
      <c r="K7" s="29"/>
      <c r="L7" s="161"/>
    </row>
    <row r="8" spans="1:13" s="30" customFormat="1">
      <c r="A8" s="738" t="s">
        <v>54</v>
      </c>
      <c r="B8" s="739"/>
      <c r="C8" s="739"/>
      <c r="D8" s="754"/>
      <c r="E8" s="162" t="s">
        <v>179</v>
      </c>
      <c r="F8" s="163" t="s">
        <v>55</v>
      </c>
      <c r="G8" s="163" t="s">
        <v>56</v>
      </c>
      <c r="H8" s="163" t="s">
        <v>72</v>
      </c>
      <c r="I8" s="163" t="s">
        <v>73</v>
      </c>
      <c r="J8" s="163" t="s">
        <v>74</v>
      </c>
      <c r="K8" s="163" t="s">
        <v>60</v>
      </c>
      <c r="L8" s="163" t="s">
        <v>61</v>
      </c>
    </row>
    <row r="9" spans="1:13" s="30" customFormat="1">
      <c r="A9" s="740"/>
      <c r="B9" s="741"/>
      <c r="C9" s="741"/>
      <c r="D9" s="755"/>
      <c r="E9" s="720" t="s">
        <v>182</v>
      </c>
      <c r="F9" s="752" t="s">
        <v>75</v>
      </c>
      <c r="G9" s="752" t="s">
        <v>76</v>
      </c>
      <c r="H9" s="759" t="s">
        <v>77</v>
      </c>
      <c r="I9" s="760"/>
      <c r="J9" s="760"/>
      <c r="K9" s="761"/>
      <c r="L9" s="752" t="s">
        <v>78</v>
      </c>
    </row>
    <row r="10" spans="1:13" s="30" customFormat="1">
      <c r="A10" s="756"/>
      <c r="B10" s="757"/>
      <c r="C10" s="757"/>
      <c r="D10" s="758"/>
      <c r="E10" s="720"/>
      <c r="F10" s="753"/>
      <c r="G10" s="753"/>
      <c r="H10" s="164" t="s">
        <v>79</v>
      </c>
      <c r="I10" s="164" t="s">
        <v>80</v>
      </c>
      <c r="J10" s="164" t="s">
        <v>81</v>
      </c>
      <c r="K10" s="164" t="s">
        <v>82</v>
      </c>
      <c r="L10" s="753"/>
    </row>
    <row r="11" spans="1:13" s="30" customFormat="1">
      <c r="A11" s="162" t="s">
        <v>179</v>
      </c>
      <c r="B11" s="726" t="s">
        <v>184</v>
      </c>
      <c r="C11" s="726"/>
      <c r="D11" s="726"/>
      <c r="E11" s="162" t="s">
        <v>185</v>
      </c>
      <c r="F11" s="165"/>
      <c r="G11" s="165"/>
      <c r="H11" s="165"/>
      <c r="I11" s="165"/>
      <c r="J11" s="165"/>
      <c r="K11" s="165"/>
      <c r="L11" s="165"/>
    </row>
    <row r="12" spans="1:13" s="30" customFormat="1">
      <c r="A12" s="166" t="s">
        <v>83</v>
      </c>
      <c r="B12" s="720" t="s">
        <v>186</v>
      </c>
      <c r="C12" s="710" t="s">
        <v>84</v>
      </c>
      <c r="D12" s="710"/>
      <c r="E12" s="165"/>
      <c r="F12" s="167"/>
      <c r="G12" s="167"/>
      <c r="H12" s="167"/>
      <c r="I12" s="167"/>
      <c r="J12" s="167"/>
      <c r="K12" s="168">
        <f t="shared" ref="K12:K63" si="0">SUM(H12:J12)</f>
        <v>0</v>
      </c>
      <c r="L12" s="169">
        <f t="shared" ref="L12:L63" si="1">F12+G12+K12</f>
        <v>0</v>
      </c>
    </row>
    <row r="13" spans="1:13" s="30" customFormat="1">
      <c r="A13" s="166" t="s">
        <v>85</v>
      </c>
      <c r="B13" s="720"/>
      <c r="C13" s="710" t="s">
        <v>86</v>
      </c>
      <c r="D13" s="710"/>
      <c r="E13" s="165"/>
      <c r="F13" s="167"/>
      <c r="G13" s="167"/>
      <c r="H13" s="167"/>
      <c r="I13" s="167"/>
      <c r="J13" s="167"/>
      <c r="K13" s="168">
        <f t="shared" si="0"/>
        <v>0</v>
      </c>
      <c r="L13" s="169">
        <f t="shared" si="1"/>
        <v>0</v>
      </c>
    </row>
    <row r="14" spans="1:13" s="30" customFormat="1">
      <c r="A14" s="166" t="s">
        <v>87</v>
      </c>
      <c r="B14" s="720"/>
      <c r="C14" s="710" t="s">
        <v>57</v>
      </c>
      <c r="D14" s="710"/>
      <c r="E14" s="165"/>
      <c r="F14" s="167"/>
      <c r="G14" s="167"/>
      <c r="H14" s="167"/>
      <c r="I14" s="167"/>
      <c r="J14" s="167"/>
      <c r="K14" s="168">
        <f t="shared" si="0"/>
        <v>0</v>
      </c>
      <c r="L14" s="169">
        <f t="shared" si="1"/>
        <v>0</v>
      </c>
    </row>
    <row r="15" spans="1:13" s="30" customFormat="1">
      <c r="A15" s="166" t="s">
        <v>88</v>
      </c>
      <c r="B15" s="720"/>
      <c r="C15" s="710" t="s">
        <v>58</v>
      </c>
      <c r="D15" s="710"/>
      <c r="E15" s="165"/>
      <c r="F15" s="167"/>
      <c r="G15" s="167"/>
      <c r="H15" s="167"/>
      <c r="I15" s="167"/>
      <c r="J15" s="167"/>
      <c r="K15" s="168">
        <f t="shared" si="0"/>
        <v>0</v>
      </c>
      <c r="L15" s="169">
        <f t="shared" si="1"/>
        <v>0</v>
      </c>
    </row>
    <row r="16" spans="1:13" s="30" customFormat="1">
      <c r="A16" s="166" t="s">
        <v>89</v>
      </c>
      <c r="B16" s="720"/>
      <c r="C16" s="751" t="s">
        <v>187</v>
      </c>
      <c r="D16" s="170" t="s">
        <v>90</v>
      </c>
      <c r="E16" s="165"/>
      <c r="F16" s="167"/>
      <c r="G16" s="167"/>
      <c r="H16" s="167"/>
      <c r="I16" s="167"/>
      <c r="J16" s="167"/>
      <c r="K16" s="168">
        <f t="shared" si="0"/>
        <v>0</v>
      </c>
      <c r="L16" s="169">
        <f t="shared" si="1"/>
        <v>0</v>
      </c>
    </row>
    <row r="17" spans="1:12" s="30" customFormat="1">
      <c r="A17" s="171" t="s">
        <v>188</v>
      </c>
      <c r="B17" s="720"/>
      <c r="C17" s="730"/>
      <c r="D17" s="170" t="s">
        <v>189</v>
      </c>
      <c r="E17" s="165"/>
      <c r="F17" s="172"/>
      <c r="G17" s="172"/>
      <c r="H17" s="172"/>
      <c r="I17" s="172"/>
      <c r="J17" s="172"/>
      <c r="K17" s="168">
        <f t="shared" si="0"/>
        <v>0</v>
      </c>
      <c r="L17" s="169">
        <f t="shared" si="1"/>
        <v>0</v>
      </c>
    </row>
    <row r="18" spans="1:12" s="30" customFormat="1">
      <c r="A18" s="171" t="s">
        <v>190</v>
      </c>
      <c r="B18" s="720"/>
      <c r="C18" s="730"/>
      <c r="D18" s="170" t="s">
        <v>191</v>
      </c>
      <c r="E18" s="165"/>
      <c r="F18" s="172"/>
      <c r="G18" s="172"/>
      <c r="H18" s="172"/>
      <c r="I18" s="172"/>
      <c r="J18" s="172"/>
      <c r="K18" s="168">
        <f t="shared" si="0"/>
        <v>0</v>
      </c>
      <c r="L18" s="169">
        <f t="shared" si="1"/>
        <v>0</v>
      </c>
    </row>
    <row r="19" spans="1:12" s="30" customFormat="1">
      <c r="A19" s="166" t="s">
        <v>91</v>
      </c>
      <c r="B19" s="720"/>
      <c r="C19" s="730"/>
      <c r="D19" s="170" t="s">
        <v>92</v>
      </c>
      <c r="E19" s="165"/>
      <c r="F19" s="167"/>
      <c r="G19" s="167"/>
      <c r="H19" s="167"/>
      <c r="I19" s="167"/>
      <c r="J19" s="167"/>
      <c r="K19" s="168">
        <f t="shared" si="0"/>
        <v>0</v>
      </c>
      <c r="L19" s="169">
        <f t="shared" si="1"/>
        <v>0</v>
      </c>
    </row>
    <row r="20" spans="1:12" s="30" customFormat="1">
      <c r="A20" s="171" t="s">
        <v>192</v>
      </c>
      <c r="B20" s="720"/>
      <c r="C20" s="730"/>
      <c r="D20" s="170" t="s">
        <v>189</v>
      </c>
      <c r="E20" s="165"/>
      <c r="F20" s="172"/>
      <c r="G20" s="172"/>
      <c r="H20" s="172"/>
      <c r="I20" s="172"/>
      <c r="J20" s="172"/>
      <c r="K20" s="168">
        <f t="shared" si="0"/>
        <v>0</v>
      </c>
      <c r="L20" s="169">
        <f t="shared" si="1"/>
        <v>0</v>
      </c>
    </row>
    <row r="21" spans="1:12" s="30" customFormat="1">
      <c r="A21" s="171" t="s">
        <v>193</v>
      </c>
      <c r="B21" s="720"/>
      <c r="C21" s="730"/>
      <c r="D21" s="170" t="s">
        <v>191</v>
      </c>
      <c r="E21" s="165"/>
      <c r="F21" s="172"/>
      <c r="G21" s="172"/>
      <c r="H21" s="172"/>
      <c r="I21" s="172"/>
      <c r="J21" s="172"/>
      <c r="K21" s="168">
        <f t="shared" si="0"/>
        <v>0</v>
      </c>
      <c r="L21" s="169">
        <f t="shared" si="1"/>
        <v>0</v>
      </c>
    </row>
    <row r="22" spans="1:12" s="30" customFormat="1">
      <c r="A22" s="166" t="s">
        <v>71</v>
      </c>
      <c r="B22" s="720"/>
      <c r="C22" s="730"/>
      <c r="D22" s="170" t="s">
        <v>68</v>
      </c>
      <c r="E22" s="165"/>
      <c r="F22" s="167"/>
      <c r="G22" s="167"/>
      <c r="H22" s="167"/>
      <c r="I22" s="167"/>
      <c r="J22" s="167"/>
      <c r="K22" s="168">
        <f t="shared" si="0"/>
        <v>0</v>
      </c>
      <c r="L22" s="169">
        <f t="shared" si="1"/>
        <v>0</v>
      </c>
    </row>
    <row r="23" spans="1:12" s="30" customFormat="1">
      <c r="A23" s="166" t="s">
        <v>93</v>
      </c>
      <c r="B23" s="720"/>
      <c r="C23" s="727"/>
      <c r="D23" s="170" t="s">
        <v>67</v>
      </c>
      <c r="E23" s="165"/>
      <c r="F23" s="167"/>
      <c r="G23" s="167"/>
      <c r="H23" s="167"/>
      <c r="I23" s="167"/>
      <c r="J23" s="167"/>
      <c r="K23" s="168">
        <f t="shared" si="0"/>
        <v>0</v>
      </c>
      <c r="L23" s="169">
        <f t="shared" si="1"/>
        <v>0</v>
      </c>
    </row>
    <row r="24" spans="1:12" s="30" customFormat="1">
      <c r="A24" s="166" t="s">
        <v>55</v>
      </c>
      <c r="B24" s="720"/>
      <c r="C24" s="710" t="s">
        <v>67</v>
      </c>
      <c r="D24" s="710"/>
      <c r="E24" s="165"/>
      <c r="F24" s="173"/>
      <c r="G24" s="173"/>
      <c r="H24" s="173"/>
      <c r="I24" s="173"/>
      <c r="J24" s="173"/>
      <c r="K24" s="168">
        <f t="shared" si="0"/>
        <v>0</v>
      </c>
      <c r="L24" s="169">
        <f t="shared" si="1"/>
        <v>0</v>
      </c>
    </row>
    <row r="25" spans="1:12" s="30" customFormat="1">
      <c r="A25" s="166" t="s">
        <v>94</v>
      </c>
      <c r="B25" s="720" t="s">
        <v>194</v>
      </c>
      <c r="C25" s="710" t="s">
        <v>95</v>
      </c>
      <c r="D25" s="710"/>
      <c r="E25" s="165"/>
      <c r="F25" s="167"/>
      <c r="G25" s="167"/>
      <c r="H25" s="167"/>
      <c r="I25" s="167"/>
      <c r="J25" s="167"/>
      <c r="K25" s="168">
        <f t="shared" si="0"/>
        <v>0</v>
      </c>
      <c r="L25" s="169">
        <f t="shared" si="1"/>
        <v>0</v>
      </c>
    </row>
    <row r="26" spans="1:12" s="30" customFormat="1">
      <c r="A26" s="166" t="s">
        <v>96</v>
      </c>
      <c r="B26" s="720"/>
      <c r="C26" s="710" t="s">
        <v>97</v>
      </c>
      <c r="D26" s="710"/>
      <c r="E26" s="165"/>
      <c r="F26" s="167"/>
      <c r="G26" s="167"/>
      <c r="H26" s="167"/>
      <c r="I26" s="167"/>
      <c r="J26" s="167"/>
      <c r="K26" s="168">
        <f t="shared" si="0"/>
        <v>0</v>
      </c>
      <c r="L26" s="169">
        <f t="shared" si="1"/>
        <v>0</v>
      </c>
    </row>
    <row r="27" spans="1:12" s="30" customFormat="1">
      <c r="A27" s="166" t="s">
        <v>98</v>
      </c>
      <c r="B27" s="720"/>
      <c r="C27" s="710" t="s">
        <v>99</v>
      </c>
      <c r="D27" s="710"/>
      <c r="E27" s="165"/>
      <c r="F27" s="167"/>
      <c r="G27" s="167"/>
      <c r="H27" s="167"/>
      <c r="I27" s="167"/>
      <c r="J27" s="167"/>
      <c r="K27" s="168">
        <f t="shared" si="0"/>
        <v>0</v>
      </c>
      <c r="L27" s="169">
        <f t="shared" si="1"/>
        <v>0</v>
      </c>
    </row>
    <row r="28" spans="1:12" s="30" customFormat="1">
      <c r="A28" s="166" t="s">
        <v>100</v>
      </c>
      <c r="B28" s="720"/>
      <c r="C28" s="710" t="s">
        <v>101</v>
      </c>
      <c r="D28" s="710"/>
      <c r="E28" s="165"/>
      <c r="F28" s="167"/>
      <c r="G28" s="167"/>
      <c r="H28" s="167"/>
      <c r="I28" s="167"/>
      <c r="J28" s="167"/>
      <c r="K28" s="168">
        <f t="shared" si="0"/>
        <v>0</v>
      </c>
      <c r="L28" s="169">
        <f t="shared" si="1"/>
        <v>0</v>
      </c>
    </row>
    <row r="29" spans="1:12" s="30" customFormat="1">
      <c r="A29" s="166" t="s">
        <v>56</v>
      </c>
      <c r="B29" s="720"/>
      <c r="C29" s="710" t="s">
        <v>67</v>
      </c>
      <c r="D29" s="710"/>
      <c r="E29" s="165"/>
      <c r="F29" s="173"/>
      <c r="G29" s="173"/>
      <c r="H29" s="173"/>
      <c r="I29" s="173"/>
      <c r="J29" s="173"/>
      <c r="K29" s="168">
        <f t="shared" si="0"/>
        <v>0</v>
      </c>
      <c r="L29" s="169">
        <f t="shared" si="1"/>
        <v>0</v>
      </c>
    </row>
    <row r="30" spans="1:12" s="30" customFormat="1">
      <c r="A30" s="166" t="s">
        <v>72</v>
      </c>
      <c r="B30" s="720" t="s">
        <v>195</v>
      </c>
      <c r="C30" s="710" t="s">
        <v>102</v>
      </c>
      <c r="D30" s="710"/>
      <c r="E30" s="165"/>
      <c r="F30" s="167"/>
      <c r="G30" s="167"/>
      <c r="H30" s="167"/>
      <c r="I30" s="167"/>
      <c r="J30" s="167"/>
      <c r="K30" s="168">
        <f t="shared" si="0"/>
        <v>0</v>
      </c>
      <c r="L30" s="169">
        <f t="shared" si="1"/>
        <v>0</v>
      </c>
    </row>
    <row r="31" spans="1:12" s="30" customFormat="1">
      <c r="A31" s="166" t="s">
        <v>73</v>
      </c>
      <c r="B31" s="720"/>
      <c r="C31" s="710" t="s">
        <v>103</v>
      </c>
      <c r="D31" s="710"/>
      <c r="E31" s="165"/>
      <c r="F31" s="167"/>
      <c r="G31" s="167"/>
      <c r="H31" s="167"/>
      <c r="I31" s="167"/>
      <c r="J31" s="167"/>
      <c r="K31" s="168">
        <f t="shared" si="0"/>
        <v>0</v>
      </c>
      <c r="L31" s="169">
        <f t="shared" si="1"/>
        <v>0</v>
      </c>
    </row>
    <row r="32" spans="1:12" s="30" customFormat="1">
      <c r="A32" s="166" t="s">
        <v>74</v>
      </c>
      <c r="B32" s="720"/>
      <c r="C32" s="710" t="s">
        <v>104</v>
      </c>
      <c r="D32" s="710"/>
      <c r="E32" s="165"/>
      <c r="F32" s="167"/>
      <c r="G32" s="167"/>
      <c r="H32" s="167"/>
      <c r="I32" s="167"/>
      <c r="J32" s="167"/>
      <c r="K32" s="168">
        <f t="shared" si="0"/>
        <v>0</v>
      </c>
      <c r="L32" s="169">
        <f t="shared" si="1"/>
        <v>0</v>
      </c>
    </row>
    <row r="33" spans="1:12" s="30" customFormat="1">
      <c r="A33" s="166" t="s">
        <v>105</v>
      </c>
      <c r="B33" s="720"/>
      <c r="C33" s="710" t="s">
        <v>106</v>
      </c>
      <c r="D33" s="710"/>
      <c r="E33" s="165"/>
      <c r="F33" s="167"/>
      <c r="G33" s="167"/>
      <c r="H33" s="167"/>
      <c r="I33" s="167"/>
      <c r="J33" s="167"/>
      <c r="K33" s="168">
        <f t="shared" si="0"/>
        <v>0</v>
      </c>
      <c r="L33" s="169">
        <f t="shared" si="1"/>
        <v>0</v>
      </c>
    </row>
    <row r="34" spans="1:12" s="30" customFormat="1">
      <c r="A34" s="166" t="s">
        <v>107</v>
      </c>
      <c r="B34" s="720"/>
      <c r="C34" s="710" t="s">
        <v>108</v>
      </c>
      <c r="D34" s="710"/>
      <c r="E34" s="165"/>
      <c r="F34" s="167"/>
      <c r="G34" s="167"/>
      <c r="H34" s="167"/>
      <c r="I34" s="167"/>
      <c r="J34" s="167"/>
      <c r="K34" s="168">
        <f t="shared" si="0"/>
        <v>0</v>
      </c>
      <c r="L34" s="169">
        <f t="shared" si="1"/>
        <v>0</v>
      </c>
    </row>
    <row r="35" spans="1:12" s="30" customFormat="1">
      <c r="A35" s="166" t="s">
        <v>109</v>
      </c>
      <c r="B35" s="720"/>
      <c r="C35" s="710" t="s">
        <v>110</v>
      </c>
      <c r="D35" s="710"/>
      <c r="E35" s="165"/>
      <c r="F35" s="167"/>
      <c r="G35" s="167"/>
      <c r="H35" s="167"/>
      <c r="I35" s="167"/>
      <c r="J35" s="167"/>
      <c r="K35" s="168">
        <f t="shared" si="0"/>
        <v>0</v>
      </c>
      <c r="L35" s="169">
        <f t="shared" si="1"/>
        <v>0</v>
      </c>
    </row>
    <row r="36" spans="1:12" s="30" customFormat="1">
      <c r="A36" s="166" t="s">
        <v>60</v>
      </c>
      <c r="B36" s="720"/>
      <c r="C36" s="710" t="s">
        <v>67</v>
      </c>
      <c r="D36" s="710"/>
      <c r="E36" s="165"/>
      <c r="F36" s="173"/>
      <c r="G36" s="173"/>
      <c r="H36" s="173"/>
      <c r="I36" s="173"/>
      <c r="J36" s="173"/>
      <c r="K36" s="168">
        <f t="shared" si="0"/>
        <v>0</v>
      </c>
      <c r="L36" s="169">
        <f t="shared" si="1"/>
        <v>0</v>
      </c>
    </row>
    <row r="37" spans="1:12" s="30" customFormat="1">
      <c r="A37" s="166" t="s">
        <v>61</v>
      </c>
      <c r="B37" s="710" t="s">
        <v>111</v>
      </c>
      <c r="C37" s="710"/>
      <c r="D37" s="710"/>
      <c r="E37" s="165"/>
      <c r="F37" s="174"/>
      <c r="G37" s="167"/>
      <c r="H37" s="167"/>
      <c r="I37" s="167"/>
      <c r="J37" s="167"/>
      <c r="K37" s="168">
        <f t="shared" si="0"/>
        <v>0</v>
      </c>
      <c r="L37" s="169">
        <f t="shared" si="1"/>
        <v>0</v>
      </c>
    </row>
    <row r="38" spans="1:12" s="30" customFormat="1">
      <c r="A38" s="166" t="s">
        <v>112</v>
      </c>
      <c r="B38" s="720" t="s">
        <v>113</v>
      </c>
      <c r="C38" s="710" t="s">
        <v>114</v>
      </c>
      <c r="D38" s="710"/>
      <c r="E38" s="165"/>
      <c r="F38" s="167"/>
      <c r="G38" s="167"/>
      <c r="H38" s="167"/>
      <c r="I38" s="167"/>
      <c r="J38" s="167"/>
      <c r="K38" s="168">
        <f t="shared" si="0"/>
        <v>0</v>
      </c>
      <c r="L38" s="169">
        <f t="shared" si="1"/>
        <v>0</v>
      </c>
    </row>
    <row r="39" spans="1:12" s="30" customFormat="1">
      <c r="A39" s="166" t="s">
        <v>115</v>
      </c>
      <c r="B39" s="720"/>
      <c r="C39" s="710" t="s">
        <v>116</v>
      </c>
      <c r="D39" s="710"/>
      <c r="E39" s="165"/>
      <c r="F39" s="167"/>
      <c r="G39" s="167"/>
      <c r="H39" s="167"/>
      <c r="I39" s="167"/>
      <c r="J39" s="167"/>
      <c r="K39" s="168">
        <f t="shared" si="0"/>
        <v>0</v>
      </c>
      <c r="L39" s="169">
        <f t="shared" si="1"/>
        <v>0</v>
      </c>
    </row>
    <row r="40" spans="1:12" s="30" customFormat="1">
      <c r="A40" s="166" t="s">
        <v>117</v>
      </c>
      <c r="B40" s="720"/>
      <c r="C40" s="710" t="s">
        <v>118</v>
      </c>
      <c r="D40" s="710"/>
      <c r="E40" s="165"/>
      <c r="F40" s="167"/>
      <c r="G40" s="167"/>
      <c r="H40" s="167"/>
      <c r="I40" s="167"/>
      <c r="J40" s="167"/>
      <c r="K40" s="168">
        <f t="shared" si="0"/>
        <v>0</v>
      </c>
      <c r="L40" s="169">
        <f t="shared" si="1"/>
        <v>0</v>
      </c>
    </row>
    <row r="41" spans="1:12" s="30" customFormat="1">
      <c r="A41" s="166" t="s">
        <v>119</v>
      </c>
      <c r="B41" s="720"/>
      <c r="C41" s="710" t="s">
        <v>120</v>
      </c>
      <c r="D41" s="710"/>
      <c r="E41" s="165"/>
      <c r="F41" s="167"/>
      <c r="G41" s="167"/>
      <c r="H41" s="167"/>
      <c r="I41" s="167"/>
      <c r="J41" s="167"/>
      <c r="K41" s="168">
        <f t="shared" si="0"/>
        <v>0</v>
      </c>
      <c r="L41" s="169">
        <f t="shared" si="1"/>
        <v>0</v>
      </c>
    </row>
    <row r="42" spans="1:12" s="30" customFormat="1">
      <c r="A42" s="166" t="s">
        <v>121</v>
      </c>
      <c r="B42" s="720"/>
      <c r="C42" s="710" t="s">
        <v>122</v>
      </c>
      <c r="D42" s="710"/>
      <c r="E42" s="165"/>
      <c r="F42" s="167"/>
      <c r="G42" s="167"/>
      <c r="H42" s="167"/>
      <c r="I42" s="167"/>
      <c r="J42" s="167"/>
      <c r="K42" s="168">
        <f t="shared" si="0"/>
        <v>0</v>
      </c>
      <c r="L42" s="169">
        <f t="shared" si="1"/>
        <v>0</v>
      </c>
    </row>
    <row r="43" spans="1:12" s="30" customFormat="1">
      <c r="A43" s="166" t="s">
        <v>123</v>
      </c>
      <c r="B43" s="720"/>
      <c r="C43" s="710" t="s">
        <v>124</v>
      </c>
      <c r="D43" s="710"/>
      <c r="E43" s="165"/>
      <c r="F43" s="167"/>
      <c r="G43" s="167"/>
      <c r="H43" s="167"/>
      <c r="I43" s="167"/>
      <c r="J43" s="167"/>
      <c r="K43" s="168">
        <f t="shared" si="0"/>
        <v>0</v>
      </c>
      <c r="L43" s="169">
        <f t="shared" si="1"/>
        <v>0</v>
      </c>
    </row>
    <row r="44" spans="1:12" s="30" customFormat="1">
      <c r="A44" s="166" t="s">
        <v>125</v>
      </c>
      <c r="B44" s="720"/>
      <c r="C44" s="710" t="s">
        <v>126</v>
      </c>
      <c r="D44" s="710"/>
      <c r="E44" s="165"/>
      <c r="F44" s="167"/>
      <c r="G44" s="167"/>
      <c r="H44" s="167"/>
      <c r="I44" s="167"/>
      <c r="J44" s="167"/>
      <c r="K44" s="168">
        <f t="shared" si="0"/>
        <v>0</v>
      </c>
      <c r="L44" s="169">
        <f t="shared" si="1"/>
        <v>0</v>
      </c>
    </row>
    <row r="45" spans="1:12" s="30" customFormat="1">
      <c r="A45" s="166" t="s">
        <v>127</v>
      </c>
      <c r="B45" s="720"/>
      <c r="C45" s="710" t="s">
        <v>128</v>
      </c>
      <c r="D45" s="710"/>
      <c r="E45" s="165"/>
      <c r="F45" s="174"/>
      <c r="G45" s="167"/>
      <c r="H45" s="167"/>
      <c r="I45" s="167"/>
      <c r="J45" s="167"/>
      <c r="K45" s="168">
        <f t="shared" si="0"/>
        <v>0</v>
      </c>
      <c r="L45" s="169">
        <f t="shared" si="1"/>
        <v>0</v>
      </c>
    </row>
    <row r="46" spans="1:12" s="30" customFormat="1">
      <c r="A46" s="166" t="s">
        <v>62</v>
      </c>
      <c r="B46" s="720"/>
      <c r="C46" s="710" t="s">
        <v>67</v>
      </c>
      <c r="D46" s="710"/>
      <c r="E46" s="165"/>
      <c r="F46" s="167"/>
      <c r="G46" s="167"/>
      <c r="H46" s="167"/>
      <c r="I46" s="167"/>
      <c r="J46" s="167"/>
      <c r="K46" s="168">
        <f t="shared" si="0"/>
        <v>0</v>
      </c>
      <c r="L46" s="169">
        <f t="shared" si="1"/>
        <v>0</v>
      </c>
    </row>
    <row r="47" spans="1:12" s="30" customFormat="1">
      <c r="A47" s="166" t="s">
        <v>129</v>
      </c>
      <c r="B47" s="720" t="s">
        <v>66</v>
      </c>
      <c r="C47" s="710" t="s">
        <v>130</v>
      </c>
      <c r="D47" s="710"/>
      <c r="E47" s="165"/>
      <c r="F47" s="167"/>
      <c r="G47" s="167"/>
      <c r="H47" s="167"/>
      <c r="I47" s="167"/>
      <c r="J47" s="167"/>
      <c r="K47" s="168">
        <f t="shared" si="0"/>
        <v>0</v>
      </c>
      <c r="L47" s="169">
        <f t="shared" si="1"/>
        <v>0</v>
      </c>
    </row>
    <row r="48" spans="1:12" s="30" customFormat="1">
      <c r="A48" s="551" t="s">
        <v>131</v>
      </c>
      <c r="B48" s="720"/>
      <c r="C48" s="764" t="s">
        <v>242</v>
      </c>
      <c r="D48" s="764"/>
      <c r="E48" s="165"/>
      <c r="F48" s="167"/>
      <c r="G48" s="167"/>
      <c r="H48" s="167"/>
      <c r="I48" s="167"/>
      <c r="J48" s="167"/>
      <c r="K48" s="168">
        <f t="shared" si="0"/>
        <v>0</v>
      </c>
      <c r="L48" s="169">
        <f t="shared" si="1"/>
        <v>0</v>
      </c>
    </row>
    <row r="49" spans="1:12" s="30" customFormat="1">
      <c r="A49" s="166" t="s">
        <v>215</v>
      </c>
      <c r="B49" s="720"/>
      <c r="C49" s="765" t="s">
        <v>216</v>
      </c>
      <c r="D49" s="737"/>
      <c r="E49" s="165"/>
      <c r="F49" s="176"/>
      <c r="G49" s="176"/>
      <c r="H49" s="176"/>
      <c r="I49" s="176"/>
      <c r="J49" s="176"/>
      <c r="K49" s="168">
        <f>SUM(H49:J49)</f>
        <v>0</v>
      </c>
      <c r="L49" s="169">
        <f>F49+G49+K49</f>
        <v>0</v>
      </c>
    </row>
    <row r="50" spans="1:12" s="30" customFormat="1">
      <c r="A50" s="166" t="s">
        <v>132</v>
      </c>
      <c r="B50" s="720"/>
      <c r="C50" s="710" t="s">
        <v>133</v>
      </c>
      <c r="D50" s="710"/>
      <c r="E50" s="165"/>
      <c r="F50" s="177"/>
      <c r="G50" s="177"/>
      <c r="H50" s="177"/>
      <c r="I50" s="177"/>
      <c r="J50" s="177"/>
      <c r="K50" s="168">
        <f t="shared" si="0"/>
        <v>0</v>
      </c>
      <c r="L50" s="169">
        <f t="shared" si="1"/>
        <v>0</v>
      </c>
    </row>
    <row r="51" spans="1:12" s="30" customFormat="1">
      <c r="A51" s="166" t="s">
        <v>134</v>
      </c>
      <c r="B51" s="720"/>
      <c r="C51" s="710" t="s">
        <v>135</v>
      </c>
      <c r="D51" s="710"/>
      <c r="E51" s="165"/>
      <c r="F51" s="178"/>
      <c r="G51" s="178"/>
      <c r="H51" s="178"/>
      <c r="I51" s="178"/>
      <c r="J51" s="178"/>
      <c r="K51" s="168">
        <f t="shared" si="0"/>
        <v>0</v>
      </c>
      <c r="L51" s="169">
        <f t="shared" si="1"/>
        <v>0</v>
      </c>
    </row>
    <row r="52" spans="1:12" s="30" customFormat="1">
      <c r="A52" s="166" t="s">
        <v>136</v>
      </c>
      <c r="B52" s="720"/>
      <c r="C52" s="710" t="s">
        <v>67</v>
      </c>
      <c r="D52" s="710"/>
      <c r="E52" s="165"/>
      <c r="F52" s="173"/>
      <c r="G52" s="173"/>
      <c r="H52" s="173"/>
      <c r="I52" s="173"/>
      <c r="J52" s="173"/>
      <c r="K52" s="168">
        <f t="shared" si="0"/>
        <v>0</v>
      </c>
      <c r="L52" s="179">
        <f t="shared" si="1"/>
        <v>0</v>
      </c>
    </row>
    <row r="53" spans="1:12" s="30" customFormat="1">
      <c r="A53" s="166" t="s">
        <v>63</v>
      </c>
      <c r="B53" s="710" t="s">
        <v>137</v>
      </c>
      <c r="C53" s="710"/>
      <c r="D53" s="710"/>
      <c r="E53" s="165"/>
      <c r="F53" s="167"/>
      <c r="G53" s="167"/>
      <c r="H53" s="167"/>
      <c r="I53" s="167"/>
      <c r="J53" s="167"/>
      <c r="K53" s="168">
        <f t="shared" si="0"/>
        <v>0</v>
      </c>
      <c r="L53" s="169">
        <f t="shared" si="1"/>
        <v>0</v>
      </c>
    </row>
    <row r="54" spans="1:12" s="30" customFormat="1">
      <c r="A54" s="166" t="s">
        <v>139</v>
      </c>
      <c r="B54" s="720" t="s">
        <v>138</v>
      </c>
      <c r="C54" s="710" t="s">
        <v>196</v>
      </c>
      <c r="D54" s="710"/>
      <c r="E54" s="165"/>
      <c r="F54" s="167"/>
      <c r="G54" s="173"/>
      <c r="H54" s="173"/>
      <c r="I54" s="173"/>
      <c r="J54" s="173"/>
      <c r="K54" s="168">
        <f t="shared" si="0"/>
        <v>0</v>
      </c>
      <c r="L54" s="169">
        <f t="shared" si="1"/>
        <v>0</v>
      </c>
    </row>
    <row r="55" spans="1:12" s="30" customFormat="1">
      <c r="A55" s="180" t="s">
        <v>1733</v>
      </c>
      <c r="B55" s="720"/>
      <c r="C55" s="710" t="s">
        <v>197</v>
      </c>
      <c r="D55" s="710"/>
      <c r="E55" s="165"/>
      <c r="F55" s="178"/>
      <c r="G55" s="181"/>
      <c r="H55" s="181"/>
      <c r="I55" s="181"/>
      <c r="J55" s="181"/>
      <c r="K55" s="168">
        <f t="shared" si="0"/>
        <v>0</v>
      </c>
      <c r="L55" s="179">
        <f t="shared" si="1"/>
        <v>0</v>
      </c>
    </row>
    <row r="56" spans="1:12" s="30" customFormat="1">
      <c r="A56" s="166" t="s">
        <v>1734</v>
      </c>
      <c r="B56" s="720"/>
      <c r="C56" s="710" t="s">
        <v>198</v>
      </c>
      <c r="D56" s="710"/>
      <c r="E56" s="165"/>
      <c r="F56" s="167"/>
      <c r="G56" s="173"/>
      <c r="H56" s="173"/>
      <c r="I56" s="173"/>
      <c r="J56" s="173"/>
      <c r="K56" s="168">
        <f t="shared" si="0"/>
        <v>0</v>
      </c>
      <c r="L56" s="169">
        <f t="shared" si="1"/>
        <v>0</v>
      </c>
    </row>
    <row r="57" spans="1:12" s="30" customFormat="1">
      <c r="A57" s="166" t="s">
        <v>1735</v>
      </c>
      <c r="B57" s="720"/>
      <c r="C57" s="710" t="s">
        <v>199</v>
      </c>
      <c r="D57" s="710"/>
      <c r="E57" s="165"/>
      <c r="F57" s="167"/>
      <c r="G57" s="173"/>
      <c r="H57" s="173"/>
      <c r="I57" s="173"/>
      <c r="J57" s="173"/>
      <c r="K57" s="168">
        <f t="shared" si="0"/>
        <v>0</v>
      </c>
      <c r="L57" s="169">
        <f t="shared" si="1"/>
        <v>0</v>
      </c>
    </row>
    <row r="58" spans="1:12" s="30" customFormat="1">
      <c r="A58" s="600" t="s">
        <v>1736</v>
      </c>
      <c r="B58" s="720"/>
      <c r="C58" s="762" t="s">
        <v>1730</v>
      </c>
      <c r="D58" s="763"/>
      <c r="E58" s="165"/>
      <c r="F58" s="605"/>
      <c r="G58" s="606"/>
      <c r="H58" s="606"/>
      <c r="I58" s="606"/>
      <c r="J58" s="606"/>
      <c r="K58" s="168"/>
      <c r="L58" s="591"/>
    </row>
    <row r="59" spans="1:12" s="30" customFormat="1">
      <c r="A59" s="166" t="s">
        <v>64</v>
      </c>
      <c r="B59" s="720"/>
      <c r="C59" s="710" t="s">
        <v>67</v>
      </c>
      <c r="D59" s="710"/>
      <c r="E59" s="165"/>
      <c r="F59" s="167"/>
      <c r="G59" s="167"/>
      <c r="H59" s="167"/>
      <c r="I59" s="167"/>
      <c r="J59" s="167"/>
      <c r="K59" s="168">
        <f t="shared" si="0"/>
        <v>0</v>
      </c>
      <c r="L59" s="169">
        <f t="shared" si="1"/>
        <v>0</v>
      </c>
    </row>
    <row r="60" spans="1:12" s="30" customFormat="1">
      <c r="A60" s="166" t="s">
        <v>140</v>
      </c>
      <c r="B60" s="720" t="s">
        <v>200</v>
      </c>
      <c r="C60" s="710" t="s">
        <v>141</v>
      </c>
      <c r="D60" s="710"/>
      <c r="E60" s="165"/>
      <c r="F60" s="178"/>
      <c r="G60" s="178"/>
      <c r="H60" s="178"/>
      <c r="I60" s="178"/>
      <c r="J60" s="178"/>
      <c r="K60" s="168">
        <f t="shared" si="0"/>
        <v>0</v>
      </c>
      <c r="L60" s="179">
        <f t="shared" si="1"/>
        <v>0</v>
      </c>
    </row>
    <row r="61" spans="1:12" s="30" customFormat="1">
      <c r="A61" s="166" t="s">
        <v>142</v>
      </c>
      <c r="B61" s="720"/>
      <c r="C61" s="710" t="s">
        <v>143</v>
      </c>
      <c r="D61" s="710"/>
      <c r="E61" s="165"/>
      <c r="F61" s="167"/>
      <c r="G61" s="167"/>
      <c r="H61" s="167"/>
      <c r="I61" s="167"/>
      <c r="J61" s="167"/>
      <c r="K61" s="168">
        <f t="shared" si="0"/>
        <v>0</v>
      </c>
      <c r="L61" s="169">
        <f t="shared" si="1"/>
        <v>0</v>
      </c>
    </row>
    <row r="62" spans="1:12" s="30" customFormat="1">
      <c r="A62" s="166" t="s">
        <v>144</v>
      </c>
      <c r="B62" s="720"/>
      <c r="C62" s="710" t="s">
        <v>145</v>
      </c>
      <c r="D62" s="710"/>
      <c r="E62" s="165"/>
      <c r="F62" s="167"/>
      <c r="G62" s="167"/>
      <c r="H62" s="167"/>
      <c r="I62" s="167"/>
      <c r="J62" s="167"/>
      <c r="K62" s="168">
        <f t="shared" si="0"/>
        <v>0</v>
      </c>
      <c r="L62" s="169">
        <f t="shared" si="1"/>
        <v>0</v>
      </c>
    </row>
    <row r="63" spans="1:12" s="30" customFormat="1">
      <c r="A63" s="166" t="s">
        <v>146</v>
      </c>
      <c r="B63" s="720"/>
      <c r="C63" s="733" t="s">
        <v>147</v>
      </c>
      <c r="D63" s="750"/>
      <c r="E63" s="165"/>
      <c r="F63" s="173"/>
      <c r="G63" s="173"/>
      <c r="H63" s="173"/>
      <c r="I63" s="173"/>
      <c r="J63" s="173"/>
      <c r="K63" s="168">
        <f t="shared" si="0"/>
        <v>0</v>
      </c>
      <c r="L63" s="169">
        <f t="shared" si="1"/>
        <v>0</v>
      </c>
    </row>
    <row r="64" spans="1:12" s="30" customFormat="1">
      <c r="A64" s="171" t="s">
        <v>201</v>
      </c>
      <c r="B64" s="720"/>
      <c r="C64" s="710" t="s">
        <v>202</v>
      </c>
      <c r="D64" s="733"/>
      <c r="E64" s="165"/>
      <c r="F64" s="173"/>
      <c r="G64" s="173"/>
      <c r="H64" s="173"/>
      <c r="I64" s="173"/>
      <c r="J64" s="173"/>
      <c r="K64" s="168"/>
      <c r="L64" s="169"/>
    </row>
    <row r="65" spans="1:12" s="30" customFormat="1">
      <c r="A65" s="166" t="s">
        <v>148</v>
      </c>
      <c r="B65" s="720"/>
      <c r="C65" s="710" t="s">
        <v>67</v>
      </c>
      <c r="D65" s="710"/>
      <c r="E65" s="165"/>
      <c r="F65" s="167"/>
      <c r="G65" s="167"/>
      <c r="H65" s="167"/>
      <c r="I65" s="167"/>
      <c r="J65" s="167"/>
      <c r="K65" s="168">
        <f t="shared" ref="K65:K78" si="2">SUM(H65:J65)</f>
        <v>0</v>
      </c>
      <c r="L65" s="169">
        <f t="shared" ref="L65:L78" si="3">F65+G65+K65</f>
        <v>0</v>
      </c>
    </row>
    <row r="66" spans="1:12" s="30" customFormat="1">
      <c r="A66" s="166" t="s">
        <v>149</v>
      </c>
      <c r="B66" s="720" t="s">
        <v>203</v>
      </c>
      <c r="C66" s="710" t="s">
        <v>150</v>
      </c>
      <c r="D66" s="710"/>
      <c r="E66" s="165"/>
      <c r="F66" s="167"/>
      <c r="G66" s="744"/>
      <c r="H66" s="745"/>
      <c r="I66" s="167"/>
      <c r="J66" s="167"/>
      <c r="K66" s="168">
        <f t="shared" si="2"/>
        <v>0</v>
      </c>
      <c r="L66" s="169">
        <f t="shared" si="3"/>
        <v>0</v>
      </c>
    </row>
    <row r="67" spans="1:12" s="30" customFormat="1">
      <c r="A67" s="166" t="s">
        <v>151</v>
      </c>
      <c r="B67" s="720"/>
      <c r="C67" s="710" t="s">
        <v>152</v>
      </c>
      <c r="D67" s="710"/>
      <c r="E67" s="165"/>
      <c r="F67" s="167"/>
      <c r="G67" s="167"/>
      <c r="H67" s="167"/>
      <c r="I67" s="167"/>
      <c r="J67" s="167"/>
      <c r="K67" s="168">
        <f t="shared" si="2"/>
        <v>0</v>
      </c>
      <c r="L67" s="169">
        <f t="shared" si="3"/>
        <v>0</v>
      </c>
    </row>
    <row r="68" spans="1:12" s="30" customFormat="1">
      <c r="A68" s="166" t="s">
        <v>153</v>
      </c>
      <c r="B68" s="720"/>
      <c r="C68" s="710" t="s">
        <v>67</v>
      </c>
      <c r="D68" s="710"/>
      <c r="E68" s="165"/>
      <c r="F68" s="173"/>
      <c r="G68" s="173"/>
      <c r="H68" s="173"/>
      <c r="I68" s="173"/>
      <c r="J68" s="173"/>
      <c r="K68" s="168">
        <f t="shared" si="2"/>
        <v>0</v>
      </c>
      <c r="L68" s="169">
        <f t="shared" si="3"/>
        <v>0</v>
      </c>
    </row>
    <row r="69" spans="1:12" s="30" customFormat="1">
      <c r="A69" s="166" t="s">
        <v>154</v>
      </c>
      <c r="B69" s="720" t="s">
        <v>155</v>
      </c>
      <c r="C69" s="710" t="s">
        <v>156</v>
      </c>
      <c r="D69" s="710"/>
      <c r="E69" s="165"/>
      <c r="F69" s="182"/>
      <c r="G69" s="182"/>
      <c r="H69" s="182"/>
      <c r="I69" s="182"/>
      <c r="J69" s="182"/>
      <c r="K69" s="172">
        <f t="shared" si="2"/>
        <v>0</v>
      </c>
      <c r="L69" s="183">
        <f t="shared" si="3"/>
        <v>0</v>
      </c>
    </row>
    <row r="70" spans="1:12" s="30" customFormat="1">
      <c r="A70" s="166" t="s">
        <v>157</v>
      </c>
      <c r="B70" s="720"/>
      <c r="C70" s="710" t="s">
        <v>158</v>
      </c>
      <c r="D70" s="710"/>
      <c r="E70" s="165"/>
      <c r="F70" s="182"/>
      <c r="G70" s="173"/>
      <c r="H70" s="173"/>
      <c r="I70" s="173"/>
      <c r="J70" s="173"/>
      <c r="K70" s="172">
        <f t="shared" si="2"/>
        <v>0</v>
      </c>
      <c r="L70" s="183">
        <f t="shared" si="3"/>
        <v>0</v>
      </c>
    </row>
    <row r="71" spans="1:12" s="30" customFormat="1">
      <c r="A71" s="166" t="s">
        <v>159</v>
      </c>
      <c r="B71" s="720"/>
      <c r="C71" s="710" t="s">
        <v>160</v>
      </c>
      <c r="D71" s="710"/>
      <c r="E71" s="165"/>
      <c r="F71" s="182"/>
      <c r="G71" s="173"/>
      <c r="H71" s="173"/>
      <c r="I71" s="173"/>
      <c r="J71" s="173"/>
      <c r="K71" s="172">
        <f t="shared" si="2"/>
        <v>0</v>
      </c>
      <c r="L71" s="183">
        <f t="shared" si="3"/>
        <v>0</v>
      </c>
    </row>
    <row r="72" spans="1:12" s="30" customFormat="1">
      <c r="A72" s="166" t="s">
        <v>161</v>
      </c>
      <c r="B72" s="720"/>
      <c r="C72" s="710" t="s">
        <v>162</v>
      </c>
      <c r="D72" s="710"/>
      <c r="E72" s="165"/>
      <c r="F72" s="182"/>
      <c r="G72" s="173"/>
      <c r="H72" s="173"/>
      <c r="I72" s="173"/>
      <c r="J72" s="173"/>
      <c r="K72" s="172">
        <f t="shared" si="2"/>
        <v>0</v>
      </c>
      <c r="L72" s="183">
        <f t="shared" si="3"/>
        <v>0</v>
      </c>
    </row>
    <row r="73" spans="1:12" s="30" customFormat="1">
      <c r="A73" s="166" t="s">
        <v>163</v>
      </c>
      <c r="B73" s="720"/>
      <c r="C73" s="710" t="s">
        <v>67</v>
      </c>
      <c r="D73" s="710"/>
      <c r="E73" s="165"/>
      <c r="F73" s="182"/>
      <c r="G73" s="182"/>
      <c r="H73" s="182"/>
      <c r="I73" s="182"/>
      <c r="J73" s="182"/>
      <c r="K73" s="172">
        <f t="shared" si="2"/>
        <v>0</v>
      </c>
      <c r="L73" s="183">
        <f t="shared" si="3"/>
        <v>0</v>
      </c>
    </row>
    <row r="74" spans="1:12" s="30" customFormat="1" ht="14.4" customHeight="1">
      <c r="A74" s="171" t="s">
        <v>248</v>
      </c>
      <c r="B74" s="711" t="s">
        <v>243</v>
      </c>
      <c r="C74" s="746"/>
      <c r="D74" s="713"/>
      <c r="E74" s="165"/>
      <c r="F74" s="168"/>
      <c r="G74" s="168"/>
      <c r="H74" s="168"/>
      <c r="I74" s="168"/>
      <c r="J74" s="168"/>
      <c r="K74" s="172"/>
      <c r="L74" s="183"/>
    </row>
    <row r="75" spans="1:12" s="30" customFormat="1">
      <c r="A75" s="180" t="s">
        <v>164</v>
      </c>
      <c r="B75" s="710" t="s">
        <v>165</v>
      </c>
      <c r="C75" s="710"/>
      <c r="D75" s="710"/>
      <c r="E75" s="165"/>
      <c r="F75" s="181"/>
      <c r="G75" s="181"/>
      <c r="H75" s="184"/>
      <c r="I75" s="184"/>
      <c r="J75" s="184"/>
      <c r="K75" s="168">
        <f t="shared" si="2"/>
        <v>0</v>
      </c>
      <c r="L75" s="179">
        <f t="shared" si="3"/>
        <v>0</v>
      </c>
    </row>
    <row r="76" spans="1:12" s="30" customFormat="1">
      <c r="A76" s="180" t="s">
        <v>166</v>
      </c>
      <c r="B76" s="747" t="s">
        <v>167</v>
      </c>
      <c r="C76" s="748"/>
      <c r="D76" s="749"/>
      <c r="E76" s="165"/>
      <c r="F76" s="181"/>
      <c r="G76" s="181"/>
      <c r="H76" s="184"/>
      <c r="I76" s="184"/>
      <c r="J76" s="184"/>
      <c r="K76" s="169">
        <f t="shared" si="2"/>
        <v>0</v>
      </c>
      <c r="L76" s="179">
        <f t="shared" si="3"/>
        <v>0</v>
      </c>
    </row>
    <row r="77" spans="1:12" s="30" customFormat="1">
      <c r="A77" s="166" t="s">
        <v>136</v>
      </c>
      <c r="B77" s="717" t="s">
        <v>241</v>
      </c>
      <c r="C77" s="718"/>
      <c r="D77" s="719"/>
      <c r="E77" s="165"/>
      <c r="F77" s="173"/>
      <c r="G77" s="173"/>
      <c r="H77" s="173"/>
      <c r="I77" s="173"/>
      <c r="J77" s="173"/>
      <c r="K77" s="169">
        <f t="shared" si="2"/>
        <v>0</v>
      </c>
      <c r="L77" s="169">
        <f t="shared" si="3"/>
        <v>0</v>
      </c>
    </row>
    <row r="78" spans="1:12" s="30" customFormat="1">
      <c r="A78" s="166" t="s">
        <v>168</v>
      </c>
      <c r="B78" s="717" t="s">
        <v>169</v>
      </c>
      <c r="C78" s="718"/>
      <c r="D78" s="719"/>
      <c r="E78" s="165"/>
      <c r="F78" s="173"/>
      <c r="G78" s="173"/>
      <c r="H78" s="173"/>
      <c r="I78" s="173"/>
      <c r="J78" s="173"/>
      <c r="K78" s="169">
        <f t="shared" si="2"/>
        <v>0</v>
      </c>
      <c r="L78" s="169">
        <f t="shared" si="3"/>
        <v>0</v>
      </c>
    </row>
    <row r="79" spans="1:12" s="30" customFormat="1">
      <c r="A79" s="185"/>
      <c r="B79" s="186"/>
      <c r="C79" s="186"/>
      <c r="D79" s="186"/>
      <c r="E79" s="185"/>
      <c r="F79" s="187"/>
      <c r="G79" s="187"/>
      <c r="H79" s="187"/>
      <c r="I79" s="187"/>
      <c r="J79" s="187"/>
      <c r="K79" s="188"/>
      <c r="L79" s="188"/>
    </row>
    <row r="80" spans="1:12" s="191" customFormat="1">
      <c r="A80" s="189" t="s">
        <v>547</v>
      </c>
      <c r="B80" s="189"/>
      <c r="C80" s="190"/>
    </row>
    <row r="81" spans="1:12" s="191" customFormat="1">
      <c r="C81" s="190"/>
    </row>
    <row r="82" spans="1:12" s="193" customFormat="1">
      <c r="A82" s="192" t="s">
        <v>59</v>
      </c>
      <c r="C82" s="194"/>
      <c r="D82" s="194"/>
      <c r="E82" s="194"/>
    </row>
    <row r="83" spans="1:12" s="193" customFormat="1">
      <c r="C83" s="194"/>
      <c r="D83" s="194"/>
      <c r="E83" s="194"/>
    </row>
    <row r="84" spans="1:12" s="193" customFormat="1">
      <c r="A84" s="193" t="s">
        <v>912</v>
      </c>
      <c r="C84" s="194"/>
      <c r="D84" s="194"/>
      <c r="E84" s="194"/>
    </row>
    <row r="85" spans="1:12" s="193" customFormat="1">
      <c r="C85" s="194"/>
      <c r="D85" s="194"/>
      <c r="E85" s="194"/>
    </row>
    <row r="86" spans="1:12" s="193" customFormat="1">
      <c r="A86" s="193" t="s">
        <v>913</v>
      </c>
      <c r="C86" s="194"/>
      <c r="D86" s="194"/>
      <c r="E86" s="194"/>
    </row>
    <row r="87" spans="1:12" s="193" customFormat="1">
      <c r="A87" s="193" t="s">
        <v>204</v>
      </c>
      <c r="C87" s="194"/>
      <c r="D87" s="194"/>
      <c r="E87" s="194"/>
    </row>
    <row r="88" spans="1:12" s="193" customFormat="1">
      <c r="A88" s="193" t="s">
        <v>205</v>
      </c>
      <c r="C88" s="194"/>
      <c r="D88" s="194"/>
      <c r="E88" s="194"/>
    </row>
    <row r="89" spans="1:12" s="193" customFormat="1">
      <c r="A89" s="193" t="s">
        <v>206</v>
      </c>
      <c r="C89" s="194"/>
      <c r="D89" s="194"/>
      <c r="E89" s="194"/>
    </row>
    <row r="90" spans="1:12" s="193" customFormat="1">
      <c r="A90" s="612" t="s">
        <v>1738</v>
      </c>
      <c r="B90" s="612"/>
      <c r="C90" s="613"/>
      <c r="D90" s="613"/>
      <c r="E90" s="613"/>
      <c r="F90" s="612"/>
      <c r="G90" s="612"/>
      <c r="H90" s="601"/>
      <c r="I90" s="612"/>
      <c r="J90" s="601"/>
      <c r="K90" s="612"/>
      <c r="L90" s="601"/>
    </row>
    <row r="91" spans="1:12" s="193" customFormat="1">
      <c r="A91" s="612" t="s">
        <v>1739</v>
      </c>
      <c r="B91" s="612"/>
      <c r="C91" s="613"/>
      <c r="D91" s="613"/>
      <c r="E91" s="613"/>
      <c r="F91" s="612"/>
      <c r="G91" s="612"/>
      <c r="H91" s="601"/>
      <c r="I91" s="612"/>
      <c r="J91" s="601"/>
      <c r="K91" s="612"/>
      <c r="L91" s="601"/>
    </row>
    <row r="92" spans="1:12" s="193" customFormat="1">
      <c r="A92" s="614" t="s">
        <v>1737</v>
      </c>
      <c r="B92" s="612"/>
      <c r="C92" s="613"/>
      <c r="D92" s="613"/>
      <c r="E92" s="613"/>
      <c r="F92" s="612"/>
      <c r="G92" s="612"/>
      <c r="H92" s="601"/>
      <c r="I92" s="612"/>
      <c r="J92" s="601"/>
      <c r="K92" s="612"/>
      <c r="L92" s="601"/>
    </row>
    <row r="93" spans="1:12" s="604" customFormat="1">
      <c r="A93" s="602"/>
      <c r="B93" s="602"/>
      <c r="C93" s="603"/>
      <c r="D93" s="603"/>
      <c r="E93" s="603"/>
      <c r="F93" s="602"/>
      <c r="G93" s="602"/>
    </row>
    <row r="94" spans="1:12" s="193" customFormat="1">
      <c r="A94" s="151" t="s">
        <v>177</v>
      </c>
      <c r="B94" s="195"/>
      <c r="C94" s="190"/>
      <c r="D94" s="191"/>
      <c r="E94" s="191"/>
      <c r="F94" s="191"/>
      <c r="G94" s="191"/>
      <c r="H94" s="191"/>
      <c r="I94" s="191"/>
      <c r="J94" s="191"/>
    </row>
    <row r="95" spans="1:12" s="193" customFormat="1">
      <c r="A95" s="154" t="s">
        <v>178</v>
      </c>
      <c r="B95" s="195"/>
      <c r="C95" s="190"/>
      <c r="D95" s="191"/>
      <c r="E95" s="191"/>
      <c r="F95" s="191"/>
      <c r="G95" s="191"/>
      <c r="H95" s="191"/>
      <c r="I95" s="191"/>
      <c r="J95" s="191"/>
    </row>
    <row r="96" spans="1:12" s="193" customFormat="1">
      <c r="A96" s="154" t="s">
        <v>207</v>
      </c>
      <c r="B96" s="195"/>
      <c r="C96" s="190"/>
      <c r="D96" s="191"/>
      <c r="E96" s="191"/>
      <c r="F96" s="191"/>
      <c r="G96" s="191"/>
      <c r="H96" s="191"/>
      <c r="I96" s="191"/>
      <c r="J96" s="191"/>
    </row>
    <row r="97" spans="1:10" s="193" customFormat="1">
      <c r="A97" s="154" t="s">
        <v>208</v>
      </c>
      <c r="B97" s="195"/>
      <c r="C97" s="190"/>
      <c r="D97" s="191"/>
      <c r="E97" s="191"/>
      <c r="F97" s="191"/>
      <c r="G97" s="191"/>
      <c r="H97" s="191"/>
      <c r="I97" s="191"/>
      <c r="J97" s="191"/>
    </row>
    <row r="98" spans="1:10" s="193" customFormat="1">
      <c r="A98" s="154" t="s">
        <v>183</v>
      </c>
      <c r="C98" s="194"/>
      <c r="D98" s="194"/>
      <c r="E98" s="194"/>
    </row>
    <row r="99" spans="1:10" s="193" customFormat="1">
      <c r="A99" s="193" t="s">
        <v>218</v>
      </c>
      <c r="C99" s="194"/>
      <c r="D99" s="194"/>
      <c r="E99" s="194"/>
    </row>
    <row r="100" spans="1:10" s="30" customFormat="1">
      <c r="A100" s="193" t="s">
        <v>914</v>
      </c>
      <c r="C100" s="159"/>
      <c r="D100" s="159"/>
      <c r="E100" s="159"/>
    </row>
    <row r="101" spans="1:10" s="30" customFormat="1">
      <c r="A101" s="445" t="s">
        <v>1517</v>
      </c>
      <c r="B101" s="280"/>
      <c r="C101" s="422"/>
      <c r="D101" s="422"/>
      <c r="E101" s="422"/>
    </row>
    <row r="102" spans="1:10" s="30" customFormat="1">
      <c r="A102" s="445" t="s">
        <v>1742</v>
      </c>
      <c r="B102" s="280"/>
      <c r="C102" s="422"/>
      <c r="D102" s="422"/>
      <c r="E102" s="422"/>
    </row>
    <row r="103" spans="1:10" s="30" customFormat="1">
      <c r="C103" s="159"/>
      <c r="D103" s="159"/>
      <c r="E103" s="159"/>
    </row>
  </sheetData>
  <mergeCells count="77">
    <mergeCell ref="L9:L10"/>
    <mergeCell ref="A8:D10"/>
    <mergeCell ref="E9:E10"/>
    <mergeCell ref="F9:F10"/>
    <mergeCell ref="G9:G10"/>
    <mergeCell ref="H9:K9"/>
    <mergeCell ref="B11:D11"/>
    <mergeCell ref="B12:B24"/>
    <mergeCell ref="C12:D12"/>
    <mergeCell ref="C13:D13"/>
    <mergeCell ref="C14:D14"/>
    <mergeCell ref="C15:D15"/>
    <mergeCell ref="C16:C23"/>
    <mergeCell ref="C24:D24"/>
    <mergeCell ref="B25:B29"/>
    <mergeCell ref="C25:D25"/>
    <mergeCell ref="C26:D26"/>
    <mergeCell ref="C27:D27"/>
    <mergeCell ref="C28:D28"/>
    <mergeCell ref="C29:D29"/>
    <mergeCell ref="B30:B36"/>
    <mergeCell ref="C30:D30"/>
    <mergeCell ref="C31:D31"/>
    <mergeCell ref="C32:D32"/>
    <mergeCell ref="C33:D33"/>
    <mergeCell ref="C34:D34"/>
    <mergeCell ref="C35:D35"/>
    <mergeCell ref="C36:D36"/>
    <mergeCell ref="B37:D37"/>
    <mergeCell ref="B38:B46"/>
    <mergeCell ref="C38:D38"/>
    <mergeCell ref="C39:D39"/>
    <mergeCell ref="C40:D40"/>
    <mergeCell ref="C41:D41"/>
    <mergeCell ref="C42:D42"/>
    <mergeCell ref="C43:D43"/>
    <mergeCell ref="C44:D44"/>
    <mergeCell ref="C45:D45"/>
    <mergeCell ref="C46:D46"/>
    <mergeCell ref="B47:B52"/>
    <mergeCell ref="C47:D47"/>
    <mergeCell ref="C48:D48"/>
    <mergeCell ref="C49:D49"/>
    <mergeCell ref="C50:D50"/>
    <mergeCell ref="C51:D51"/>
    <mergeCell ref="C52:D52"/>
    <mergeCell ref="B53:D53"/>
    <mergeCell ref="B54:B59"/>
    <mergeCell ref="C54:D54"/>
    <mergeCell ref="C55:D55"/>
    <mergeCell ref="C56:D56"/>
    <mergeCell ref="C57:D57"/>
    <mergeCell ref="C59:D59"/>
    <mergeCell ref="C58:D58"/>
    <mergeCell ref="B60:B65"/>
    <mergeCell ref="C60:D60"/>
    <mergeCell ref="C61:D61"/>
    <mergeCell ref="C62:D62"/>
    <mergeCell ref="C63:D63"/>
    <mergeCell ref="C64:D64"/>
    <mergeCell ref="C65:D65"/>
    <mergeCell ref="B78:D78"/>
    <mergeCell ref="B66:B68"/>
    <mergeCell ref="C66:D66"/>
    <mergeCell ref="G66:H66"/>
    <mergeCell ref="C67:D67"/>
    <mergeCell ref="C68:D68"/>
    <mergeCell ref="B69:B73"/>
    <mergeCell ref="C69:D69"/>
    <mergeCell ref="C70:D70"/>
    <mergeCell ref="C71:D71"/>
    <mergeCell ref="C72:D72"/>
    <mergeCell ref="C73:D73"/>
    <mergeCell ref="B74:D74"/>
    <mergeCell ref="B75:D75"/>
    <mergeCell ref="B76:D76"/>
    <mergeCell ref="B77:D77"/>
  </mergeCells>
  <phoneticPr fontId="6" type="noConversion"/>
  <pageMargins left="0.72" right="0.21" top="0.6" bottom="0.46" header="0.5" footer="0.5"/>
  <pageSetup paperSize="9" scale="55" orientation="portrait" horizontalDpi="4294967292" r:id="rId1"/>
  <headerFooter alignWithMargins="0"/>
  <colBreaks count="1" manualBreakCount="1">
    <brk id="12" max="71" man="1"/>
  </colBrea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A4C30B-4B8B-4F51-A827-9CA0811B58DE}">
  <sheetPr codeName="Sheet8">
    <tabColor theme="0" tint="-0.249977111117893"/>
    <pageSetUpPr fitToPage="1"/>
  </sheetPr>
  <dimension ref="A1:G173"/>
  <sheetViews>
    <sheetView showGridLines="0" view="pageBreakPreview" zoomScale="85" zoomScaleNormal="100" zoomScaleSheetLayoutView="85" workbookViewId="0">
      <pane xSplit="3" ySplit="9" topLeftCell="D10" activePane="bottomRight" state="frozen"/>
      <selection pane="topRight" activeCell="D1" sqref="D1"/>
      <selection pane="bottomLeft" activeCell="A10" sqref="A10"/>
      <selection pane="bottomRight" activeCell="D10" sqref="D10"/>
    </sheetView>
  </sheetViews>
  <sheetFormatPr defaultColWidth="8.8984375" defaultRowHeight="14.4"/>
  <cols>
    <col min="1" max="3" width="8.8984375" style="30"/>
    <col min="4" max="4" width="42.3984375" style="30" customWidth="1"/>
    <col min="5" max="7" width="13.796875" style="30" customWidth="1"/>
    <col min="8" max="16384" width="8.8984375" style="30"/>
  </cols>
  <sheetData>
    <row r="1" spans="1:7">
      <c r="B1" s="196"/>
      <c r="C1" s="196"/>
      <c r="E1" s="197"/>
      <c r="F1" s="197"/>
      <c r="G1" s="197"/>
    </row>
    <row r="2" spans="1:7">
      <c r="B2" s="196"/>
      <c r="C2" s="196"/>
      <c r="E2" s="197"/>
      <c r="F2" s="197"/>
      <c r="G2" s="197"/>
    </row>
    <row r="3" spans="1:7">
      <c r="B3" s="196"/>
      <c r="C3" s="196"/>
      <c r="E3" s="197"/>
      <c r="F3" s="197"/>
      <c r="G3" s="197"/>
    </row>
    <row r="4" spans="1:7">
      <c r="B4" s="196"/>
      <c r="C4" s="196"/>
      <c r="E4" s="197"/>
      <c r="F4" s="197"/>
      <c r="G4" s="197"/>
    </row>
    <row r="5" spans="1:7" ht="20.399999999999999">
      <c r="A5" s="157" t="s">
        <v>915</v>
      </c>
      <c r="B5" s="198"/>
      <c r="C5" s="198"/>
      <c r="D5" s="157"/>
      <c r="E5" s="199"/>
      <c r="F5" s="199"/>
      <c r="G5" s="197"/>
    </row>
    <row r="6" spans="1:7">
      <c r="B6" s="196"/>
      <c r="C6" s="196"/>
      <c r="E6" s="197"/>
      <c r="F6" s="197"/>
      <c r="G6" s="197"/>
    </row>
    <row r="7" spans="1:7">
      <c r="A7" s="159" t="s">
        <v>916</v>
      </c>
      <c r="B7" s="196"/>
      <c r="C7" s="196"/>
      <c r="E7" s="197"/>
      <c r="F7" s="197"/>
      <c r="G7" s="200"/>
    </row>
    <row r="8" spans="1:7">
      <c r="A8" s="738" t="s">
        <v>54</v>
      </c>
      <c r="B8" s="739"/>
      <c r="C8" s="739"/>
      <c r="D8" s="754"/>
      <c r="E8" s="201" t="s">
        <v>55</v>
      </c>
      <c r="F8" s="201" t="s">
        <v>56</v>
      </c>
      <c r="G8" s="201" t="s">
        <v>60</v>
      </c>
    </row>
    <row r="9" spans="1:7">
      <c r="A9" s="756"/>
      <c r="B9" s="757"/>
      <c r="C9" s="757"/>
      <c r="D9" s="758"/>
      <c r="E9" s="202" t="s">
        <v>917</v>
      </c>
      <c r="F9" s="202" t="s">
        <v>918</v>
      </c>
      <c r="G9" s="202" t="s">
        <v>919</v>
      </c>
    </row>
    <row r="10" spans="1:7" ht="15" customHeight="1">
      <c r="A10" s="166" t="s">
        <v>83</v>
      </c>
      <c r="B10" s="752" t="s">
        <v>920</v>
      </c>
      <c r="C10" s="752" t="s">
        <v>921</v>
      </c>
      <c r="D10" s="203" t="s">
        <v>922</v>
      </c>
      <c r="E10" s="204"/>
      <c r="F10" s="204"/>
      <c r="G10" s="204"/>
    </row>
    <row r="11" spans="1:7" ht="15" customHeight="1">
      <c r="A11" s="166" t="s">
        <v>85</v>
      </c>
      <c r="B11" s="766"/>
      <c r="C11" s="766"/>
      <c r="D11" s="203" t="s">
        <v>923</v>
      </c>
      <c r="E11" s="204"/>
      <c r="F11" s="204"/>
      <c r="G11" s="204"/>
    </row>
    <row r="12" spans="1:7" ht="15" customHeight="1">
      <c r="A12" s="166" t="s">
        <v>55</v>
      </c>
      <c r="B12" s="766"/>
      <c r="C12" s="753"/>
      <c r="D12" s="203" t="s">
        <v>924</v>
      </c>
      <c r="E12" s="204" t="e">
        <f>E10/E11*100</f>
        <v>#DIV/0!</v>
      </c>
      <c r="F12" s="204" t="e">
        <f>F10/F11*100</f>
        <v>#DIV/0!</v>
      </c>
      <c r="G12" s="204"/>
    </row>
    <row r="13" spans="1:7" ht="15" customHeight="1">
      <c r="A13" s="166" t="s">
        <v>629</v>
      </c>
      <c r="B13" s="766"/>
      <c r="C13" s="752" t="s">
        <v>925</v>
      </c>
      <c r="D13" s="203" t="s">
        <v>926</v>
      </c>
      <c r="E13" s="204"/>
      <c r="F13" s="204"/>
      <c r="G13" s="204"/>
    </row>
    <row r="14" spans="1:7" ht="15" customHeight="1">
      <c r="A14" s="166" t="s">
        <v>623</v>
      </c>
      <c r="B14" s="766"/>
      <c r="C14" s="766"/>
      <c r="D14" s="203" t="s">
        <v>927</v>
      </c>
      <c r="E14" s="204"/>
      <c r="F14" s="204"/>
      <c r="G14" s="204"/>
    </row>
    <row r="15" spans="1:7" ht="15" customHeight="1">
      <c r="A15" s="166" t="s">
        <v>928</v>
      </c>
      <c r="B15" s="766"/>
      <c r="C15" s="766"/>
      <c r="D15" s="203" t="s">
        <v>929</v>
      </c>
      <c r="E15" s="204"/>
      <c r="F15" s="204"/>
      <c r="G15" s="204"/>
    </row>
    <row r="16" spans="1:7" ht="15" customHeight="1">
      <c r="A16" s="166" t="s">
        <v>228</v>
      </c>
      <c r="B16" s="766"/>
      <c r="C16" s="766"/>
      <c r="D16" s="205" t="s">
        <v>930</v>
      </c>
      <c r="E16" s="202"/>
      <c r="F16" s="202"/>
      <c r="G16" s="202"/>
    </row>
    <row r="17" spans="1:7" ht="15" customHeight="1">
      <c r="A17" s="180" t="s">
        <v>625</v>
      </c>
      <c r="B17" s="766"/>
      <c r="C17" s="766"/>
      <c r="D17" s="203" t="s">
        <v>931</v>
      </c>
      <c r="E17" s="202"/>
      <c r="F17" s="202"/>
      <c r="G17" s="202"/>
    </row>
    <row r="18" spans="1:7" ht="15" customHeight="1">
      <c r="A18" s="180" t="s">
        <v>932</v>
      </c>
      <c r="B18" s="766"/>
      <c r="C18" s="766"/>
      <c r="D18" s="206" t="s">
        <v>933</v>
      </c>
      <c r="E18" s="201"/>
      <c r="F18" s="201"/>
      <c r="G18" s="201"/>
    </row>
    <row r="19" spans="1:7" ht="33.75" customHeight="1">
      <c r="A19" s="180" t="s">
        <v>934</v>
      </c>
      <c r="B19" s="766"/>
      <c r="C19" s="766"/>
      <c r="D19" s="207" t="s">
        <v>935</v>
      </c>
      <c r="E19" s="201"/>
      <c r="F19" s="201"/>
      <c r="G19" s="201"/>
    </row>
    <row r="20" spans="1:7" ht="15" customHeight="1">
      <c r="A20" s="180" t="s">
        <v>936</v>
      </c>
      <c r="B20" s="766"/>
      <c r="C20" s="766"/>
      <c r="D20" s="207" t="s">
        <v>937</v>
      </c>
      <c r="E20" s="201"/>
      <c r="F20" s="201"/>
      <c r="G20" s="201"/>
    </row>
    <row r="21" spans="1:7" ht="15" customHeight="1">
      <c r="A21" s="166" t="s">
        <v>626</v>
      </c>
      <c r="B21" s="766"/>
      <c r="C21" s="766"/>
      <c r="D21" s="203" t="s">
        <v>938</v>
      </c>
      <c r="E21" s="204"/>
      <c r="F21" s="204"/>
      <c r="G21" s="204"/>
    </row>
    <row r="22" spans="1:7" ht="15" customHeight="1">
      <c r="A22" s="166" t="s">
        <v>939</v>
      </c>
      <c r="B22" s="766"/>
      <c r="C22" s="766"/>
      <c r="D22" s="203" t="s">
        <v>940</v>
      </c>
      <c r="E22" s="204"/>
      <c r="F22" s="204"/>
      <c r="G22" s="204"/>
    </row>
    <row r="23" spans="1:7" ht="15" customHeight="1">
      <c r="A23" s="166" t="s">
        <v>250</v>
      </c>
      <c r="B23" s="766"/>
      <c r="C23" s="766"/>
      <c r="D23" s="203" t="s">
        <v>941</v>
      </c>
      <c r="E23" s="202"/>
      <c r="F23" s="202"/>
      <c r="G23" s="202"/>
    </row>
    <row r="24" spans="1:7" ht="15" customHeight="1">
      <c r="A24" s="180" t="s">
        <v>942</v>
      </c>
      <c r="B24" s="766"/>
      <c r="C24" s="766"/>
      <c r="D24" s="203" t="s">
        <v>943</v>
      </c>
      <c r="E24" s="202"/>
      <c r="F24" s="202"/>
      <c r="G24" s="202"/>
    </row>
    <row r="25" spans="1:7" ht="15" customHeight="1">
      <c r="A25" s="180" t="s">
        <v>944</v>
      </c>
      <c r="B25" s="766"/>
      <c r="C25" s="766"/>
      <c r="D25" s="206" t="s">
        <v>945</v>
      </c>
      <c r="E25" s="201"/>
      <c r="F25" s="201"/>
      <c r="G25" s="201"/>
    </row>
    <row r="26" spans="1:7" ht="15" customHeight="1">
      <c r="A26" s="166" t="s">
        <v>94</v>
      </c>
      <c r="B26" s="766"/>
      <c r="C26" s="766"/>
      <c r="D26" s="203" t="s">
        <v>946</v>
      </c>
      <c r="E26" s="204">
        <f>E13+E14+E16+E21+E23</f>
        <v>0</v>
      </c>
      <c r="F26" s="204">
        <f>F13+F14+F16+F21+F23</f>
        <v>0</v>
      </c>
      <c r="G26" s="204">
        <f>G13+G14+G16+G21+G23</f>
        <v>0</v>
      </c>
    </row>
    <row r="27" spans="1:7" ht="15" customHeight="1">
      <c r="A27" s="166" t="s">
        <v>947</v>
      </c>
      <c r="B27" s="766"/>
      <c r="C27" s="766"/>
      <c r="D27" s="203" t="s">
        <v>948</v>
      </c>
      <c r="E27" s="204"/>
      <c r="F27" s="204"/>
      <c r="G27" s="204"/>
    </row>
    <row r="28" spans="1:7" ht="15" customHeight="1">
      <c r="A28" s="166" t="s">
        <v>696</v>
      </c>
      <c r="B28" s="766"/>
      <c r="C28" s="766"/>
      <c r="D28" s="203" t="s">
        <v>949</v>
      </c>
      <c r="E28" s="202">
        <f>E27-E29-E30-E31</f>
        <v>0</v>
      </c>
      <c r="F28" s="202">
        <f>F27-F29-F30-F31</f>
        <v>0</v>
      </c>
      <c r="G28" s="202">
        <f>G27-G29-G30-G31</f>
        <v>0</v>
      </c>
    </row>
    <row r="29" spans="1:7" ht="15" customHeight="1">
      <c r="A29" s="180" t="s">
        <v>630</v>
      </c>
      <c r="B29" s="766"/>
      <c r="C29" s="766"/>
      <c r="D29" s="203" t="s">
        <v>931</v>
      </c>
      <c r="E29" s="202"/>
      <c r="F29" s="202"/>
      <c r="G29" s="202"/>
    </row>
    <row r="30" spans="1:7" ht="15" customHeight="1">
      <c r="A30" s="180" t="s">
        <v>950</v>
      </c>
      <c r="B30" s="766"/>
      <c r="C30" s="766"/>
      <c r="D30" s="203" t="s">
        <v>951</v>
      </c>
      <c r="E30" s="202"/>
      <c r="F30" s="202"/>
      <c r="G30" s="202"/>
    </row>
    <row r="31" spans="1:7" ht="28.95" customHeight="1">
      <c r="A31" s="180" t="s">
        <v>952</v>
      </c>
      <c r="B31" s="766"/>
      <c r="C31" s="766"/>
      <c r="D31" s="206" t="s">
        <v>953</v>
      </c>
      <c r="E31" s="201"/>
      <c r="F31" s="201"/>
      <c r="G31" s="201"/>
    </row>
    <row r="32" spans="1:7" ht="15" customHeight="1">
      <c r="A32" s="166" t="s">
        <v>56</v>
      </c>
      <c r="B32" s="753"/>
      <c r="C32" s="753"/>
      <c r="D32" s="203" t="s">
        <v>954</v>
      </c>
      <c r="E32" s="204" t="e">
        <f>E26/E28*100</f>
        <v>#DIV/0!</v>
      </c>
      <c r="F32" s="204" t="e">
        <f>F26/F28*100</f>
        <v>#DIV/0!</v>
      </c>
      <c r="G32" s="204"/>
    </row>
    <row r="33" spans="1:7" ht="15" customHeight="1">
      <c r="A33" s="166" t="s">
        <v>72</v>
      </c>
      <c r="B33" s="752" t="s">
        <v>955</v>
      </c>
      <c r="C33" s="752" t="s">
        <v>956</v>
      </c>
      <c r="D33" s="203" t="s">
        <v>957</v>
      </c>
      <c r="E33" s="204"/>
      <c r="F33" s="204"/>
      <c r="G33" s="204"/>
    </row>
    <row r="34" spans="1:7" ht="15" customHeight="1">
      <c r="A34" s="166" t="s">
        <v>73</v>
      </c>
      <c r="B34" s="766"/>
      <c r="C34" s="766"/>
      <c r="D34" s="203" t="s">
        <v>958</v>
      </c>
      <c r="E34" s="204"/>
      <c r="F34" s="204"/>
      <c r="G34" s="204"/>
    </row>
    <row r="35" spans="1:7" ht="15" customHeight="1">
      <c r="A35" s="166" t="s">
        <v>60</v>
      </c>
      <c r="B35" s="766"/>
      <c r="C35" s="753"/>
      <c r="D35" s="203" t="s">
        <v>959</v>
      </c>
      <c r="E35" s="204" t="e">
        <f>E33/E34*100</f>
        <v>#DIV/0!</v>
      </c>
      <c r="F35" s="204" t="e">
        <f>F33/F34*100</f>
        <v>#DIV/0!</v>
      </c>
      <c r="G35" s="204"/>
    </row>
    <row r="36" spans="1:7" ht="15" customHeight="1">
      <c r="A36" s="166" t="s">
        <v>960</v>
      </c>
      <c r="B36" s="766"/>
      <c r="C36" s="752" t="s">
        <v>961</v>
      </c>
      <c r="D36" s="203" t="s">
        <v>79</v>
      </c>
      <c r="E36" s="204"/>
      <c r="F36" s="204"/>
      <c r="G36" s="204"/>
    </row>
    <row r="37" spans="1:7" ht="15" customHeight="1">
      <c r="A37" s="166" t="s">
        <v>962</v>
      </c>
      <c r="B37" s="766"/>
      <c r="C37" s="766"/>
      <c r="D37" s="203" t="s">
        <v>963</v>
      </c>
      <c r="E37" s="204"/>
      <c r="F37" s="204"/>
      <c r="G37" s="204"/>
    </row>
    <row r="38" spans="1:7" ht="15" customHeight="1">
      <c r="A38" s="166" t="s">
        <v>964</v>
      </c>
      <c r="B38" s="766"/>
      <c r="C38" s="766"/>
      <c r="D38" s="203" t="s">
        <v>965</v>
      </c>
      <c r="E38" s="204"/>
      <c r="F38" s="204"/>
      <c r="G38" s="204"/>
    </row>
    <row r="39" spans="1:7" ht="15" customHeight="1">
      <c r="A39" s="166" t="s">
        <v>234</v>
      </c>
      <c r="B39" s="766"/>
      <c r="C39" s="766"/>
      <c r="D39" s="203" t="s">
        <v>966</v>
      </c>
      <c r="E39" s="204"/>
      <c r="F39" s="204"/>
      <c r="G39" s="204"/>
    </row>
    <row r="40" spans="1:7" ht="15" customHeight="1">
      <c r="A40" s="166" t="s">
        <v>235</v>
      </c>
      <c r="B40" s="766"/>
      <c r="C40" s="766"/>
      <c r="D40" s="203" t="s">
        <v>967</v>
      </c>
      <c r="E40" s="204"/>
      <c r="F40" s="204"/>
      <c r="G40" s="204"/>
    </row>
    <row r="41" spans="1:7" ht="15" customHeight="1">
      <c r="A41" s="166" t="s">
        <v>61</v>
      </c>
      <c r="B41" s="766"/>
      <c r="C41" s="753"/>
      <c r="D41" s="203" t="s">
        <v>968</v>
      </c>
      <c r="E41" s="204" t="e">
        <f>E39/E40*100</f>
        <v>#DIV/0!</v>
      </c>
      <c r="F41" s="204" t="e">
        <f>F39/F40*100</f>
        <v>#DIV/0!</v>
      </c>
      <c r="G41" s="204"/>
    </row>
    <row r="42" spans="1:7" ht="15" customHeight="1">
      <c r="A42" s="166" t="s">
        <v>112</v>
      </c>
      <c r="B42" s="766"/>
      <c r="C42" s="752" t="s">
        <v>969</v>
      </c>
      <c r="D42" s="203" t="s">
        <v>970</v>
      </c>
      <c r="E42" s="204"/>
      <c r="F42" s="204"/>
      <c r="G42" s="204"/>
    </row>
    <row r="43" spans="1:7" ht="15" customHeight="1">
      <c r="A43" s="166" t="s">
        <v>115</v>
      </c>
      <c r="B43" s="766"/>
      <c r="C43" s="766"/>
      <c r="D43" s="203" t="s">
        <v>971</v>
      </c>
      <c r="E43" s="204"/>
      <c r="F43" s="204"/>
      <c r="G43" s="204"/>
    </row>
    <row r="44" spans="1:7" ht="15" customHeight="1">
      <c r="A44" s="166" t="s">
        <v>62</v>
      </c>
      <c r="B44" s="766"/>
      <c r="C44" s="753"/>
      <c r="D44" s="203" t="s">
        <v>972</v>
      </c>
      <c r="E44" s="204" t="e">
        <f>E42/E43*100</f>
        <v>#DIV/0!</v>
      </c>
      <c r="F44" s="204" t="e">
        <f>F42/F43*100</f>
        <v>#DIV/0!</v>
      </c>
      <c r="G44" s="204"/>
    </row>
    <row r="45" spans="1:7" ht="15" customHeight="1">
      <c r="A45" s="166" t="s">
        <v>973</v>
      </c>
      <c r="B45" s="766"/>
      <c r="C45" s="752" t="s">
        <v>974</v>
      </c>
      <c r="D45" s="203" t="s">
        <v>975</v>
      </c>
      <c r="E45" s="204"/>
      <c r="F45" s="204"/>
      <c r="G45" s="204"/>
    </row>
    <row r="46" spans="1:7" ht="15" customHeight="1">
      <c r="A46" s="166" t="s">
        <v>976</v>
      </c>
      <c r="B46" s="766"/>
      <c r="C46" s="766"/>
      <c r="D46" s="203" t="s">
        <v>977</v>
      </c>
      <c r="E46" s="204">
        <f>E26</f>
        <v>0</v>
      </c>
      <c r="F46" s="204">
        <f>F26</f>
        <v>0</v>
      </c>
      <c r="G46" s="204">
        <f>G26</f>
        <v>0</v>
      </c>
    </row>
    <row r="47" spans="1:7" ht="15" customHeight="1">
      <c r="A47" s="166" t="s">
        <v>63</v>
      </c>
      <c r="B47" s="766"/>
      <c r="C47" s="753"/>
      <c r="D47" s="203" t="s">
        <v>978</v>
      </c>
      <c r="E47" s="204" t="e">
        <f>E45/E46*100</f>
        <v>#DIV/0!</v>
      </c>
      <c r="F47" s="204" t="e">
        <f>F45/F46*100</f>
        <v>#DIV/0!</v>
      </c>
      <c r="G47" s="204"/>
    </row>
    <row r="48" spans="1:7" ht="15" customHeight="1">
      <c r="A48" s="166" t="s">
        <v>979</v>
      </c>
      <c r="B48" s="766"/>
      <c r="C48" s="752" t="s">
        <v>980</v>
      </c>
      <c r="D48" s="208" t="s">
        <v>981</v>
      </c>
      <c r="E48" s="209"/>
      <c r="F48" s="202"/>
      <c r="G48" s="202"/>
    </row>
    <row r="49" spans="1:7" ht="15" customHeight="1">
      <c r="A49" s="166" t="s">
        <v>982</v>
      </c>
      <c r="B49" s="766"/>
      <c r="C49" s="766"/>
      <c r="D49" s="206" t="s">
        <v>983</v>
      </c>
      <c r="E49" s="204"/>
      <c r="F49" s="204"/>
      <c r="G49" s="204"/>
    </row>
    <row r="50" spans="1:7" ht="15" customHeight="1">
      <c r="A50" s="166" t="s">
        <v>166</v>
      </c>
      <c r="B50" s="753"/>
      <c r="C50" s="753"/>
      <c r="D50" s="203" t="s">
        <v>984</v>
      </c>
      <c r="E50" s="204" t="e">
        <f>E48/E49*100</f>
        <v>#DIV/0!</v>
      </c>
      <c r="F50" s="204" t="e">
        <f>F48/F49*100</f>
        <v>#DIV/0!</v>
      </c>
      <c r="G50" s="204"/>
    </row>
    <row r="51" spans="1:7" ht="15" customHeight="1">
      <c r="A51" s="166" t="s">
        <v>985</v>
      </c>
      <c r="B51" s="752" t="s">
        <v>986</v>
      </c>
      <c r="C51" s="752" t="s">
        <v>987</v>
      </c>
      <c r="D51" s="203" t="s">
        <v>988</v>
      </c>
      <c r="E51" s="202"/>
      <c r="F51" s="202"/>
      <c r="G51" s="202"/>
    </row>
    <row r="52" spans="1:7" ht="15" customHeight="1">
      <c r="A52" s="166" t="s">
        <v>989</v>
      </c>
      <c r="B52" s="766"/>
      <c r="C52" s="766"/>
      <c r="D52" s="203" t="s">
        <v>990</v>
      </c>
      <c r="E52" s="202">
        <f>E51-E53-E54+E55</f>
        <v>0</v>
      </c>
      <c r="F52" s="202">
        <f>F51-F53-F54+F55</f>
        <v>0</v>
      </c>
      <c r="G52" s="202">
        <f>G51-G53-G54+G55</f>
        <v>0</v>
      </c>
    </row>
    <row r="53" spans="1:7" ht="15" customHeight="1">
      <c r="A53" s="180" t="s">
        <v>991</v>
      </c>
      <c r="B53" s="766"/>
      <c r="C53" s="766"/>
      <c r="D53" s="203" t="s">
        <v>992</v>
      </c>
      <c r="E53" s="202"/>
      <c r="F53" s="202"/>
      <c r="G53" s="202"/>
    </row>
    <row r="54" spans="1:7" ht="15" customHeight="1">
      <c r="A54" s="180" t="s">
        <v>993</v>
      </c>
      <c r="B54" s="766"/>
      <c r="C54" s="766"/>
      <c r="D54" s="203" t="s">
        <v>994</v>
      </c>
      <c r="E54" s="202"/>
      <c r="F54" s="202"/>
      <c r="G54" s="202"/>
    </row>
    <row r="55" spans="1:7" ht="15" customHeight="1">
      <c r="A55" s="180" t="s">
        <v>995</v>
      </c>
      <c r="B55" s="766"/>
      <c r="C55" s="766"/>
      <c r="D55" s="206" t="s">
        <v>996</v>
      </c>
      <c r="E55" s="201"/>
      <c r="F55" s="201"/>
      <c r="G55" s="201"/>
    </row>
    <row r="56" spans="1:7" ht="15" customHeight="1">
      <c r="A56" s="166" t="s">
        <v>997</v>
      </c>
      <c r="B56" s="766"/>
      <c r="C56" s="766"/>
      <c r="D56" s="203" t="s">
        <v>998</v>
      </c>
      <c r="E56" s="202"/>
      <c r="F56" s="202"/>
      <c r="G56" s="202"/>
    </row>
    <row r="57" spans="1:7" ht="15" customHeight="1">
      <c r="A57" s="166" t="s">
        <v>999</v>
      </c>
      <c r="B57" s="766"/>
      <c r="C57" s="766"/>
      <c r="D57" s="205" t="s">
        <v>1000</v>
      </c>
      <c r="E57" s="202">
        <f>E56-E58-E59-E60</f>
        <v>0</v>
      </c>
      <c r="F57" s="202">
        <f>F56-F58-F59-F60</f>
        <v>0</v>
      </c>
      <c r="G57" s="202">
        <f>G56-G58-G59-G60</f>
        <v>0</v>
      </c>
    </row>
    <row r="58" spans="1:7" ht="15" customHeight="1">
      <c r="A58" s="180" t="s">
        <v>1001</v>
      </c>
      <c r="B58" s="766"/>
      <c r="C58" s="766"/>
      <c r="D58" s="203" t="s">
        <v>1002</v>
      </c>
      <c r="E58" s="202"/>
      <c r="F58" s="202"/>
      <c r="G58" s="202"/>
    </row>
    <row r="59" spans="1:7" ht="15" customHeight="1">
      <c r="A59" s="180" t="s">
        <v>1003</v>
      </c>
      <c r="B59" s="766"/>
      <c r="C59" s="766"/>
      <c r="D59" s="205" t="s">
        <v>1004</v>
      </c>
      <c r="E59" s="202"/>
      <c r="F59" s="202"/>
      <c r="G59" s="202"/>
    </row>
    <row r="60" spans="1:7" ht="15" customHeight="1">
      <c r="A60" s="180" t="s">
        <v>1005</v>
      </c>
      <c r="B60" s="766"/>
      <c r="C60" s="766"/>
      <c r="D60" s="207" t="s">
        <v>1006</v>
      </c>
      <c r="E60" s="201"/>
      <c r="F60" s="201"/>
      <c r="G60" s="201"/>
    </row>
    <row r="61" spans="1:7" ht="15" customHeight="1">
      <c r="A61" s="166" t="s">
        <v>64</v>
      </c>
      <c r="B61" s="766"/>
      <c r="C61" s="753"/>
      <c r="D61" s="203" t="s">
        <v>1007</v>
      </c>
      <c r="E61" s="204" t="e">
        <f>E52/E57*100</f>
        <v>#DIV/0!</v>
      </c>
      <c r="F61" s="204" t="e">
        <f>F52/F57*100</f>
        <v>#DIV/0!</v>
      </c>
      <c r="G61" s="204"/>
    </row>
    <row r="62" spans="1:7" ht="15" customHeight="1">
      <c r="A62" s="166" t="s">
        <v>1008</v>
      </c>
      <c r="B62" s="766"/>
      <c r="C62" s="752" t="s">
        <v>1009</v>
      </c>
      <c r="D62" s="203" t="s">
        <v>988</v>
      </c>
      <c r="E62" s="204"/>
      <c r="F62" s="204"/>
      <c r="G62" s="204"/>
    </row>
    <row r="63" spans="1:7" ht="15" customHeight="1">
      <c r="A63" s="166" t="s">
        <v>1010</v>
      </c>
      <c r="B63" s="766"/>
      <c r="C63" s="766"/>
      <c r="D63" s="203" t="s">
        <v>1011</v>
      </c>
      <c r="E63" s="202">
        <f>E62-E64-E65+E66</f>
        <v>0</v>
      </c>
      <c r="F63" s="202">
        <f>F62-F64-F65+F66</f>
        <v>0</v>
      </c>
      <c r="G63" s="202">
        <f>G62-G64-G65+G66</f>
        <v>0</v>
      </c>
    </row>
    <row r="64" spans="1:7" ht="15" customHeight="1">
      <c r="A64" s="180" t="s">
        <v>1012</v>
      </c>
      <c r="B64" s="766"/>
      <c r="C64" s="766"/>
      <c r="D64" s="203" t="s">
        <v>992</v>
      </c>
      <c r="E64" s="202"/>
      <c r="F64" s="202"/>
      <c r="G64" s="202"/>
    </row>
    <row r="65" spans="1:7" ht="15" customHeight="1">
      <c r="A65" s="180" t="s">
        <v>1013</v>
      </c>
      <c r="B65" s="766"/>
      <c r="C65" s="766"/>
      <c r="D65" s="203" t="s">
        <v>994</v>
      </c>
      <c r="E65" s="202"/>
      <c r="F65" s="202"/>
      <c r="G65" s="202"/>
    </row>
    <row r="66" spans="1:7" ht="15" customHeight="1">
      <c r="A66" s="180" t="s">
        <v>1014</v>
      </c>
      <c r="B66" s="766"/>
      <c r="C66" s="766"/>
      <c r="D66" s="206" t="s">
        <v>996</v>
      </c>
      <c r="E66" s="201"/>
      <c r="F66" s="201"/>
      <c r="G66" s="201"/>
    </row>
    <row r="67" spans="1:7" ht="15" customHeight="1">
      <c r="A67" s="166" t="s">
        <v>1015</v>
      </c>
      <c r="B67" s="766"/>
      <c r="C67" s="766"/>
      <c r="D67" s="203" t="s">
        <v>1016</v>
      </c>
      <c r="E67" s="204">
        <f>E26</f>
        <v>0</v>
      </c>
      <c r="F67" s="204">
        <f>F26</f>
        <v>0</v>
      </c>
      <c r="G67" s="204">
        <f>G26</f>
        <v>0</v>
      </c>
    </row>
    <row r="68" spans="1:7" ht="15" customHeight="1">
      <c r="A68" s="166" t="s">
        <v>1017</v>
      </c>
      <c r="B68" s="766"/>
      <c r="C68" s="753"/>
      <c r="D68" s="203" t="s">
        <v>1018</v>
      </c>
      <c r="E68" s="204" t="e">
        <f>E63/E67*100</f>
        <v>#DIV/0!</v>
      </c>
      <c r="F68" s="204" t="e">
        <f>F63/F67*100</f>
        <v>#DIV/0!</v>
      </c>
      <c r="G68" s="204"/>
    </row>
    <row r="69" spans="1:7" ht="15" customHeight="1">
      <c r="A69" s="166" t="s">
        <v>140</v>
      </c>
      <c r="B69" s="766"/>
      <c r="C69" s="752" t="s">
        <v>1019</v>
      </c>
      <c r="D69" s="203" t="s">
        <v>1020</v>
      </c>
      <c r="E69" s="204"/>
      <c r="F69" s="204"/>
      <c r="G69" s="204"/>
    </row>
    <row r="70" spans="1:7" ht="15" customHeight="1">
      <c r="A70" s="166" t="s">
        <v>1021</v>
      </c>
      <c r="B70" s="766"/>
      <c r="C70" s="766"/>
      <c r="D70" s="203" t="s">
        <v>998</v>
      </c>
      <c r="E70" s="202"/>
      <c r="F70" s="202"/>
      <c r="G70" s="202"/>
    </row>
    <row r="71" spans="1:7" ht="15" customHeight="1">
      <c r="A71" s="166" t="s">
        <v>905</v>
      </c>
      <c r="B71" s="766"/>
      <c r="C71" s="766"/>
      <c r="D71" s="205" t="s">
        <v>1022</v>
      </c>
      <c r="E71" s="202">
        <f>E70-E72-E73-E74</f>
        <v>0</v>
      </c>
      <c r="F71" s="202">
        <f>F70-F72-F73-F74</f>
        <v>0</v>
      </c>
      <c r="G71" s="202">
        <f>G70-G72-G73-G74</f>
        <v>0</v>
      </c>
    </row>
    <row r="72" spans="1:7" ht="15" customHeight="1">
      <c r="A72" s="180" t="s">
        <v>1023</v>
      </c>
      <c r="B72" s="766"/>
      <c r="C72" s="766"/>
      <c r="D72" s="203" t="s">
        <v>931</v>
      </c>
      <c r="E72" s="202"/>
      <c r="F72" s="202"/>
      <c r="G72" s="202"/>
    </row>
    <row r="73" spans="1:7" ht="15" customHeight="1">
      <c r="A73" s="180" t="s">
        <v>1024</v>
      </c>
      <c r="B73" s="766"/>
      <c r="C73" s="766"/>
      <c r="D73" s="205" t="s">
        <v>1004</v>
      </c>
      <c r="E73" s="202"/>
      <c r="F73" s="202"/>
      <c r="G73" s="202"/>
    </row>
    <row r="74" spans="1:7" ht="15" customHeight="1">
      <c r="A74" s="180" t="s">
        <v>1025</v>
      </c>
      <c r="B74" s="766"/>
      <c r="C74" s="766"/>
      <c r="D74" s="207" t="s">
        <v>953</v>
      </c>
      <c r="E74" s="201"/>
      <c r="F74" s="201"/>
      <c r="G74" s="201"/>
    </row>
    <row r="75" spans="1:7" ht="15" customHeight="1">
      <c r="A75" s="166" t="s">
        <v>148</v>
      </c>
      <c r="B75" s="766"/>
      <c r="C75" s="753"/>
      <c r="D75" s="203" t="s">
        <v>1026</v>
      </c>
      <c r="E75" s="204" t="e">
        <f>E69/E71*100</f>
        <v>#DIV/0!</v>
      </c>
      <c r="F75" s="204" t="e">
        <f>F69/F71*100</f>
        <v>#DIV/0!</v>
      </c>
      <c r="G75" s="204"/>
    </row>
    <row r="76" spans="1:7" ht="15" customHeight="1">
      <c r="A76" s="166" t="s">
        <v>1027</v>
      </c>
      <c r="B76" s="766"/>
      <c r="C76" s="752" t="s">
        <v>1028</v>
      </c>
      <c r="D76" s="203" t="s">
        <v>1029</v>
      </c>
      <c r="E76" s="202"/>
      <c r="F76" s="202"/>
      <c r="G76" s="202"/>
    </row>
    <row r="77" spans="1:7" ht="15" customHeight="1">
      <c r="A77" s="166" t="s">
        <v>1030</v>
      </c>
      <c r="B77" s="766"/>
      <c r="C77" s="766"/>
      <c r="D77" s="203" t="s">
        <v>1031</v>
      </c>
      <c r="E77" s="202">
        <f>E76+E78-E79-E80</f>
        <v>0</v>
      </c>
      <c r="F77" s="202">
        <f>F76+F78-F79-F80</f>
        <v>0</v>
      </c>
      <c r="G77" s="202">
        <f>G76+G78-G79-G80</f>
        <v>0</v>
      </c>
    </row>
    <row r="78" spans="1:7" ht="15" customHeight="1">
      <c r="A78" s="180" t="s">
        <v>1032</v>
      </c>
      <c r="B78" s="766"/>
      <c r="C78" s="766"/>
      <c r="D78" s="203" t="s">
        <v>1033</v>
      </c>
      <c r="E78" s="201"/>
      <c r="F78" s="201"/>
      <c r="G78" s="201"/>
    </row>
    <row r="79" spans="1:7" ht="15" customHeight="1">
      <c r="A79" s="180" t="s">
        <v>1034</v>
      </c>
      <c r="B79" s="766"/>
      <c r="C79" s="766"/>
      <c r="D79" s="206" t="s">
        <v>1035</v>
      </c>
      <c r="E79" s="201"/>
      <c r="F79" s="201"/>
      <c r="G79" s="201"/>
    </row>
    <row r="80" spans="1:7" ht="15" customHeight="1">
      <c r="A80" s="180" t="s">
        <v>1036</v>
      </c>
      <c r="B80" s="766"/>
      <c r="C80" s="766"/>
      <c r="D80" s="206" t="s">
        <v>1037</v>
      </c>
      <c r="E80" s="201"/>
      <c r="F80" s="201"/>
      <c r="G80" s="201"/>
    </row>
    <row r="81" spans="1:7" ht="15" customHeight="1">
      <c r="A81" s="166" t="s">
        <v>1038</v>
      </c>
      <c r="B81" s="766"/>
      <c r="C81" s="766"/>
      <c r="D81" s="203" t="s">
        <v>1039</v>
      </c>
      <c r="E81" s="202"/>
      <c r="F81" s="202"/>
      <c r="G81" s="202"/>
    </row>
    <row r="82" spans="1:7" ht="15" customHeight="1">
      <c r="A82" s="166" t="s">
        <v>1040</v>
      </c>
      <c r="B82" s="766"/>
      <c r="C82" s="766"/>
      <c r="D82" s="203" t="s">
        <v>1041</v>
      </c>
      <c r="E82" s="202">
        <f>E81+E83-E84</f>
        <v>0</v>
      </c>
      <c r="F82" s="202">
        <f>F81+F83-F84</f>
        <v>0</v>
      </c>
      <c r="G82" s="202">
        <f>G81+G83-G84</f>
        <v>0</v>
      </c>
    </row>
    <row r="83" spans="1:7" ht="15" customHeight="1">
      <c r="A83" s="180" t="s">
        <v>1042</v>
      </c>
      <c r="B83" s="766"/>
      <c r="C83" s="766"/>
      <c r="D83" s="203" t="s">
        <v>1043</v>
      </c>
      <c r="E83" s="201"/>
      <c r="F83" s="201"/>
      <c r="G83" s="201"/>
    </row>
    <row r="84" spans="1:7" ht="15" customHeight="1">
      <c r="A84" s="180" t="s">
        <v>1044</v>
      </c>
      <c r="B84" s="766"/>
      <c r="C84" s="766"/>
      <c r="D84" s="206" t="s">
        <v>1045</v>
      </c>
      <c r="E84" s="201"/>
      <c r="F84" s="201"/>
      <c r="G84" s="201"/>
    </row>
    <row r="85" spans="1:7" ht="15" customHeight="1">
      <c r="A85" s="166" t="s">
        <v>153</v>
      </c>
      <c r="B85" s="766"/>
      <c r="C85" s="753"/>
      <c r="D85" s="203" t="s">
        <v>1046</v>
      </c>
      <c r="E85" s="204" t="e">
        <f>E77/E82*100</f>
        <v>#DIV/0!</v>
      </c>
      <c r="F85" s="204" t="e">
        <f>F77/F82*100</f>
        <v>#DIV/0!</v>
      </c>
      <c r="G85" s="204"/>
    </row>
    <row r="86" spans="1:7" ht="15" customHeight="1">
      <c r="A86" s="166" t="s">
        <v>1047</v>
      </c>
      <c r="B86" s="210"/>
      <c r="C86" s="752" t="s">
        <v>1048</v>
      </c>
      <c r="D86" s="203" t="s">
        <v>1707</v>
      </c>
      <c r="E86" s="204"/>
      <c r="F86" s="204"/>
      <c r="G86" s="204"/>
    </row>
    <row r="87" spans="1:7" ht="15" customHeight="1">
      <c r="A87" s="166" t="s">
        <v>1049</v>
      </c>
      <c r="B87" s="210"/>
      <c r="C87" s="766"/>
      <c r="D87" s="203" t="s">
        <v>1709</v>
      </c>
      <c r="E87" s="202"/>
      <c r="F87" s="202"/>
      <c r="G87" s="202"/>
    </row>
    <row r="88" spans="1:7" ht="15" customHeight="1">
      <c r="A88" s="166" t="s">
        <v>1050</v>
      </c>
      <c r="B88" s="210"/>
      <c r="C88" s="753"/>
      <c r="D88" s="203" t="s">
        <v>1711</v>
      </c>
      <c r="E88" s="204" t="e">
        <f>E86/E87*100</f>
        <v>#DIV/0!</v>
      </c>
      <c r="F88" s="204" t="e">
        <f>F86/F87*100</f>
        <v>#DIV/0!</v>
      </c>
      <c r="G88" s="204"/>
    </row>
    <row r="89" spans="1:7" ht="15" customHeight="1">
      <c r="A89" s="166" t="s">
        <v>154</v>
      </c>
      <c r="B89" s="752" t="s">
        <v>1051</v>
      </c>
      <c r="C89" s="752" t="s">
        <v>1052</v>
      </c>
      <c r="D89" s="203" t="s">
        <v>1053</v>
      </c>
      <c r="E89" s="204"/>
      <c r="F89" s="204"/>
      <c r="G89" s="204"/>
    </row>
    <row r="90" spans="1:7" ht="15" customHeight="1">
      <c r="A90" s="166" t="s">
        <v>157</v>
      </c>
      <c r="B90" s="766"/>
      <c r="C90" s="766"/>
      <c r="D90" s="203" t="s">
        <v>1054</v>
      </c>
      <c r="E90" s="204"/>
      <c r="F90" s="204"/>
      <c r="G90" s="204"/>
    </row>
    <row r="91" spans="1:7" ht="15" customHeight="1">
      <c r="A91" s="166" t="s">
        <v>163</v>
      </c>
      <c r="B91" s="766"/>
      <c r="C91" s="753"/>
      <c r="D91" s="203" t="s">
        <v>1055</v>
      </c>
      <c r="E91" s="204" t="e">
        <f>E89/E90*100</f>
        <v>#DIV/0!</v>
      </c>
      <c r="F91" s="204" t="e">
        <f>F89/F90*100</f>
        <v>#DIV/0!</v>
      </c>
      <c r="G91" s="204"/>
    </row>
    <row r="92" spans="1:7" ht="15" customHeight="1">
      <c r="A92" s="166" t="s">
        <v>1047</v>
      </c>
      <c r="B92" s="766"/>
      <c r="C92" s="752" t="s">
        <v>1056</v>
      </c>
      <c r="D92" s="203" t="s">
        <v>1057</v>
      </c>
      <c r="E92" s="204"/>
      <c r="F92" s="204"/>
      <c r="G92" s="204"/>
    </row>
    <row r="93" spans="1:7" ht="15" customHeight="1">
      <c r="A93" s="166" t="s">
        <v>1049</v>
      </c>
      <c r="B93" s="766"/>
      <c r="C93" s="766"/>
      <c r="D93" s="203" t="s">
        <v>1058</v>
      </c>
      <c r="E93" s="204"/>
      <c r="F93" s="204"/>
      <c r="G93" s="204"/>
    </row>
    <row r="94" spans="1:7" ht="15" customHeight="1">
      <c r="A94" s="166" t="s">
        <v>1050</v>
      </c>
      <c r="B94" s="766"/>
      <c r="C94" s="753"/>
      <c r="D94" s="203" t="s">
        <v>1059</v>
      </c>
      <c r="E94" s="202" t="e">
        <f>E92/E93*100</f>
        <v>#DIV/0!</v>
      </c>
      <c r="F94" s="202" t="e">
        <f>F92/F93*100</f>
        <v>#DIV/0!</v>
      </c>
      <c r="G94" s="202"/>
    </row>
    <row r="95" spans="1:7" ht="15" customHeight="1">
      <c r="A95" s="166" t="s">
        <v>1060</v>
      </c>
      <c r="B95" s="766"/>
      <c r="C95" s="752" t="s">
        <v>1061</v>
      </c>
      <c r="D95" s="203" t="s">
        <v>1062</v>
      </c>
      <c r="E95" s="202"/>
      <c r="F95" s="202"/>
      <c r="G95" s="202"/>
    </row>
    <row r="96" spans="1:7" ht="15" customHeight="1">
      <c r="A96" s="166" t="s">
        <v>1063</v>
      </c>
      <c r="B96" s="766"/>
      <c r="C96" s="766"/>
      <c r="D96" s="203" t="s">
        <v>1064</v>
      </c>
      <c r="E96" s="202"/>
      <c r="F96" s="202"/>
      <c r="G96" s="202"/>
    </row>
    <row r="97" spans="1:7" ht="15" customHeight="1">
      <c r="A97" s="166" t="s">
        <v>248</v>
      </c>
      <c r="B97" s="766"/>
      <c r="C97" s="753"/>
      <c r="D97" s="203" t="s">
        <v>1065</v>
      </c>
      <c r="E97" s="202" t="e">
        <f>E95/E96*100</f>
        <v>#DIV/0!</v>
      </c>
      <c r="F97" s="202" t="e">
        <f>F95/F96*100</f>
        <v>#DIV/0!</v>
      </c>
      <c r="G97" s="202"/>
    </row>
    <row r="98" spans="1:7">
      <c r="A98" s="166" t="s">
        <v>129</v>
      </c>
      <c r="B98" s="766"/>
      <c r="C98" s="752" t="s">
        <v>1066</v>
      </c>
      <c r="D98" s="203" t="s">
        <v>1067</v>
      </c>
      <c r="E98" s="204"/>
      <c r="F98" s="204"/>
      <c r="G98" s="204"/>
    </row>
    <row r="99" spans="1:7">
      <c r="A99" s="166" t="s">
        <v>131</v>
      </c>
      <c r="B99" s="766"/>
      <c r="C99" s="766"/>
      <c r="D99" s="203" t="s">
        <v>1068</v>
      </c>
      <c r="E99" s="204"/>
      <c r="F99" s="204"/>
      <c r="G99" s="204"/>
    </row>
    <row r="100" spans="1:7">
      <c r="A100" s="166" t="s">
        <v>136</v>
      </c>
      <c r="B100" s="753"/>
      <c r="C100" s="753"/>
      <c r="D100" s="203" t="s">
        <v>1069</v>
      </c>
      <c r="E100" s="204"/>
      <c r="F100" s="204"/>
      <c r="G100" s="204"/>
    </row>
    <row r="101" spans="1:7">
      <c r="A101" s="211" t="s">
        <v>547</v>
      </c>
      <c r="B101" s="29"/>
      <c r="C101" s="29"/>
      <c r="D101" s="29"/>
      <c r="E101" s="212"/>
      <c r="F101" s="212"/>
      <c r="G101" s="212"/>
    </row>
    <row r="102" spans="1:7">
      <c r="A102" s="29"/>
      <c r="B102" s="213"/>
      <c r="C102" s="213"/>
      <c r="D102" s="29"/>
      <c r="E102" s="212"/>
      <c r="F102" s="212"/>
      <c r="G102" s="212"/>
    </row>
    <row r="103" spans="1:7">
      <c r="A103" s="211" t="s">
        <v>59</v>
      </c>
      <c r="B103" s="213"/>
      <c r="C103" s="213"/>
      <c r="D103" s="29"/>
      <c r="E103" s="212"/>
      <c r="F103" s="212"/>
      <c r="G103" s="212"/>
    </row>
    <row r="104" spans="1:7">
      <c r="A104" s="29" t="s">
        <v>1070</v>
      </c>
      <c r="B104" s="213"/>
      <c r="C104" s="213"/>
      <c r="D104" s="29"/>
      <c r="E104" s="212"/>
      <c r="F104" s="212"/>
      <c r="G104" s="212"/>
    </row>
    <row r="105" spans="1:7">
      <c r="A105" s="29"/>
      <c r="B105" s="213"/>
      <c r="C105" s="213"/>
      <c r="D105" s="29"/>
      <c r="E105" s="212"/>
      <c r="F105" s="212"/>
      <c r="G105" s="212"/>
    </row>
    <row r="106" spans="1:7">
      <c r="A106" s="29" t="s">
        <v>1071</v>
      </c>
      <c r="B106" s="213"/>
      <c r="C106" s="213"/>
      <c r="D106" s="29"/>
      <c r="E106" s="212"/>
      <c r="F106" s="212"/>
      <c r="G106" s="212"/>
    </row>
    <row r="107" spans="1:7">
      <c r="A107" s="29"/>
      <c r="B107" s="213"/>
      <c r="C107" s="213"/>
      <c r="D107" s="29"/>
      <c r="E107" s="212"/>
      <c r="F107" s="212"/>
      <c r="G107" s="212"/>
    </row>
    <row r="108" spans="1:7">
      <c r="A108" s="214" t="s">
        <v>1072</v>
      </c>
      <c r="B108" s="213"/>
      <c r="C108" s="213"/>
      <c r="D108" s="29"/>
      <c r="E108" s="212"/>
      <c r="F108" s="212"/>
      <c r="G108" s="212"/>
    </row>
    <row r="109" spans="1:7">
      <c r="A109" s="214" t="s">
        <v>1073</v>
      </c>
      <c r="B109" s="213"/>
      <c r="C109" s="213"/>
      <c r="D109" s="29"/>
      <c r="E109" s="212"/>
      <c r="F109" s="212"/>
      <c r="G109" s="212"/>
    </row>
    <row r="110" spans="1:7">
      <c r="A110" s="214" t="s">
        <v>1074</v>
      </c>
      <c r="B110" s="213"/>
      <c r="C110" s="213"/>
      <c r="D110" s="29"/>
      <c r="E110" s="212"/>
      <c r="F110" s="212"/>
      <c r="G110" s="212"/>
    </row>
    <row r="111" spans="1:7">
      <c r="A111" s="29"/>
      <c r="B111" s="213"/>
      <c r="C111" s="213"/>
      <c r="D111" s="29"/>
      <c r="E111" s="212"/>
      <c r="F111" s="212"/>
      <c r="G111" s="212"/>
    </row>
    <row r="112" spans="1:7">
      <c r="A112" s="214" t="s">
        <v>1075</v>
      </c>
      <c r="B112" s="213"/>
      <c r="C112" s="213"/>
      <c r="D112" s="29"/>
      <c r="E112" s="212"/>
      <c r="F112" s="212"/>
      <c r="G112" s="212"/>
    </row>
    <row r="113" spans="1:7">
      <c r="A113" s="215" t="s">
        <v>1076</v>
      </c>
      <c r="B113" s="213"/>
      <c r="C113" s="213"/>
      <c r="D113" s="29"/>
      <c r="E113" s="212"/>
      <c r="F113" s="212"/>
      <c r="G113" s="212"/>
    </row>
    <row r="114" spans="1:7">
      <c r="A114" s="215"/>
      <c r="B114" s="213"/>
      <c r="C114" s="213"/>
      <c r="D114" s="29"/>
      <c r="E114" s="212"/>
      <c r="F114" s="212"/>
      <c r="G114" s="212"/>
    </row>
    <row r="115" spans="1:7">
      <c r="A115" s="214" t="s">
        <v>1077</v>
      </c>
      <c r="B115" s="213"/>
      <c r="C115" s="213"/>
      <c r="D115" s="29"/>
      <c r="E115" s="212"/>
      <c r="F115" s="212"/>
      <c r="G115" s="212"/>
    </row>
    <row r="116" spans="1:7">
      <c r="A116" s="29" t="s">
        <v>1078</v>
      </c>
      <c r="B116" s="213"/>
      <c r="C116" s="213"/>
      <c r="D116" s="29"/>
      <c r="E116" s="212"/>
      <c r="F116" s="212"/>
      <c r="G116" s="212"/>
    </row>
    <row r="117" spans="1:7">
      <c r="A117" s="29"/>
      <c r="B117" s="213"/>
      <c r="C117" s="213"/>
      <c r="D117" s="29"/>
      <c r="E117" s="212"/>
      <c r="F117" s="212"/>
      <c r="G117" s="212"/>
    </row>
    <row r="118" spans="1:7">
      <c r="A118" s="29" t="s">
        <v>1079</v>
      </c>
      <c r="B118" s="213"/>
      <c r="C118" s="213"/>
      <c r="D118" s="29"/>
      <c r="E118" s="212"/>
      <c r="F118" s="212"/>
      <c r="G118" s="212"/>
    </row>
    <row r="119" spans="1:7">
      <c r="A119" s="29" t="s">
        <v>1080</v>
      </c>
      <c r="B119" s="213"/>
      <c r="C119" s="213"/>
      <c r="D119" s="29"/>
      <c r="E119" s="212"/>
      <c r="F119" s="212"/>
      <c r="G119" s="212"/>
    </row>
    <row r="120" spans="1:7">
      <c r="A120" s="29" t="s">
        <v>1081</v>
      </c>
      <c r="B120" s="213"/>
      <c r="C120" s="213"/>
      <c r="D120" s="29"/>
      <c r="E120" s="212"/>
      <c r="F120" s="212"/>
      <c r="G120" s="212"/>
    </row>
    <row r="121" spans="1:7">
      <c r="A121" s="29" t="s">
        <v>1082</v>
      </c>
      <c r="B121" s="213"/>
      <c r="C121" s="213"/>
      <c r="D121" s="29"/>
      <c r="E121" s="212"/>
      <c r="F121" s="212"/>
      <c r="G121" s="212"/>
    </row>
    <row r="122" spans="1:7">
      <c r="A122" s="29"/>
      <c r="B122" s="213"/>
      <c r="C122" s="213"/>
      <c r="D122" s="29"/>
      <c r="E122" s="212"/>
      <c r="F122" s="212"/>
      <c r="G122" s="212"/>
    </row>
    <row r="123" spans="1:7">
      <c r="A123" s="29" t="s">
        <v>1083</v>
      </c>
      <c r="B123" s="213"/>
      <c r="C123" s="213"/>
      <c r="D123" s="29"/>
      <c r="E123" s="212"/>
      <c r="F123" s="212"/>
      <c r="G123" s="212"/>
    </row>
    <row r="124" spans="1:7">
      <c r="A124" s="216" t="s">
        <v>1084</v>
      </c>
      <c r="B124" s="213"/>
      <c r="C124" s="213"/>
      <c r="D124" s="29"/>
      <c r="E124" s="212"/>
      <c r="F124" s="212"/>
      <c r="G124" s="212"/>
    </row>
    <row r="125" spans="1:7">
      <c r="A125" s="217" t="s">
        <v>1085</v>
      </c>
      <c r="B125" s="218"/>
      <c r="C125" s="219"/>
      <c r="D125" s="217"/>
      <c r="E125" s="212"/>
      <c r="F125" s="212"/>
      <c r="G125" s="212"/>
    </row>
    <row r="126" spans="1:7">
      <c r="A126" s="29"/>
      <c r="B126" s="215"/>
      <c r="C126" s="213"/>
      <c r="D126" s="29"/>
      <c r="E126" s="212"/>
      <c r="F126" s="212"/>
      <c r="G126" s="212"/>
    </row>
    <row r="127" spans="1:7">
      <c r="A127" s="29" t="s">
        <v>1086</v>
      </c>
      <c r="B127" s="215"/>
      <c r="C127" s="213"/>
      <c r="D127" s="29"/>
      <c r="E127" s="212"/>
      <c r="F127" s="212"/>
      <c r="G127" s="212"/>
    </row>
    <row r="128" spans="1:7">
      <c r="A128" s="29" t="s">
        <v>1087</v>
      </c>
      <c r="B128" s="29"/>
      <c r="C128" s="29"/>
      <c r="D128" s="29"/>
      <c r="E128" s="212"/>
      <c r="F128" s="212"/>
      <c r="G128" s="212"/>
    </row>
    <row r="129" spans="1:7">
      <c r="A129" s="29" t="s">
        <v>1088</v>
      </c>
      <c r="B129" s="213"/>
      <c r="C129" s="213"/>
      <c r="D129" s="29"/>
      <c r="E129" s="212"/>
      <c r="F129" s="212"/>
      <c r="G129" s="212"/>
    </row>
    <row r="130" spans="1:7">
      <c r="A130" s="217" t="s">
        <v>1089</v>
      </c>
      <c r="B130" s="218"/>
      <c r="C130" s="219"/>
      <c r="D130" s="217"/>
      <c r="E130" s="212"/>
      <c r="F130" s="212"/>
      <c r="G130" s="212"/>
    </row>
    <row r="131" spans="1:7">
      <c r="A131" s="29"/>
      <c r="B131" s="213"/>
      <c r="C131" s="213"/>
      <c r="D131" s="29"/>
      <c r="E131" s="212"/>
      <c r="F131" s="212"/>
      <c r="G131" s="212"/>
    </row>
    <row r="132" spans="1:7">
      <c r="A132" s="29" t="s">
        <v>1090</v>
      </c>
      <c r="B132" s="213"/>
      <c r="C132" s="213"/>
      <c r="D132" s="29"/>
      <c r="E132" s="212"/>
      <c r="F132" s="212"/>
      <c r="G132" s="212"/>
    </row>
    <row r="133" spans="1:7">
      <c r="A133" s="29" t="s">
        <v>1091</v>
      </c>
      <c r="B133" s="213"/>
      <c r="C133" s="213"/>
      <c r="D133" s="29"/>
      <c r="E133" s="212"/>
      <c r="F133" s="212"/>
      <c r="G133" s="212"/>
    </row>
    <row r="134" spans="1:7">
      <c r="A134" s="160" t="s">
        <v>1092</v>
      </c>
      <c r="B134" s="213"/>
      <c r="C134" s="213"/>
      <c r="D134" s="29"/>
      <c r="E134" s="212"/>
      <c r="F134" s="212"/>
      <c r="G134" s="212"/>
    </row>
    <row r="135" spans="1:7">
      <c r="B135" s="196"/>
      <c r="C135" s="196"/>
      <c r="E135" s="197"/>
      <c r="F135" s="197"/>
      <c r="G135" s="197"/>
    </row>
    <row r="136" spans="1:7">
      <c r="B136" s="196"/>
      <c r="C136" s="196"/>
      <c r="E136" s="197"/>
      <c r="F136" s="197"/>
      <c r="G136" s="197"/>
    </row>
    <row r="137" spans="1:7">
      <c r="A137" s="29" t="s">
        <v>1093</v>
      </c>
      <c r="B137" s="196"/>
      <c r="C137" s="196"/>
      <c r="E137" s="197"/>
      <c r="F137" s="197"/>
      <c r="G137" s="197"/>
    </row>
    <row r="138" spans="1:7">
      <c r="A138" s="29" t="s">
        <v>1094</v>
      </c>
      <c r="B138" s="196"/>
      <c r="C138" s="196"/>
      <c r="E138" s="197"/>
      <c r="F138" s="197"/>
      <c r="G138" s="197"/>
    </row>
    <row r="139" spans="1:7">
      <c r="A139" s="29"/>
      <c r="B139" s="196"/>
      <c r="C139" s="196"/>
      <c r="E139" s="197"/>
      <c r="F139" s="197"/>
      <c r="G139" s="197"/>
    </row>
    <row r="140" spans="1:7">
      <c r="A140" s="29" t="s">
        <v>1095</v>
      </c>
      <c r="B140" s="196"/>
      <c r="C140" s="196"/>
      <c r="E140" s="197"/>
      <c r="F140" s="197"/>
      <c r="G140" s="197"/>
    </row>
    <row r="141" spans="1:7">
      <c r="A141" s="29" t="s">
        <v>1096</v>
      </c>
      <c r="B141" s="196"/>
      <c r="C141" s="196"/>
      <c r="E141" s="197"/>
      <c r="F141" s="197"/>
      <c r="G141" s="197"/>
    </row>
    <row r="142" spans="1:7">
      <c r="A142" s="29" t="s">
        <v>1097</v>
      </c>
      <c r="B142" s="196"/>
      <c r="C142" s="196"/>
      <c r="E142" s="197"/>
      <c r="F142" s="197"/>
      <c r="G142" s="197"/>
    </row>
    <row r="143" spans="1:7">
      <c r="A143" s="29"/>
      <c r="B143" s="196"/>
      <c r="C143" s="196"/>
      <c r="E143" s="197"/>
      <c r="F143" s="197"/>
      <c r="G143" s="197"/>
    </row>
    <row r="144" spans="1:7">
      <c r="A144" s="29" t="s">
        <v>1098</v>
      </c>
      <c r="B144" s="196"/>
      <c r="C144" s="196"/>
      <c r="E144" s="197"/>
      <c r="F144" s="197"/>
      <c r="G144" s="197"/>
    </row>
    <row r="145" spans="1:7">
      <c r="A145" s="29" t="s">
        <v>1099</v>
      </c>
      <c r="B145" s="196"/>
      <c r="C145" s="196"/>
      <c r="E145" s="197"/>
      <c r="F145" s="197"/>
      <c r="G145" s="197"/>
    </row>
    <row r="146" spans="1:7">
      <c r="A146" s="29" t="s">
        <v>1100</v>
      </c>
      <c r="B146" s="196"/>
      <c r="C146" s="196"/>
      <c r="E146" s="197"/>
      <c r="F146" s="197"/>
      <c r="G146" s="197"/>
    </row>
    <row r="147" spans="1:7">
      <c r="B147" s="196"/>
      <c r="C147" s="196"/>
      <c r="E147" s="197"/>
      <c r="F147" s="197"/>
      <c r="G147" s="197"/>
    </row>
    <row r="148" spans="1:7">
      <c r="A148" s="29" t="s">
        <v>1101</v>
      </c>
      <c r="B148" s="196"/>
      <c r="C148" s="196"/>
      <c r="E148" s="197"/>
      <c r="F148" s="197"/>
      <c r="G148" s="197"/>
    </row>
    <row r="149" spans="1:7">
      <c r="A149" s="29" t="s">
        <v>1102</v>
      </c>
      <c r="B149" s="196"/>
      <c r="C149" s="196"/>
      <c r="E149" s="220"/>
      <c r="F149" s="220"/>
      <c r="G149" s="220"/>
    </row>
    <row r="150" spans="1:7">
      <c r="A150" s="29" t="s">
        <v>1103</v>
      </c>
      <c r="B150" s="196"/>
      <c r="C150" s="196"/>
      <c r="E150" s="220"/>
      <c r="F150" s="220"/>
      <c r="G150" s="220"/>
    </row>
    <row r="151" spans="1:7">
      <c r="A151" s="29" t="s">
        <v>1104</v>
      </c>
      <c r="B151" s="196"/>
      <c r="C151" s="196"/>
      <c r="E151" s="220"/>
      <c r="F151" s="220"/>
      <c r="G151" s="220"/>
    </row>
    <row r="152" spans="1:7">
      <c r="A152" s="29" t="s">
        <v>1105</v>
      </c>
      <c r="B152" s="196"/>
      <c r="C152" s="196"/>
      <c r="E152" s="220"/>
      <c r="F152" s="220"/>
      <c r="G152" s="220"/>
    </row>
    <row r="153" spans="1:7">
      <c r="A153" s="29"/>
      <c r="B153" s="196"/>
      <c r="C153" s="196"/>
      <c r="E153" s="197"/>
      <c r="F153" s="197"/>
      <c r="G153" s="197"/>
    </row>
    <row r="154" spans="1:7">
      <c r="A154" s="29" t="s">
        <v>1106</v>
      </c>
      <c r="B154" s="196"/>
      <c r="C154" s="196"/>
      <c r="E154" s="197"/>
      <c r="F154" s="197"/>
      <c r="G154" s="197"/>
    </row>
    <row r="155" spans="1:7">
      <c r="A155" s="29" t="s">
        <v>1107</v>
      </c>
      <c r="B155" s="196"/>
      <c r="C155" s="196"/>
      <c r="E155" s="197"/>
      <c r="F155" s="197"/>
      <c r="G155" s="197"/>
    </row>
    <row r="156" spans="1:7">
      <c r="A156" s="29" t="s">
        <v>1108</v>
      </c>
      <c r="B156" s="196"/>
      <c r="C156" s="196"/>
      <c r="E156" s="197"/>
      <c r="F156" s="197"/>
      <c r="G156" s="197"/>
    </row>
    <row r="157" spans="1:7">
      <c r="A157" s="29"/>
      <c r="B157" s="196"/>
      <c r="C157" s="196"/>
      <c r="E157" s="197"/>
      <c r="F157" s="197"/>
      <c r="G157" s="197"/>
    </row>
    <row r="158" spans="1:7">
      <c r="A158" s="29" t="s">
        <v>1109</v>
      </c>
      <c r="B158" s="196"/>
      <c r="C158" s="196"/>
      <c r="E158" s="197"/>
      <c r="F158" s="197"/>
      <c r="G158" s="197"/>
    </row>
    <row r="159" spans="1:7">
      <c r="A159" s="29" t="s">
        <v>1110</v>
      </c>
      <c r="B159" s="196"/>
      <c r="C159" s="196"/>
      <c r="E159" s="197"/>
      <c r="F159" s="197"/>
      <c r="G159" s="197"/>
    </row>
    <row r="160" spans="1:7">
      <c r="A160" s="29" t="s">
        <v>1111</v>
      </c>
      <c r="B160" s="196"/>
      <c r="C160" s="196"/>
      <c r="E160" s="197"/>
      <c r="F160" s="197"/>
      <c r="G160" s="197"/>
    </row>
    <row r="161" spans="1:7">
      <c r="A161" s="29" t="s">
        <v>1112</v>
      </c>
      <c r="B161" s="196"/>
      <c r="C161" s="196"/>
      <c r="E161" s="197"/>
      <c r="F161" s="197"/>
      <c r="G161" s="197"/>
    </row>
    <row r="162" spans="1:7">
      <c r="A162" s="29" t="s">
        <v>1113</v>
      </c>
      <c r="B162" s="196"/>
      <c r="C162" s="196"/>
      <c r="E162" s="197"/>
      <c r="F162" s="197"/>
      <c r="G162" s="197"/>
    </row>
    <row r="163" spans="1:7">
      <c r="A163" s="29" t="s">
        <v>1114</v>
      </c>
      <c r="B163" s="196"/>
      <c r="C163" s="196"/>
      <c r="E163" s="197"/>
      <c r="F163" s="197"/>
      <c r="G163" s="197"/>
    </row>
    <row r="164" spans="1:7">
      <c r="A164" s="29" t="s">
        <v>1115</v>
      </c>
      <c r="B164" s="196"/>
      <c r="C164" s="196"/>
      <c r="E164" s="197"/>
      <c r="F164" s="197"/>
      <c r="G164" s="197"/>
    </row>
    <row r="165" spans="1:7">
      <c r="A165" s="29"/>
      <c r="B165" s="196"/>
      <c r="C165" s="196"/>
      <c r="E165" s="197"/>
      <c r="F165" s="197"/>
      <c r="G165" s="197"/>
    </row>
    <row r="166" spans="1:7">
      <c r="A166" s="29" t="s">
        <v>1116</v>
      </c>
      <c r="B166" s="196"/>
      <c r="C166" s="196"/>
      <c r="E166" s="197"/>
      <c r="F166" s="197"/>
      <c r="G166" s="197"/>
    </row>
    <row r="167" spans="1:7">
      <c r="A167" s="29" t="s">
        <v>1117</v>
      </c>
      <c r="B167" s="196"/>
      <c r="C167" s="196"/>
      <c r="E167" s="197"/>
      <c r="F167" s="197"/>
      <c r="G167" s="197"/>
    </row>
    <row r="168" spans="1:7">
      <c r="A168" s="29" t="s">
        <v>1118</v>
      </c>
      <c r="B168" s="196"/>
      <c r="C168" s="196"/>
      <c r="E168" s="197"/>
      <c r="F168" s="197"/>
      <c r="G168" s="197"/>
    </row>
    <row r="169" spans="1:7">
      <c r="A169" s="29" t="s">
        <v>1119</v>
      </c>
      <c r="B169" s="196"/>
      <c r="C169" s="196"/>
      <c r="E169" s="197"/>
      <c r="F169" s="197"/>
      <c r="G169" s="197"/>
    </row>
    <row r="170" spans="1:7">
      <c r="A170" s="29"/>
      <c r="B170" s="29"/>
      <c r="C170" s="29"/>
      <c r="D170" s="29"/>
      <c r="E170" s="29"/>
      <c r="F170" s="29"/>
      <c r="G170" s="29"/>
    </row>
    <row r="171" spans="1:7">
      <c r="A171" s="211" t="s">
        <v>173</v>
      </c>
      <c r="B171" s="29"/>
      <c r="C171" s="29"/>
      <c r="D171" s="29"/>
      <c r="E171" s="29"/>
      <c r="F171" s="29"/>
      <c r="G171" s="29"/>
    </row>
    <row r="172" spans="1:7">
      <c r="A172" s="29"/>
      <c r="B172" s="29"/>
      <c r="C172" s="29"/>
      <c r="D172" s="29"/>
      <c r="E172" s="29"/>
      <c r="F172" s="29"/>
      <c r="G172" s="29"/>
    </row>
    <row r="173" spans="1:7">
      <c r="A173" s="29" t="s">
        <v>1120</v>
      </c>
      <c r="B173" s="29"/>
      <c r="C173" s="29"/>
      <c r="D173" s="29"/>
      <c r="E173" s="29"/>
      <c r="F173" s="29"/>
      <c r="G173" s="29"/>
    </row>
  </sheetData>
  <mergeCells count="21">
    <mergeCell ref="C86:C88"/>
    <mergeCell ref="A8:D9"/>
    <mergeCell ref="B10:B32"/>
    <mergeCell ref="C10:C12"/>
    <mergeCell ref="C13:C32"/>
    <mergeCell ref="B33:B50"/>
    <mergeCell ref="C33:C35"/>
    <mergeCell ref="C36:C41"/>
    <mergeCell ref="C42:C44"/>
    <mergeCell ref="C45:C47"/>
    <mergeCell ref="C48:C50"/>
    <mergeCell ref="B51:B85"/>
    <mergeCell ref="C51:C61"/>
    <mergeCell ref="C62:C68"/>
    <mergeCell ref="C69:C75"/>
    <mergeCell ref="C76:C85"/>
    <mergeCell ref="B89:B100"/>
    <mergeCell ref="C89:C91"/>
    <mergeCell ref="C92:C94"/>
    <mergeCell ref="C95:C97"/>
    <mergeCell ref="C98:C100"/>
  </mergeCells>
  <phoneticPr fontId="6" type="noConversion"/>
  <pageMargins left="0.7" right="0.7" top="0.75" bottom="0.75" header="0.3" footer="0.3"/>
  <pageSetup paperSize="9" scale="30"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F65FF3-0D14-4D64-BED9-EB023729D4B0}">
  <sheetPr codeName="Sheet9">
    <tabColor rgb="FFFFFF00"/>
    <pageSetUpPr fitToPage="1"/>
  </sheetPr>
  <dimension ref="A1:G174"/>
  <sheetViews>
    <sheetView showGridLines="0" view="pageBreakPreview" zoomScaleNormal="100" zoomScaleSheetLayoutView="100" workbookViewId="0">
      <pane xSplit="3" ySplit="9" topLeftCell="D10" activePane="bottomRight" state="frozen"/>
      <selection activeCell="B4" sqref="B4"/>
      <selection pane="topRight" activeCell="B4" sqref="B4"/>
      <selection pane="bottomLeft" activeCell="B4" sqref="B4"/>
      <selection pane="bottomRight" activeCell="D10" sqref="D10"/>
    </sheetView>
  </sheetViews>
  <sheetFormatPr defaultColWidth="8.8984375" defaultRowHeight="14.4"/>
  <cols>
    <col min="1" max="3" width="8.8984375" style="30"/>
    <col min="4" max="4" width="42.3984375" style="30" customWidth="1"/>
    <col min="5" max="7" width="13.796875" style="30" customWidth="1"/>
    <col min="8" max="16384" width="8.8984375" style="30"/>
  </cols>
  <sheetData>
    <row r="1" spans="1:7">
      <c r="B1" s="196"/>
      <c r="C1" s="196"/>
      <c r="E1" s="197"/>
      <c r="F1" s="197"/>
      <c r="G1" s="197"/>
    </row>
    <row r="2" spans="1:7">
      <c r="B2" s="196"/>
      <c r="C2" s="196"/>
      <c r="E2" s="197"/>
      <c r="F2" s="197"/>
      <c r="G2" s="197"/>
    </row>
    <row r="3" spans="1:7">
      <c r="B3" s="196"/>
      <c r="C3" s="196"/>
      <c r="E3" s="197"/>
      <c r="F3" s="197"/>
      <c r="G3" s="197"/>
    </row>
    <row r="4" spans="1:7">
      <c r="B4" s="196"/>
      <c r="C4" s="196"/>
      <c r="E4" s="197"/>
      <c r="F4" s="197"/>
      <c r="G4" s="197"/>
    </row>
    <row r="5" spans="1:7" ht="20.399999999999999">
      <c r="A5" s="157" t="s">
        <v>915</v>
      </c>
      <c r="B5" s="198"/>
      <c r="C5" s="198"/>
      <c r="D5" s="157"/>
      <c r="E5" s="199"/>
      <c r="F5" s="199"/>
      <c r="G5" s="197"/>
    </row>
    <row r="6" spans="1:7">
      <c r="B6" s="196"/>
      <c r="C6" s="196"/>
      <c r="E6" s="197"/>
      <c r="F6" s="197"/>
      <c r="G6" s="197"/>
    </row>
    <row r="7" spans="1:7">
      <c r="A7" s="159" t="s">
        <v>916</v>
      </c>
      <c r="B7" s="196"/>
      <c r="C7" s="196"/>
      <c r="E7" s="197"/>
      <c r="F7" s="197"/>
      <c r="G7" s="200"/>
    </row>
    <row r="8" spans="1:7">
      <c r="A8" s="738" t="s">
        <v>54</v>
      </c>
      <c r="B8" s="739"/>
      <c r="C8" s="739"/>
      <c r="D8" s="754"/>
      <c r="E8" s="201" t="s">
        <v>55</v>
      </c>
      <c r="F8" s="201" t="s">
        <v>56</v>
      </c>
      <c r="G8" s="201" t="s">
        <v>60</v>
      </c>
    </row>
    <row r="9" spans="1:7">
      <c r="A9" s="756"/>
      <c r="B9" s="757"/>
      <c r="C9" s="757"/>
      <c r="D9" s="758"/>
      <c r="E9" s="202" t="s">
        <v>917</v>
      </c>
      <c r="F9" s="202" t="s">
        <v>918</v>
      </c>
      <c r="G9" s="202" t="s">
        <v>919</v>
      </c>
    </row>
    <row r="10" spans="1:7" ht="15" customHeight="1">
      <c r="A10" s="166" t="s">
        <v>83</v>
      </c>
      <c r="B10" s="752" t="s">
        <v>920</v>
      </c>
      <c r="C10" s="752" t="s">
        <v>921</v>
      </c>
      <c r="D10" s="203" t="s">
        <v>922</v>
      </c>
      <c r="E10" s="204"/>
      <c r="F10" s="204"/>
      <c r="G10" s="204"/>
    </row>
    <row r="11" spans="1:7" ht="15" customHeight="1">
      <c r="A11" s="166" t="s">
        <v>85</v>
      </c>
      <c r="B11" s="766"/>
      <c r="C11" s="766"/>
      <c r="D11" s="203" t="s">
        <v>923</v>
      </c>
      <c r="E11" s="204"/>
      <c r="F11" s="204"/>
      <c r="G11" s="204"/>
    </row>
    <row r="12" spans="1:7" ht="15" customHeight="1">
      <c r="A12" s="166" t="s">
        <v>55</v>
      </c>
      <c r="B12" s="766"/>
      <c r="C12" s="753"/>
      <c r="D12" s="203" t="s">
        <v>924</v>
      </c>
      <c r="E12" s="204" t="e">
        <f>E10/E11*100</f>
        <v>#DIV/0!</v>
      </c>
      <c r="F12" s="204" t="e">
        <f>F10/F11*100</f>
        <v>#DIV/0!</v>
      </c>
      <c r="G12" s="204"/>
    </row>
    <row r="13" spans="1:7" ht="15" customHeight="1">
      <c r="A13" s="166" t="s">
        <v>629</v>
      </c>
      <c r="B13" s="766"/>
      <c r="C13" s="752" t="s">
        <v>925</v>
      </c>
      <c r="D13" s="203" t="s">
        <v>926</v>
      </c>
      <c r="E13" s="204"/>
      <c r="F13" s="204"/>
      <c r="G13" s="204"/>
    </row>
    <row r="14" spans="1:7" ht="15" customHeight="1">
      <c r="A14" s="166" t="s">
        <v>623</v>
      </c>
      <c r="B14" s="766"/>
      <c r="C14" s="766"/>
      <c r="D14" s="203" t="s">
        <v>927</v>
      </c>
      <c r="E14" s="204"/>
      <c r="F14" s="204"/>
      <c r="G14" s="204"/>
    </row>
    <row r="15" spans="1:7" ht="15" customHeight="1">
      <c r="A15" s="166" t="s">
        <v>928</v>
      </c>
      <c r="B15" s="766"/>
      <c r="C15" s="766"/>
      <c r="D15" s="203" t="s">
        <v>929</v>
      </c>
      <c r="E15" s="204"/>
      <c r="F15" s="204"/>
      <c r="G15" s="204"/>
    </row>
    <row r="16" spans="1:7" ht="15" customHeight="1">
      <c r="A16" s="166" t="s">
        <v>228</v>
      </c>
      <c r="B16" s="766"/>
      <c r="C16" s="766"/>
      <c r="D16" s="205" t="s">
        <v>930</v>
      </c>
      <c r="E16" s="202"/>
      <c r="F16" s="202"/>
      <c r="G16" s="202"/>
    </row>
    <row r="17" spans="1:7" ht="15" customHeight="1">
      <c r="A17" s="180" t="s">
        <v>625</v>
      </c>
      <c r="B17" s="766"/>
      <c r="C17" s="766"/>
      <c r="D17" s="203" t="s">
        <v>931</v>
      </c>
      <c r="E17" s="202"/>
      <c r="F17" s="202"/>
      <c r="G17" s="202"/>
    </row>
    <row r="18" spans="1:7" ht="15" customHeight="1">
      <c r="A18" s="180" t="s">
        <v>932</v>
      </c>
      <c r="B18" s="766"/>
      <c r="C18" s="766"/>
      <c r="D18" s="206" t="s">
        <v>933</v>
      </c>
      <c r="E18" s="201"/>
      <c r="F18" s="201"/>
      <c r="G18" s="201"/>
    </row>
    <row r="19" spans="1:7" ht="33.75" customHeight="1">
      <c r="A19" s="180" t="s">
        <v>934</v>
      </c>
      <c r="B19" s="766"/>
      <c r="C19" s="766"/>
      <c r="D19" s="207" t="s">
        <v>935</v>
      </c>
      <c r="E19" s="201"/>
      <c r="F19" s="201"/>
      <c r="G19" s="201"/>
    </row>
    <row r="20" spans="1:7" ht="15" customHeight="1">
      <c r="A20" s="180" t="s">
        <v>936</v>
      </c>
      <c r="B20" s="766"/>
      <c r="C20" s="766"/>
      <c r="D20" s="207" t="s">
        <v>937</v>
      </c>
      <c r="E20" s="201"/>
      <c r="F20" s="201"/>
      <c r="G20" s="201"/>
    </row>
    <row r="21" spans="1:7" ht="15" customHeight="1">
      <c r="A21" s="166" t="s">
        <v>626</v>
      </c>
      <c r="B21" s="766"/>
      <c r="C21" s="766"/>
      <c r="D21" s="203" t="s">
        <v>938</v>
      </c>
      <c r="E21" s="204"/>
      <c r="F21" s="204"/>
      <c r="G21" s="204"/>
    </row>
    <row r="22" spans="1:7" ht="15" customHeight="1">
      <c r="A22" s="166" t="s">
        <v>939</v>
      </c>
      <c r="B22" s="766"/>
      <c r="C22" s="766"/>
      <c r="D22" s="203" t="s">
        <v>940</v>
      </c>
      <c r="E22" s="204"/>
      <c r="F22" s="204"/>
      <c r="G22" s="204"/>
    </row>
    <row r="23" spans="1:7" ht="15" customHeight="1">
      <c r="A23" s="166" t="s">
        <v>250</v>
      </c>
      <c r="B23" s="766"/>
      <c r="C23" s="766"/>
      <c r="D23" s="203" t="s">
        <v>941</v>
      </c>
      <c r="E23" s="202"/>
      <c r="F23" s="202"/>
      <c r="G23" s="202"/>
    </row>
    <row r="24" spans="1:7" ht="15" customHeight="1">
      <c r="A24" s="180" t="s">
        <v>942</v>
      </c>
      <c r="B24" s="766"/>
      <c r="C24" s="766"/>
      <c r="D24" s="203" t="s">
        <v>943</v>
      </c>
      <c r="E24" s="202"/>
      <c r="F24" s="202"/>
      <c r="G24" s="202"/>
    </row>
    <row r="25" spans="1:7" ht="15" customHeight="1">
      <c r="A25" s="180" t="s">
        <v>944</v>
      </c>
      <c r="B25" s="766"/>
      <c r="C25" s="766"/>
      <c r="D25" s="206" t="s">
        <v>945</v>
      </c>
      <c r="E25" s="201"/>
      <c r="F25" s="201"/>
      <c r="G25" s="201"/>
    </row>
    <row r="26" spans="1:7" ht="15" customHeight="1">
      <c r="A26" s="166" t="s">
        <v>94</v>
      </c>
      <c r="B26" s="766"/>
      <c r="C26" s="766"/>
      <c r="D26" s="203" t="s">
        <v>946</v>
      </c>
      <c r="E26" s="204">
        <f>E13+E14+E16+E21+E23</f>
        <v>0</v>
      </c>
      <c r="F26" s="204">
        <f>F13+F14+F16+F21+F23</f>
        <v>0</v>
      </c>
      <c r="G26" s="204">
        <f>G13+G14+G16+G21+G23</f>
        <v>0</v>
      </c>
    </row>
    <row r="27" spans="1:7" ht="15" customHeight="1">
      <c r="A27" s="166" t="s">
        <v>947</v>
      </c>
      <c r="B27" s="766"/>
      <c r="C27" s="766"/>
      <c r="D27" s="203" t="s">
        <v>948</v>
      </c>
      <c r="E27" s="204"/>
      <c r="F27" s="204"/>
      <c r="G27" s="204"/>
    </row>
    <row r="28" spans="1:7" ht="15" customHeight="1">
      <c r="A28" s="166" t="s">
        <v>696</v>
      </c>
      <c r="B28" s="766"/>
      <c r="C28" s="766"/>
      <c r="D28" s="203" t="s">
        <v>949</v>
      </c>
      <c r="E28" s="202">
        <f>E27-E29-E30-E31</f>
        <v>0</v>
      </c>
      <c r="F28" s="202">
        <f>F27-F29-F30-F31</f>
        <v>0</v>
      </c>
      <c r="G28" s="202">
        <f>G27-G29-G30-G31</f>
        <v>0</v>
      </c>
    </row>
    <row r="29" spans="1:7" ht="15" customHeight="1">
      <c r="A29" s="180" t="s">
        <v>630</v>
      </c>
      <c r="B29" s="766"/>
      <c r="C29" s="766"/>
      <c r="D29" s="203" t="s">
        <v>931</v>
      </c>
      <c r="E29" s="202"/>
      <c r="F29" s="202"/>
      <c r="G29" s="202"/>
    </row>
    <row r="30" spans="1:7" ht="15" customHeight="1">
      <c r="A30" s="180" t="s">
        <v>950</v>
      </c>
      <c r="B30" s="766"/>
      <c r="C30" s="766"/>
      <c r="D30" s="203" t="s">
        <v>951</v>
      </c>
      <c r="E30" s="202"/>
      <c r="F30" s="202"/>
      <c r="G30" s="202"/>
    </row>
    <row r="31" spans="1:7" ht="28.95" customHeight="1">
      <c r="A31" s="180" t="s">
        <v>952</v>
      </c>
      <c r="B31" s="766"/>
      <c r="C31" s="766"/>
      <c r="D31" s="206" t="s">
        <v>953</v>
      </c>
      <c r="E31" s="201"/>
      <c r="F31" s="201"/>
      <c r="G31" s="201"/>
    </row>
    <row r="32" spans="1:7" ht="15" customHeight="1">
      <c r="A32" s="166" t="s">
        <v>56</v>
      </c>
      <c r="B32" s="753"/>
      <c r="C32" s="753"/>
      <c r="D32" s="203" t="s">
        <v>954</v>
      </c>
      <c r="E32" s="204" t="e">
        <f>E26/E28*100</f>
        <v>#DIV/0!</v>
      </c>
      <c r="F32" s="204" t="e">
        <f>F26/F28*100</f>
        <v>#DIV/0!</v>
      </c>
      <c r="G32" s="204"/>
    </row>
    <row r="33" spans="1:7" ht="15" customHeight="1">
      <c r="A33" s="166" t="s">
        <v>72</v>
      </c>
      <c r="B33" s="752" t="s">
        <v>955</v>
      </c>
      <c r="C33" s="752" t="s">
        <v>956</v>
      </c>
      <c r="D33" s="203" t="s">
        <v>957</v>
      </c>
      <c r="E33" s="204"/>
      <c r="F33" s="204"/>
      <c r="G33" s="204"/>
    </row>
    <row r="34" spans="1:7" ht="15" customHeight="1">
      <c r="A34" s="166" t="s">
        <v>73</v>
      </c>
      <c r="B34" s="766"/>
      <c r="C34" s="766"/>
      <c r="D34" s="203" t="s">
        <v>958</v>
      </c>
      <c r="E34" s="204"/>
      <c r="F34" s="204"/>
      <c r="G34" s="204"/>
    </row>
    <row r="35" spans="1:7" ht="15" customHeight="1">
      <c r="A35" s="166" t="s">
        <v>60</v>
      </c>
      <c r="B35" s="766"/>
      <c r="C35" s="753"/>
      <c r="D35" s="203" t="s">
        <v>959</v>
      </c>
      <c r="E35" s="204" t="e">
        <f>E33/E34*100</f>
        <v>#DIV/0!</v>
      </c>
      <c r="F35" s="204" t="e">
        <f>F33/F34*100</f>
        <v>#DIV/0!</v>
      </c>
      <c r="G35" s="204"/>
    </row>
    <row r="36" spans="1:7" ht="15" customHeight="1">
      <c r="A36" s="166" t="s">
        <v>960</v>
      </c>
      <c r="B36" s="766"/>
      <c r="C36" s="752" t="s">
        <v>961</v>
      </c>
      <c r="D36" s="203" t="s">
        <v>79</v>
      </c>
      <c r="E36" s="204"/>
      <c r="F36" s="204"/>
      <c r="G36" s="204"/>
    </row>
    <row r="37" spans="1:7" ht="15" customHeight="1">
      <c r="A37" s="166" t="s">
        <v>962</v>
      </c>
      <c r="B37" s="766"/>
      <c r="C37" s="766"/>
      <c r="D37" s="203" t="s">
        <v>963</v>
      </c>
      <c r="E37" s="204"/>
      <c r="F37" s="204"/>
      <c r="G37" s="204"/>
    </row>
    <row r="38" spans="1:7" ht="15" customHeight="1">
      <c r="A38" s="166" t="s">
        <v>964</v>
      </c>
      <c r="B38" s="766"/>
      <c r="C38" s="766"/>
      <c r="D38" s="203" t="s">
        <v>965</v>
      </c>
      <c r="E38" s="204"/>
      <c r="F38" s="204"/>
      <c r="G38" s="204"/>
    </row>
    <row r="39" spans="1:7" ht="15" customHeight="1">
      <c r="A39" s="166" t="s">
        <v>234</v>
      </c>
      <c r="B39" s="766"/>
      <c r="C39" s="766"/>
      <c r="D39" s="203" t="s">
        <v>966</v>
      </c>
      <c r="E39" s="204"/>
      <c r="F39" s="204"/>
      <c r="G39" s="204"/>
    </row>
    <row r="40" spans="1:7" ht="15" customHeight="1">
      <c r="A40" s="166" t="s">
        <v>235</v>
      </c>
      <c r="B40" s="766"/>
      <c r="C40" s="766"/>
      <c r="D40" s="203" t="s">
        <v>967</v>
      </c>
      <c r="E40" s="204"/>
      <c r="F40" s="204"/>
      <c r="G40" s="204"/>
    </row>
    <row r="41" spans="1:7" ht="15" customHeight="1">
      <c r="A41" s="166" t="s">
        <v>61</v>
      </c>
      <c r="B41" s="766"/>
      <c r="C41" s="753"/>
      <c r="D41" s="203" t="s">
        <v>968</v>
      </c>
      <c r="E41" s="204" t="e">
        <f>E39/E40*100</f>
        <v>#DIV/0!</v>
      </c>
      <c r="F41" s="204" t="e">
        <f>F39/F40*100</f>
        <v>#DIV/0!</v>
      </c>
      <c r="G41" s="204"/>
    </row>
    <row r="42" spans="1:7" ht="15" customHeight="1">
      <c r="A42" s="166" t="s">
        <v>112</v>
      </c>
      <c r="B42" s="766"/>
      <c r="C42" s="752" t="s">
        <v>969</v>
      </c>
      <c r="D42" s="203" t="s">
        <v>970</v>
      </c>
      <c r="E42" s="204"/>
      <c r="F42" s="204"/>
      <c r="G42" s="204"/>
    </row>
    <row r="43" spans="1:7" ht="15" customHeight="1">
      <c r="A43" s="166" t="s">
        <v>115</v>
      </c>
      <c r="B43" s="766"/>
      <c r="C43" s="766"/>
      <c r="D43" s="203" t="s">
        <v>971</v>
      </c>
      <c r="E43" s="204"/>
      <c r="F43" s="204"/>
      <c r="G43" s="204"/>
    </row>
    <row r="44" spans="1:7" ht="15" customHeight="1">
      <c r="A44" s="166" t="s">
        <v>62</v>
      </c>
      <c r="B44" s="766"/>
      <c r="C44" s="753"/>
      <c r="D44" s="203" t="s">
        <v>972</v>
      </c>
      <c r="E44" s="204" t="e">
        <f>E42/E43*100</f>
        <v>#DIV/0!</v>
      </c>
      <c r="F44" s="204" t="e">
        <f>F42/F43*100</f>
        <v>#DIV/0!</v>
      </c>
      <c r="G44" s="204"/>
    </row>
    <row r="45" spans="1:7" ht="15" customHeight="1">
      <c r="A45" s="166" t="s">
        <v>973</v>
      </c>
      <c r="B45" s="766"/>
      <c r="C45" s="752" t="s">
        <v>974</v>
      </c>
      <c r="D45" s="203" t="s">
        <v>975</v>
      </c>
      <c r="E45" s="204"/>
      <c r="F45" s="204"/>
      <c r="G45" s="204"/>
    </row>
    <row r="46" spans="1:7" ht="15" customHeight="1">
      <c r="A46" s="166" t="s">
        <v>976</v>
      </c>
      <c r="B46" s="766"/>
      <c r="C46" s="766"/>
      <c r="D46" s="203" t="s">
        <v>977</v>
      </c>
      <c r="E46" s="204">
        <f>E26</f>
        <v>0</v>
      </c>
      <c r="F46" s="204">
        <f>F26</f>
        <v>0</v>
      </c>
      <c r="G46" s="204">
        <f>G26</f>
        <v>0</v>
      </c>
    </row>
    <row r="47" spans="1:7" ht="15" customHeight="1">
      <c r="A47" s="166" t="s">
        <v>63</v>
      </c>
      <c r="B47" s="766"/>
      <c r="C47" s="753"/>
      <c r="D47" s="203" t="s">
        <v>978</v>
      </c>
      <c r="E47" s="204" t="e">
        <f>E45/E46*100</f>
        <v>#DIV/0!</v>
      </c>
      <c r="F47" s="204" t="e">
        <f>F45/F46*100</f>
        <v>#DIV/0!</v>
      </c>
      <c r="G47" s="204"/>
    </row>
    <row r="48" spans="1:7" ht="15" customHeight="1">
      <c r="A48" s="166" t="s">
        <v>979</v>
      </c>
      <c r="B48" s="766"/>
      <c r="C48" s="752" t="s">
        <v>980</v>
      </c>
      <c r="D48" s="208" t="s">
        <v>981</v>
      </c>
      <c r="E48" s="209"/>
      <c r="F48" s="202"/>
      <c r="G48" s="202"/>
    </row>
    <row r="49" spans="1:7" ht="15" customHeight="1">
      <c r="A49" s="166" t="s">
        <v>982</v>
      </c>
      <c r="B49" s="766"/>
      <c r="C49" s="766"/>
      <c r="D49" s="206" t="s">
        <v>983</v>
      </c>
      <c r="E49" s="204"/>
      <c r="F49" s="204"/>
      <c r="G49" s="204"/>
    </row>
    <row r="50" spans="1:7" ht="15" customHeight="1">
      <c r="A50" s="166" t="s">
        <v>166</v>
      </c>
      <c r="B50" s="753"/>
      <c r="C50" s="753"/>
      <c r="D50" s="203" t="s">
        <v>984</v>
      </c>
      <c r="E50" s="204" t="e">
        <f>E48/E49*100</f>
        <v>#DIV/0!</v>
      </c>
      <c r="F50" s="204" t="e">
        <f>F48/F49*100</f>
        <v>#DIV/0!</v>
      </c>
      <c r="G50" s="204"/>
    </row>
    <row r="51" spans="1:7" ht="15" customHeight="1">
      <c r="A51" s="166" t="s">
        <v>985</v>
      </c>
      <c r="B51" s="752" t="s">
        <v>986</v>
      </c>
      <c r="C51" s="752" t="s">
        <v>987</v>
      </c>
      <c r="D51" s="203" t="s">
        <v>988</v>
      </c>
      <c r="E51" s="202"/>
      <c r="F51" s="202"/>
      <c r="G51" s="202"/>
    </row>
    <row r="52" spans="1:7" ht="15" customHeight="1">
      <c r="A52" s="166" t="s">
        <v>989</v>
      </c>
      <c r="B52" s="766"/>
      <c r="C52" s="766"/>
      <c r="D52" s="203" t="s">
        <v>990</v>
      </c>
      <c r="E52" s="202">
        <f>E51-E53-E54+E55</f>
        <v>0</v>
      </c>
      <c r="F52" s="202">
        <f>F51-F53-F54+F55</f>
        <v>0</v>
      </c>
      <c r="G52" s="202">
        <f>G51-G53-G54+G55</f>
        <v>0</v>
      </c>
    </row>
    <row r="53" spans="1:7" ht="15" customHeight="1">
      <c r="A53" s="180" t="s">
        <v>991</v>
      </c>
      <c r="B53" s="766"/>
      <c r="C53" s="766"/>
      <c r="D53" s="203" t="s">
        <v>992</v>
      </c>
      <c r="E53" s="202"/>
      <c r="F53" s="202"/>
      <c r="G53" s="202"/>
    </row>
    <row r="54" spans="1:7" ht="15" customHeight="1">
      <c r="A54" s="180" t="s">
        <v>993</v>
      </c>
      <c r="B54" s="766"/>
      <c r="C54" s="766"/>
      <c r="D54" s="203" t="s">
        <v>994</v>
      </c>
      <c r="E54" s="202"/>
      <c r="F54" s="202"/>
      <c r="G54" s="202"/>
    </row>
    <row r="55" spans="1:7" ht="15" customHeight="1">
      <c r="A55" s="180" t="s">
        <v>995</v>
      </c>
      <c r="B55" s="766"/>
      <c r="C55" s="766"/>
      <c r="D55" s="206" t="s">
        <v>996</v>
      </c>
      <c r="E55" s="201"/>
      <c r="F55" s="201"/>
      <c r="G55" s="201"/>
    </row>
    <row r="56" spans="1:7" ht="15" customHeight="1">
      <c r="A56" s="166" t="s">
        <v>997</v>
      </c>
      <c r="B56" s="766"/>
      <c r="C56" s="766"/>
      <c r="D56" s="203" t="s">
        <v>998</v>
      </c>
      <c r="E56" s="202"/>
      <c r="F56" s="202"/>
      <c r="G56" s="202"/>
    </row>
    <row r="57" spans="1:7" ht="15" customHeight="1">
      <c r="A57" s="166" t="s">
        <v>999</v>
      </c>
      <c r="B57" s="766"/>
      <c r="C57" s="766"/>
      <c r="D57" s="205" t="s">
        <v>1000</v>
      </c>
      <c r="E57" s="202">
        <f>E56-E58-E59-E60</f>
        <v>0</v>
      </c>
      <c r="F57" s="202">
        <f>F56-F58-F59-F60</f>
        <v>0</v>
      </c>
      <c r="G57" s="202">
        <f>G56-G58-G59-G60</f>
        <v>0</v>
      </c>
    </row>
    <row r="58" spans="1:7" ht="15" customHeight="1">
      <c r="A58" s="180" t="s">
        <v>1001</v>
      </c>
      <c r="B58" s="766"/>
      <c r="C58" s="766"/>
      <c r="D58" s="203" t="s">
        <v>1002</v>
      </c>
      <c r="E58" s="202"/>
      <c r="F58" s="202"/>
      <c r="G58" s="202"/>
    </row>
    <row r="59" spans="1:7" ht="15" customHeight="1">
      <c r="A59" s="180" t="s">
        <v>1003</v>
      </c>
      <c r="B59" s="766"/>
      <c r="C59" s="766"/>
      <c r="D59" s="205" t="s">
        <v>1004</v>
      </c>
      <c r="E59" s="202"/>
      <c r="F59" s="202"/>
      <c r="G59" s="202"/>
    </row>
    <row r="60" spans="1:7" ht="15" customHeight="1">
      <c r="A60" s="180" t="s">
        <v>1005</v>
      </c>
      <c r="B60" s="766"/>
      <c r="C60" s="766"/>
      <c r="D60" s="207" t="s">
        <v>1006</v>
      </c>
      <c r="E60" s="201"/>
      <c r="F60" s="201"/>
      <c r="G60" s="201"/>
    </row>
    <row r="61" spans="1:7" ht="15" customHeight="1">
      <c r="A61" s="166" t="s">
        <v>64</v>
      </c>
      <c r="B61" s="766"/>
      <c r="C61" s="753"/>
      <c r="D61" s="203" t="s">
        <v>1007</v>
      </c>
      <c r="E61" s="204" t="e">
        <f>E52/E57*100</f>
        <v>#DIV/0!</v>
      </c>
      <c r="F61" s="204" t="e">
        <f>F52/F57*100</f>
        <v>#DIV/0!</v>
      </c>
      <c r="G61" s="204"/>
    </row>
    <row r="62" spans="1:7" ht="15" customHeight="1">
      <c r="A62" s="166" t="s">
        <v>1008</v>
      </c>
      <c r="B62" s="766"/>
      <c r="C62" s="752" t="s">
        <v>1009</v>
      </c>
      <c r="D62" s="203" t="s">
        <v>988</v>
      </c>
      <c r="E62" s="204"/>
      <c r="F62" s="204"/>
      <c r="G62" s="204"/>
    </row>
    <row r="63" spans="1:7" ht="15" customHeight="1">
      <c r="A63" s="166" t="s">
        <v>1010</v>
      </c>
      <c r="B63" s="766"/>
      <c r="C63" s="766"/>
      <c r="D63" s="203" t="s">
        <v>1011</v>
      </c>
      <c r="E63" s="202">
        <f>E62-E64-E65+E66</f>
        <v>0</v>
      </c>
      <c r="F63" s="202">
        <f>F62-F64-F65+F66</f>
        <v>0</v>
      </c>
      <c r="G63" s="202">
        <f>G62-G64-G65+G66</f>
        <v>0</v>
      </c>
    </row>
    <row r="64" spans="1:7" ht="15" customHeight="1">
      <c r="A64" s="180" t="s">
        <v>1012</v>
      </c>
      <c r="B64" s="766"/>
      <c r="C64" s="766"/>
      <c r="D64" s="203" t="s">
        <v>992</v>
      </c>
      <c r="E64" s="202"/>
      <c r="F64" s="202"/>
      <c r="G64" s="202"/>
    </row>
    <row r="65" spans="1:7" ht="15" customHeight="1">
      <c r="A65" s="180" t="s">
        <v>1013</v>
      </c>
      <c r="B65" s="766"/>
      <c r="C65" s="766"/>
      <c r="D65" s="203" t="s">
        <v>994</v>
      </c>
      <c r="E65" s="202"/>
      <c r="F65" s="202"/>
      <c r="G65" s="202"/>
    </row>
    <row r="66" spans="1:7" ht="15" customHeight="1">
      <c r="A66" s="180" t="s">
        <v>1014</v>
      </c>
      <c r="B66" s="766"/>
      <c r="C66" s="766"/>
      <c r="D66" s="206" t="s">
        <v>996</v>
      </c>
      <c r="E66" s="201"/>
      <c r="F66" s="201"/>
      <c r="G66" s="201"/>
    </row>
    <row r="67" spans="1:7" ht="15" customHeight="1">
      <c r="A67" s="166" t="s">
        <v>1015</v>
      </c>
      <c r="B67" s="766"/>
      <c r="C67" s="766"/>
      <c r="D67" s="203" t="s">
        <v>1016</v>
      </c>
      <c r="E67" s="204">
        <f>E26</f>
        <v>0</v>
      </c>
      <c r="F67" s="204">
        <f>F26</f>
        <v>0</v>
      </c>
      <c r="G67" s="204">
        <f>G26</f>
        <v>0</v>
      </c>
    </row>
    <row r="68" spans="1:7" ht="15" customHeight="1">
      <c r="A68" s="166" t="s">
        <v>1017</v>
      </c>
      <c r="B68" s="766"/>
      <c r="C68" s="753"/>
      <c r="D68" s="203" t="s">
        <v>1018</v>
      </c>
      <c r="E68" s="204" t="e">
        <f>E63/E67*100</f>
        <v>#DIV/0!</v>
      </c>
      <c r="F68" s="204" t="e">
        <f>F63/F67*100</f>
        <v>#DIV/0!</v>
      </c>
      <c r="G68" s="204"/>
    </row>
    <row r="69" spans="1:7" ht="15" customHeight="1">
      <c r="A69" s="166" t="s">
        <v>140</v>
      </c>
      <c r="B69" s="766"/>
      <c r="C69" s="752" t="s">
        <v>1019</v>
      </c>
      <c r="D69" s="203" t="s">
        <v>1020</v>
      </c>
      <c r="E69" s="204"/>
      <c r="F69" s="204"/>
      <c r="G69" s="204"/>
    </row>
    <row r="70" spans="1:7" ht="15" customHeight="1">
      <c r="A70" s="166" t="s">
        <v>1021</v>
      </c>
      <c r="B70" s="766"/>
      <c r="C70" s="766"/>
      <c r="D70" s="203" t="s">
        <v>998</v>
      </c>
      <c r="E70" s="202"/>
      <c r="F70" s="202"/>
      <c r="G70" s="202"/>
    </row>
    <row r="71" spans="1:7" ht="15" customHeight="1">
      <c r="A71" s="166" t="s">
        <v>905</v>
      </c>
      <c r="B71" s="766"/>
      <c r="C71" s="766"/>
      <c r="D71" s="205" t="s">
        <v>1022</v>
      </c>
      <c r="E71" s="202">
        <f>E70-E72-E73-E74</f>
        <v>0</v>
      </c>
      <c r="F71" s="202">
        <f>F70-F72-F73-F74</f>
        <v>0</v>
      </c>
      <c r="G71" s="202">
        <f>G70-G72-G73-G74</f>
        <v>0</v>
      </c>
    </row>
    <row r="72" spans="1:7" ht="15" customHeight="1">
      <c r="A72" s="180" t="s">
        <v>1023</v>
      </c>
      <c r="B72" s="766"/>
      <c r="C72" s="766"/>
      <c r="D72" s="203" t="s">
        <v>931</v>
      </c>
      <c r="E72" s="202"/>
      <c r="F72" s="202"/>
      <c r="G72" s="202"/>
    </row>
    <row r="73" spans="1:7" ht="15" customHeight="1">
      <c r="A73" s="180" t="s">
        <v>1024</v>
      </c>
      <c r="B73" s="766"/>
      <c r="C73" s="766"/>
      <c r="D73" s="205" t="s">
        <v>1004</v>
      </c>
      <c r="E73" s="202"/>
      <c r="F73" s="202"/>
      <c r="G73" s="202"/>
    </row>
    <row r="74" spans="1:7" ht="15" customHeight="1">
      <c r="A74" s="180" t="s">
        <v>1025</v>
      </c>
      <c r="B74" s="766"/>
      <c r="C74" s="766"/>
      <c r="D74" s="207" t="s">
        <v>953</v>
      </c>
      <c r="E74" s="201"/>
      <c r="F74" s="201"/>
      <c r="G74" s="201"/>
    </row>
    <row r="75" spans="1:7" ht="15" customHeight="1">
      <c r="A75" s="166" t="s">
        <v>148</v>
      </c>
      <c r="B75" s="766"/>
      <c r="C75" s="753"/>
      <c r="D75" s="203" t="s">
        <v>1026</v>
      </c>
      <c r="E75" s="204" t="e">
        <f>E69/E71*100</f>
        <v>#DIV/0!</v>
      </c>
      <c r="F75" s="204" t="e">
        <f>F69/F71*100</f>
        <v>#DIV/0!</v>
      </c>
      <c r="G75" s="204"/>
    </row>
    <row r="76" spans="1:7" ht="15" customHeight="1">
      <c r="A76" s="166" t="s">
        <v>1027</v>
      </c>
      <c r="B76" s="766"/>
      <c r="C76" s="752" t="s">
        <v>1028</v>
      </c>
      <c r="D76" s="203" t="s">
        <v>1029</v>
      </c>
      <c r="E76" s="202"/>
      <c r="F76" s="202"/>
      <c r="G76" s="202"/>
    </row>
    <row r="77" spans="1:7" ht="15" customHeight="1">
      <c r="A77" s="166" t="s">
        <v>1030</v>
      </c>
      <c r="B77" s="766"/>
      <c r="C77" s="766"/>
      <c r="D77" s="203" t="s">
        <v>1031</v>
      </c>
      <c r="E77" s="202">
        <f>E76+E78-E79-E80</f>
        <v>0</v>
      </c>
      <c r="F77" s="202">
        <f>F76+F78-F79-F80</f>
        <v>0</v>
      </c>
      <c r="G77" s="202">
        <f>G76+G78-G79-G80</f>
        <v>0</v>
      </c>
    </row>
    <row r="78" spans="1:7" ht="15" customHeight="1">
      <c r="A78" s="180" t="s">
        <v>1032</v>
      </c>
      <c r="B78" s="766"/>
      <c r="C78" s="766"/>
      <c r="D78" s="203" t="s">
        <v>1033</v>
      </c>
      <c r="E78" s="201"/>
      <c r="F78" s="201"/>
      <c r="G78" s="201"/>
    </row>
    <row r="79" spans="1:7" ht="15" customHeight="1">
      <c r="A79" s="180" t="s">
        <v>1034</v>
      </c>
      <c r="B79" s="766"/>
      <c r="C79" s="766"/>
      <c r="D79" s="206" t="s">
        <v>1035</v>
      </c>
      <c r="E79" s="201"/>
      <c r="F79" s="201"/>
      <c r="G79" s="201"/>
    </row>
    <row r="80" spans="1:7" ht="15" customHeight="1">
      <c r="A80" s="180" t="s">
        <v>1036</v>
      </c>
      <c r="B80" s="766"/>
      <c r="C80" s="766"/>
      <c r="D80" s="206" t="s">
        <v>1037</v>
      </c>
      <c r="E80" s="201"/>
      <c r="F80" s="201"/>
      <c r="G80" s="201"/>
    </row>
    <row r="81" spans="1:7" ht="15" customHeight="1">
      <c r="A81" s="166" t="s">
        <v>1038</v>
      </c>
      <c r="B81" s="766"/>
      <c r="C81" s="766"/>
      <c r="D81" s="203" t="s">
        <v>1039</v>
      </c>
      <c r="E81" s="202"/>
      <c r="F81" s="202"/>
      <c r="G81" s="202"/>
    </row>
    <row r="82" spans="1:7" ht="15" customHeight="1">
      <c r="A82" s="166" t="s">
        <v>1040</v>
      </c>
      <c r="B82" s="766"/>
      <c r="C82" s="766"/>
      <c r="D82" s="203" t="s">
        <v>1041</v>
      </c>
      <c r="E82" s="202">
        <f>E81+E83-E84</f>
        <v>0</v>
      </c>
      <c r="F82" s="202">
        <f>F81+F83-F84</f>
        <v>0</v>
      </c>
      <c r="G82" s="202">
        <f>G81+G83-G84</f>
        <v>0</v>
      </c>
    </row>
    <row r="83" spans="1:7" ht="15" customHeight="1">
      <c r="A83" s="180" t="s">
        <v>1042</v>
      </c>
      <c r="B83" s="766"/>
      <c r="C83" s="766"/>
      <c r="D83" s="203" t="s">
        <v>1043</v>
      </c>
      <c r="E83" s="201"/>
      <c r="F83" s="201"/>
      <c r="G83" s="201"/>
    </row>
    <row r="84" spans="1:7" ht="15" customHeight="1">
      <c r="A84" s="180" t="s">
        <v>1044</v>
      </c>
      <c r="B84" s="766"/>
      <c r="C84" s="766"/>
      <c r="D84" s="206" t="s">
        <v>1045</v>
      </c>
      <c r="E84" s="201"/>
      <c r="F84" s="201"/>
      <c r="G84" s="201"/>
    </row>
    <row r="85" spans="1:7" ht="15" customHeight="1">
      <c r="A85" s="166" t="s">
        <v>153</v>
      </c>
      <c r="B85" s="766"/>
      <c r="C85" s="753"/>
      <c r="D85" s="203" t="s">
        <v>1046</v>
      </c>
      <c r="E85" s="204" t="e">
        <f>E77/E82*100</f>
        <v>#DIV/0!</v>
      </c>
      <c r="F85" s="204" t="e">
        <f>F77/F82*100</f>
        <v>#DIV/0!</v>
      </c>
      <c r="G85" s="204"/>
    </row>
    <row r="86" spans="1:7" ht="15" customHeight="1">
      <c r="A86" s="166" t="s">
        <v>1047</v>
      </c>
      <c r="B86" s="210"/>
      <c r="C86" s="752" t="s">
        <v>1048</v>
      </c>
      <c r="D86" s="203" t="s">
        <v>1708</v>
      </c>
      <c r="E86" s="204"/>
      <c r="F86" s="204"/>
      <c r="G86" s="204"/>
    </row>
    <row r="87" spans="1:7" ht="15" customHeight="1">
      <c r="A87" s="166" t="s">
        <v>1049</v>
      </c>
      <c r="B87" s="210"/>
      <c r="C87" s="766"/>
      <c r="D87" s="203" t="s">
        <v>1710</v>
      </c>
      <c r="E87" s="202"/>
      <c r="F87" s="202"/>
      <c r="G87" s="202"/>
    </row>
    <row r="88" spans="1:7" ht="15" customHeight="1">
      <c r="A88" s="166" t="s">
        <v>1050</v>
      </c>
      <c r="B88" s="210"/>
      <c r="C88" s="753"/>
      <c r="D88" s="203" t="s">
        <v>1712</v>
      </c>
      <c r="E88" s="204" t="e">
        <f>E86/E87*100</f>
        <v>#DIV/0!</v>
      </c>
      <c r="F88" s="204" t="e">
        <f>F86/F87*100</f>
        <v>#DIV/0!</v>
      </c>
      <c r="G88" s="204"/>
    </row>
    <row r="89" spans="1:7" ht="15" customHeight="1">
      <c r="A89" s="166" t="s">
        <v>154</v>
      </c>
      <c r="B89" s="752" t="s">
        <v>1051</v>
      </c>
      <c r="C89" s="752" t="s">
        <v>1052</v>
      </c>
      <c r="D89" s="203" t="s">
        <v>1053</v>
      </c>
      <c r="E89" s="204"/>
      <c r="F89" s="204"/>
      <c r="G89" s="204"/>
    </row>
    <row r="90" spans="1:7" ht="15" customHeight="1">
      <c r="A90" s="166" t="s">
        <v>157</v>
      </c>
      <c r="B90" s="766"/>
      <c r="C90" s="766"/>
      <c r="D90" s="203" t="s">
        <v>1054</v>
      </c>
      <c r="E90" s="204"/>
      <c r="F90" s="204"/>
      <c r="G90" s="204"/>
    </row>
    <row r="91" spans="1:7" ht="15" customHeight="1">
      <c r="A91" s="166" t="s">
        <v>163</v>
      </c>
      <c r="B91" s="766"/>
      <c r="C91" s="753"/>
      <c r="D91" s="203" t="s">
        <v>1055</v>
      </c>
      <c r="E91" s="204" t="e">
        <f>E89/E90*100</f>
        <v>#DIV/0!</v>
      </c>
      <c r="F91" s="204" t="e">
        <f>F89/F90*100</f>
        <v>#DIV/0!</v>
      </c>
      <c r="G91" s="204"/>
    </row>
    <row r="92" spans="1:7" ht="15" customHeight="1">
      <c r="A92" s="166" t="s">
        <v>1047</v>
      </c>
      <c r="B92" s="766"/>
      <c r="C92" s="752" t="s">
        <v>1056</v>
      </c>
      <c r="D92" s="203" t="s">
        <v>1057</v>
      </c>
      <c r="E92" s="204"/>
      <c r="F92" s="204"/>
      <c r="G92" s="204"/>
    </row>
    <row r="93" spans="1:7" ht="15" customHeight="1">
      <c r="A93" s="166" t="s">
        <v>1049</v>
      </c>
      <c r="B93" s="766"/>
      <c r="C93" s="766"/>
      <c r="D93" s="203" t="s">
        <v>1058</v>
      </c>
      <c r="E93" s="204"/>
      <c r="F93" s="204"/>
      <c r="G93" s="204"/>
    </row>
    <row r="94" spans="1:7" ht="15" customHeight="1">
      <c r="A94" s="166" t="s">
        <v>1050</v>
      </c>
      <c r="B94" s="766"/>
      <c r="C94" s="753"/>
      <c r="D94" s="203" t="s">
        <v>1059</v>
      </c>
      <c r="E94" s="202" t="e">
        <f>E92/E93*100</f>
        <v>#DIV/0!</v>
      </c>
      <c r="F94" s="202" t="e">
        <f>F92/F93*100</f>
        <v>#DIV/0!</v>
      </c>
      <c r="G94" s="202"/>
    </row>
    <row r="95" spans="1:7" ht="15" customHeight="1">
      <c r="A95" s="166" t="s">
        <v>1060</v>
      </c>
      <c r="B95" s="766"/>
      <c r="C95" s="752" t="s">
        <v>1061</v>
      </c>
      <c r="D95" s="203" t="s">
        <v>1062</v>
      </c>
      <c r="E95" s="202"/>
      <c r="F95" s="202"/>
      <c r="G95" s="202"/>
    </row>
    <row r="96" spans="1:7" ht="15" customHeight="1">
      <c r="A96" s="166" t="s">
        <v>1063</v>
      </c>
      <c r="B96" s="766"/>
      <c r="C96" s="766"/>
      <c r="D96" s="203" t="s">
        <v>1064</v>
      </c>
      <c r="E96" s="202"/>
      <c r="F96" s="202"/>
      <c r="G96" s="202"/>
    </row>
    <row r="97" spans="1:7" ht="15" customHeight="1">
      <c r="A97" s="166" t="s">
        <v>248</v>
      </c>
      <c r="B97" s="766"/>
      <c r="C97" s="753"/>
      <c r="D97" s="203" t="s">
        <v>1065</v>
      </c>
      <c r="E97" s="202" t="e">
        <f>E95/E96*100</f>
        <v>#DIV/0!</v>
      </c>
      <c r="F97" s="202" t="e">
        <f>F95/F96*100</f>
        <v>#DIV/0!</v>
      </c>
      <c r="G97" s="202"/>
    </row>
    <row r="98" spans="1:7">
      <c r="A98" s="166" t="s">
        <v>129</v>
      </c>
      <c r="B98" s="766"/>
      <c r="C98" s="752" t="s">
        <v>1066</v>
      </c>
      <c r="D98" s="203" t="s">
        <v>1067</v>
      </c>
      <c r="E98" s="204"/>
      <c r="F98" s="204"/>
      <c r="G98" s="204"/>
    </row>
    <row r="99" spans="1:7">
      <c r="A99" s="166" t="s">
        <v>131</v>
      </c>
      <c r="B99" s="766"/>
      <c r="C99" s="766"/>
      <c r="D99" s="203" t="s">
        <v>1068</v>
      </c>
      <c r="E99" s="204"/>
      <c r="F99" s="204"/>
      <c r="G99" s="204"/>
    </row>
    <row r="100" spans="1:7">
      <c r="A100" s="166" t="s">
        <v>136</v>
      </c>
      <c r="B100" s="753"/>
      <c r="C100" s="753"/>
      <c r="D100" s="203" t="s">
        <v>1069</v>
      </c>
      <c r="E100" s="204"/>
      <c r="F100" s="204"/>
      <c r="G100" s="204"/>
    </row>
    <row r="101" spans="1:7">
      <c r="A101" s="211" t="s">
        <v>547</v>
      </c>
      <c r="B101" s="29"/>
      <c r="C101" s="29"/>
      <c r="D101" s="29"/>
      <c r="E101" s="212"/>
      <c r="F101" s="212"/>
      <c r="G101" s="212"/>
    </row>
    <row r="102" spans="1:7">
      <c r="A102" s="29"/>
      <c r="B102" s="213"/>
      <c r="C102" s="213"/>
      <c r="D102" s="29"/>
      <c r="E102" s="212"/>
      <c r="F102" s="212"/>
      <c r="G102" s="212"/>
    </row>
    <row r="103" spans="1:7">
      <c r="A103" s="211" t="s">
        <v>59</v>
      </c>
      <c r="B103" s="213"/>
      <c r="C103" s="213"/>
      <c r="D103" s="29"/>
      <c r="E103" s="212"/>
      <c r="F103" s="212"/>
      <c r="G103" s="212"/>
    </row>
    <row r="104" spans="1:7">
      <c r="A104" s="29" t="s">
        <v>1070</v>
      </c>
      <c r="B104" s="213"/>
      <c r="C104" s="213"/>
      <c r="D104" s="29"/>
      <c r="E104" s="212"/>
      <c r="F104" s="212"/>
      <c r="G104" s="212"/>
    </row>
    <row r="105" spans="1:7">
      <c r="A105" s="29"/>
      <c r="B105" s="213"/>
      <c r="C105" s="213"/>
      <c r="D105" s="29"/>
      <c r="E105" s="212"/>
      <c r="F105" s="212"/>
      <c r="G105" s="212"/>
    </row>
    <row r="106" spans="1:7">
      <c r="A106" s="29" t="s">
        <v>1071</v>
      </c>
      <c r="B106" s="213"/>
      <c r="C106" s="213"/>
      <c r="D106" s="29"/>
      <c r="E106" s="212"/>
      <c r="F106" s="212"/>
      <c r="G106" s="212"/>
    </row>
    <row r="107" spans="1:7">
      <c r="A107" s="29"/>
      <c r="B107" s="213"/>
      <c r="C107" s="213"/>
      <c r="D107" s="29"/>
      <c r="E107" s="212"/>
      <c r="F107" s="212"/>
      <c r="G107" s="212"/>
    </row>
    <row r="108" spans="1:7">
      <c r="A108" s="214" t="s">
        <v>1072</v>
      </c>
      <c r="B108" s="213"/>
      <c r="C108" s="213"/>
      <c r="D108" s="29"/>
      <c r="E108" s="212"/>
      <c r="F108" s="212"/>
      <c r="G108" s="212"/>
    </row>
    <row r="109" spans="1:7">
      <c r="A109" s="214" t="s">
        <v>1073</v>
      </c>
      <c r="B109" s="213"/>
      <c r="C109" s="213"/>
      <c r="D109" s="29"/>
      <c r="E109" s="212"/>
      <c r="F109" s="212"/>
      <c r="G109" s="212"/>
    </row>
    <row r="110" spans="1:7">
      <c r="A110" s="214" t="s">
        <v>1074</v>
      </c>
      <c r="B110" s="213"/>
      <c r="C110" s="213"/>
      <c r="D110" s="29"/>
      <c r="E110" s="212"/>
      <c r="F110" s="212"/>
      <c r="G110" s="212"/>
    </row>
    <row r="111" spans="1:7">
      <c r="A111" s="29"/>
      <c r="B111" s="213"/>
      <c r="C111" s="213"/>
      <c r="D111" s="29"/>
      <c r="E111" s="212"/>
      <c r="F111" s="212"/>
      <c r="G111" s="212"/>
    </row>
    <row r="112" spans="1:7">
      <c r="A112" s="214" t="s">
        <v>1075</v>
      </c>
      <c r="B112" s="213"/>
      <c r="C112" s="213"/>
      <c r="D112" s="29"/>
      <c r="E112" s="212"/>
      <c r="F112" s="212"/>
      <c r="G112" s="212"/>
    </row>
    <row r="113" spans="1:7">
      <c r="A113" s="215" t="s">
        <v>1076</v>
      </c>
      <c r="B113" s="213"/>
      <c r="C113" s="213"/>
      <c r="D113" s="29"/>
      <c r="E113" s="212"/>
      <c r="F113" s="212"/>
      <c r="G113" s="212"/>
    </row>
    <row r="114" spans="1:7">
      <c r="A114" s="215"/>
      <c r="B114" s="213"/>
      <c r="C114" s="213"/>
      <c r="D114" s="29"/>
      <c r="E114" s="212"/>
      <c r="F114" s="212"/>
      <c r="G114" s="212"/>
    </row>
    <row r="115" spans="1:7">
      <c r="A115" s="214" t="s">
        <v>1077</v>
      </c>
      <c r="B115" s="213"/>
      <c r="C115" s="213"/>
      <c r="D115" s="29"/>
      <c r="E115" s="212"/>
      <c r="F115" s="212"/>
      <c r="G115" s="212"/>
    </row>
    <row r="116" spans="1:7">
      <c r="A116" s="29" t="s">
        <v>1078</v>
      </c>
      <c r="B116" s="213"/>
      <c r="C116" s="213"/>
      <c r="D116" s="29"/>
      <c r="E116" s="212"/>
      <c r="F116" s="212"/>
      <c r="G116" s="212"/>
    </row>
    <row r="117" spans="1:7">
      <c r="A117" s="29"/>
      <c r="B117" s="213"/>
      <c r="C117" s="213"/>
      <c r="D117" s="29"/>
      <c r="E117" s="212"/>
      <c r="F117" s="212"/>
      <c r="G117" s="212"/>
    </row>
    <row r="118" spans="1:7">
      <c r="A118" s="29" t="s">
        <v>1079</v>
      </c>
      <c r="B118" s="213"/>
      <c r="C118" s="213"/>
      <c r="D118" s="29"/>
      <c r="E118" s="212"/>
      <c r="F118" s="212"/>
      <c r="G118" s="212"/>
    </row>
    <row r="119" spans="1:7">
      <c r="A119" s="29" t="s">
        <v>1080</v>
      </c>
      <c r="B119" s="213"/>
      <c r="C119" s="213"/>
      <c r="D119" s="29"/>
      <c r="E119" s="212"/>
      <c r="F119" s="212"/>
      <c r="G119" s="212"/>
    </row>
    <row r="120" spans="1:7">
      <c r="A120" s="29" t="s">
        <v>1081</v>
      </c>
      <c r="B120" s="213"/>
      <c r="C120" s="213"/>
      <c r="D120" s="29"/>
      <c r="E120" s="212"/>
      <c r="F120" s="212"/>
      <c r="G120" s="212"/>
    </row>
    <row r="121" spans="1:7">
      <c r="A121" s="29" t="s">
        <v>1082</v>
      </c>
      <c r="B121" s="213"/>
      <c r="C121" s="213"/>
      <c r="D121" s="29"/>
      <c r="E121" s="212"/>
      <c r="F121" s="212"/>
      <c r="G121" s="212"/>
    </row>
    <row r="122" spans="1:7">
      <c r="A122" s="29"/>
      <c r="B122" s="213"/>
      <c r="C122" s="213"/>
      <c r="D122" s="29"/>
      <c r="E122" s="212"/>
      <c r="F122" s="212"/>
      <c r="G122" s="212"/>
    </row>
    <row r="123" spans="1:7">
      <c r="A123" s="29" t="s">
        <v>1083</v>
      </c>
      <c r="B123" s="213"/>
      <c r="C123" s="213"/>
      <c r="D123" s="29"/>
      <c r="E123" s="212"/>
      <c r="F123" s="212"/>
      <c r="G123" s="212"/>
    </row>
    <row r="124" spans="1:7">
      <c r="A124" s="216" t="s">
        <v>1084</v>
      </c>
      <c r="B124" s="213"/>
      <c r="C124" s="213"/>
      <c r="D124" s="29"/>
      <c r="E124" s="212"/>
      <c r="F124" s="212"/>
      <c r="G124" s="212"/>
    </row>
    <row r="125" spans="1:7">
      <c r="A125" s="221" t="s">
        <v>1519</v>
      </c>
      <c r="B125" s="222"/>
      <c r="C125" s="223"/>
      <c r="D125" s="221"/>
      <c r="E125" s="212"/>
      <c r="F125" s="212"/>
      <c r="G125" s="212"/>
    </row>
    <row r="126" spans="1:7">
      <c r="A126" s="29"/>
      <c r="B126" s="215"/>
      <c r="C126" s="213"/>
      <c r="D126" s="29"/>
      <c r="E126" s="212"/>
      <c r="F126" s="212"/>
      <c r="G126" s="212"/>
    </row>
    <row r="127" spans="1:7">
      <c r="A127" s="29" t="s">
        <v>1086</v>
      </c>
      <c r="B127" s="215"/>
      <c r="C127" s="213"/>
      <c r="D127" s="29"/>
      <c r="E127" s="212"/>
      <c r="F127" s="212"/>
      <c r="G127" s="212"/>
    </row>
    <row r="128" spans="1:7">
      <c r="A128" s="29" t="s">
        <v>1087</v>
      </c>
      <c r="B128" s="29"/>
      <c r="C128" s="29"/>
      <c r="D128" s="29"/>
      <c r="E128" s="212"/>
      <c r="F128" s="212"/>
      <c r="G128" s="212"/>
    </row>
    <row r="129" spans="1:7">
      <c r="A129" s="29" t="s">
        <v>1088</v>
      </c>
      <c r="B129" s="213"/>
      <c r="C129" s="213"/>
      <c r="D129" s="29"/>
      <c r="E129" s="212"/>
      <c r="F129" s="212"/>
      <c r="G129" s="212"/>
    </row>
    <row r="130" spans="1:7">
      <c r="A130" s="221" t="s">
        <v>1520</v>
      </c>
      <c r="B130" s="223"/>
      <c r="C130" s="223"/>
      <c r="D130" s="221"/>
      <c r="E130" s="212"/>
      <c r="F130" s="212"/>
      <c r="G130" s="212"/>
    </row>
    <row r="131" spans="1:7">
      <c r="A131" s="29"/>
      <c r="B131" s="213"/>
      <c r="C131" s="213"/>
      <c r="D131" s="29"/>
      <c r="E131" s="212"/>
      <c r="F131" s="212"/>
      <c r="G131" s="212"/>
    </row>
    <row r="132" spans="1:7">
      <c r="A132" s="29" t="s">
        <v>1090</v>
      </c>
      <c r="B132" s="213"/>
      <c r="C132" s="213"/>
      <c r="D132" s="29"/>
      <c r="E132" s="212"/>
      <c r="F132" s="212"/>
      <c r="G132" s="212"/>
    </row>
    <row r="133" spans="1:7">
      <c r="A133" s="29" t="s">
        <v>1091</v>
      </c>
      <c r="B133" s="213"/>
      <c r="C133" s="213"/>
      <c r="D133" s="29"/>
      <c r="E133" s="212"/>
      <c r="F133" s="212"/>
      <c r="G133" s="212"/>
    </row>
    <row r="134" spans="1:7">
      <c r="A134" s="160" t="s">
        <v>1092</v>
      </c>
      <c r="B134" s="213"/>
      <c r="C134" s="213"/>
      <c r="D134" s="29"/>
      <c r="E134" s="212"/>
      <c r="F134" s="212"/>
      <c r="G134" s="212"/>
    </row>
    <row r="135" spans="1:7">
      <c r="B135" s="196"/>
      <c r="C135" s="196"/>
      <c r="E135" s="197"/>
      <c r="F135" s="197"/>
      <c r="G135" s="197"/>
    </row>
    <row r="136" spans="1:7">
      <c r="B136" s="196"/>
      <c r="C136" s="196"/>
      <c r="E136" s="197"/>
      <c r="F136" s="197"/>
      <c r="G136" s="197"/>
    </row>
    <row r="137" spans="1:7">
      <c r="A137" s="29" t="s">
        <v>1093</v>
      </c>
      <c r="B137" s="196"/>
      <c r="C137" s="196"/>
      <c r="E137" s="197"/>
      <c r="F137" s="197"/>
      <c r="G137" s="197"/>
    </row>
    <row r="138" spans="1:7">
      <c r="A138" s="29" t="s">
        <v>1094</v>
      </c>
      <c r="B138" s="196"/>
      <c r="C138" s="196"/>
      <c r="E138" s="197"/>
      <c r="F138" s="197"/>
      <c r="G138" s="197"/>
    </row>
    <row r="139" spans="1:7">
      <c r="A139" s="29"/>
      <c r="B139" s="196"/>
      <c r="C139" s="196"/>
      <c r="E139" s="197"/>
      <c r="F139" s="197"/>
      <c r="G139" s="197"/>
    </row>
    <row r="140" spans="1:7">
      <c r="A140" s="29" t="s">
        <v>1095</v>
      </c>
      <c r="B140" s="196"/>
      <c r="C140" s="196"/>
      <c r="E140" s="197"/>
      <c r="F140" s="197"/>
      <c r="G140" s="197"/>
    </row>
    <row r="141" spans="1:7">
      <c r="A141" s="29" t="s">
        <v>1096</v>
      </c>
      <c r="B141" s="196"/>
      <c r="C141" s="196"/>
      <c r="E141" s="197"/>
      <c r="F141" s="197"/>
      <c r="G141" s="197"/>
    </row>
    <row r="142" spans="1:7">
      <c r="A142" s="29" t="s">
        <v>1097</v>
      </c>
      <c r="B142" s="196"/>
      <c r="C142" s="196"/>
      <c r="E142" s="197"/>
      <c r="F142" s="197"/>
      <c r="G142" s="197"/>
    </row>
    <row r="143" spans="1:7">
      <c r="A143" s="29"/>
      <c r="B143" s="196"/>
      <c r="C143" s="196"/>
      <c r="E143" s="197"/>
      <c r="F143" s="197"/>
      <c r="G143" s="197"/>
    </row>
    <row r="144" spans="1:7">
      <c r="A144" s="29" t="s">
        <v>1098</v>
      </c>
      <c r="B144" s="196"/>
      <c r="C144" s="196"/>
      <c r="E144" s="197"/>
      <c r="F144" s="197"/>
      <c r="G144" s="197"/>
    </row>
    <row r="145" spans="1:7">
      <c r="A145" s="29" t="s">
        <v>1099</v>
      </c>
      <c r="B145" s="196"/>
      <c r="C145" s="196"/>
      <c r="E145" s="197"/>
      <c r="F145" s="197"/>
      <c r="G145" s="197"/>
    </row>
    <row r="146" spans="1:7">
      <c r="A146" s="29" t="s">
        <v>1100</v>
      </c>
      <c r="B146" s="196"/>
      <c r="C146" s="196"/>
      <c r="E146" s="197"/>
      <c r="F146" s="197"/>
      <c r="G146" s="197"/>
    </row>
    <row r="147" spans="1:7">
      <c r="B147" s="196"/>
      <c r="C147" s="196"/>
      <c r="E147" s="197"/>
      <c r="F147" s="197"/>
      <c r="G147" s="197"/>
    </row>
    <row r="148" spans="1:7">
      <c r="A148" s="29" t="s">
        <v>1101</v>
      </c>
      <c r="B148" s="196"/>
      <c r="C148" s="196"/>
      <c r="E148" s="197"/>
      <c r="F148" s="197"/>
      <c r="G148" s="197"/>
    </row>
    <row r="149" spans="1:7">
      <c r="A149" s="29" t="s">
        <v>1102</v>
      </c>
      <c r="B149" s="196"/>
      <c r="C149" s="196"/>
      <c r="E149" s="220"/>
      <c r="F149" s="220"/>
      <c r="G149" s="220"/>
    </row>
    <row r="150" spans="1:7">
      <c r="A150" s="29" t="s">
        <v>1103</v>
      </c>
      <c r="B150" s="196"/>
      <c r="C150" s="196"/>
      <c r="E150" s="220"/>
      <c r="F150" s="220"/>
      <c r="G150" s="220"/>
    </row>
    <row r="151" spans="1:7">
      <c r="A151" s="29" t="s">
        <v>1104</v>
      </c>
      <c r="B151" s="196"/>
      <c r="C151" s="196"/>
      <c r="E151" s="220"/>
      <c r="F151" s="220"/>
      <c r="G151" s="220"/>
    </row>
    <row r="152" spans="1:7">
      <c r="A152" s="29" t="s">
        <v>1105</v>
      </c>
      <c r="B152" s="196"/>
      <c r="C152" s="196"/>
      <c r="E152" s="220"/>
      <c r="F152" s="220"/>
      <c r="G152" s="220"/>
    </row>
    <row r="153" spans="1:7">
      <c r="A153" s="29"/>
      <c r="B153" s="196"/>
      <c r="C153" s="196"/>
      <c r="E153" s="197"/>
      <c r="F153" s="197"/>
      <c r="G153" s="197"/>
    </row>
    <row r="154" spans="1:7">
      <c r="A154" s="29" t="s">
        <v>1106</v>
      </c>
      <c r="B154" s="196"/>
      <c r="C154" s="196"/>
      <c r="E154" s="197"/>
      <c r="F154" s="197"/>
      <c r="G154" s="197"/>
    </row>
    <row r="155" spans="1:7">
      <c r="A155" s="29" t="s">
        <v>1107</v>
      </c>
      <c r="B155" s="196"/>
      <c r="C155" s="196"/>
      <c r="E155" s="197"/>
      <c r="F155" s="197"/>
      <c r="G155" s="197"/>
    </row>
    <row r="156" spans="1:7">
      <c r="A156" s="29" t="s">
        <v>1108</v>
      </c>
      <c r="B156" s="196"/>
      <c r="C156" s="196"/>
      <c r="E156" s="197"/>
      <c r="F156" s="197"/>
      <c r="G156" s="197"/>
    </row>
    <row r="157" spans="1:7">
      <c r="A157" s="29"/>
      <c r="B157" s="196"/>
      <c r="C157" s="196"/>
      <c r="E157" s="197"/>
      <c r="F157" s="197"/>
      <c r="G157" s="197"/>
    </row>
    <row r="158" spans="1:7">
      <c r="A158" s="29" t="s">
        <v>1109</v>
      </c>
      <c r="B158" s="196"/>
      <c r="C158" s="196"/>
      <c r="E158" s="197"/>
      <c r="F158" s="197"/>
      <c r="G158" s="197"/>
    </row>
    <row r="159" spans="1:7">
      <c r="A159" s="29" t="s">
        <v>1110</v>
      </c>
      <c r="B159" s="196"/>
      <c r="C159" s="196"/>
      <c r="E159" s="197"/>
      <c r="F159" s="197"/>
      <c r="G159" s="197"/>
    </row>
    <row r="160" spans="1:7">
      <c r="A160" s="29" t="s">
        <v>1111</v>
      </c>
      <c r="B160" s="196"/>
      <c r="C160" s="196"/>
      <c r="E160" s="197"/>
      <c r="F160" s="197"/>
      <c r="G160" s="197"/>
    </row>
    <row r="161" spans="1:7">
      <c r="A161" s="29" t="s">
        <v>1112</v>
      </c>
      <c r="B161" s="196"/>
      <c r="C161" s="196"/>
      <c r="E161" s="197"/>
      <c r="F161" s="197"/>
      <c r="G161" s="197"/>
    </row>
    <row r="162" spans="1:7">
      <c r="A162" s="29" t="s">
        <v>1113</v>
      </c>
      <c r="B162" s="196"/>
      <c r="C162" s="196"/>
      <c r="E162" s="197"/>
      <c r="F162" s="197"/>
      <c r="G162" s="197"/>
    </row>
    <row r="163" spans="1:7">
      <c r="A163" s="29" t="s">
        <v>1114</v>
      </c>
      <c r="B163" s="196"/>
      <c r="C163" s="196"/>
      <c r="E163" s="197"/>
      <c r="F163" s="197"/>
      <c r="G163" s="197"/>
    </row>
    <row r="164" spans="1:7">
      <c r="A164" s="29" t="s">
        <v>1115</v>
      </c>
      <c r="B164" s="196"/>
      <c r="C164" s="196"/>
      <c r="E164" s="197"/>
      <c r="F164" s="197"/>
      <c r="G164" s="197"/>
    </row>
    <row r="165" spans="1:7">
      <c r="A165" s="29"/>
      <c r="B165" s="196"/>
      <c r="C165" s="196"/>
      <c r="E165" s="197"/>
      <c r="F165" s="197"/>
      <c r="G165" s="197"/>
    </row>
    <row r="166" spans="1:7">
      <c r="A166" s="29" t="s">
        <v>1116</v>
      </c>
      <c r="B166" s="196"/>
      <c r="C166" s="196"/>
      <c r="E166" s="197"/>
      <c r="F166" s="197"/>
      <c r="G166" s="197"/>
    </row>
    <row r="167" spans="1:7">
      <c r="A167" s="29" t="s">
        <v>1117</v>
      </c>
      <c r="B167" s="196"/>
      <c r="C167" s="196"/>
      <c r="E167" s="197"/>
      <c r="F167" s="197"/>
      <c r="G167" s="197"/>
    </row>
    <row r="168" spans="1:7">
      <c r="A168" s="29" t="s">
        <v>1118</v>
      </c>
      <c r="B168" s="196"/>
      <c r="C168" s="196"/>
      <c r="E168" s="197"/>
      <c r="F168" s="197"/>
      <c r="G168" s="197"/>
    </row>
    <row r="169" spans="1:7">
      <c r="A169" s="29" t="s">
        <v>1119</v>
      </c>
      <c r="B169" s="196"/>
      <c r="C169" s="196"/>
      <c r="E169" s="197"/>
      <c r="F169" s="197"/>
      <c r="G169" s="197"/>
    </row>
    <row r="170" spans="1:7">
      <c r="A170" s="29"/>
      <c r="B170" s="29"/>
      <c r="C170" s="29"/>
      <c r="D170" s="29"/>
      <c r="E170" s="29"/>
      <c r="F170" s="29"/>
      <c r="G170" s="29"/>
    </row>
    <row r="171" spans="1:7">
      <c r="A171" s="211" t="s">
        <v>173</v>
      </c>
      <c r="B171" s="29"/>
      <c r="C171" s="29"/>
      <c r="D171" s="29"/>
      <c r="E171" s="29"/>
      <c r="F171" s="29"/>
      <c r="G171" s="29"/>
    </row>
    <row r="172" spans="1:7">
      <c r="A172" s="29"/>
      <c r="B172" s="29"/>
      <c r="C172" s="29"/>
      <c r="D172" s="29"/>
      <c r="E172" s="29"/>
      <c r="F172" s="29"/>
      <c r="G172" s="29"/>
    </row>
    <row r="173" spans="1:7">
      <c r="A173" s="29" t="s">
        <v>1120</v>
      </c>
      <c r="B173" s="29"/>
      <c r="C173" s="29"/>
      <c r="D173" s="29"/>
      <c r="E173" s="29"/>
      <c r="F173" s="29"/>
      <c r="G173" s="29"/>
    </row>
    <row r="174" spans="1:7">
      <c r="A174" s="349" t="s">
        <v>1743</v>
      </c>
      <c r="B174" s="280"/>
      <c r="C174" s="280"/>
      <c r="D174" s="280"/>
    </row>
  </sheetData>
  <mergeCells count="21">
    <mergeCell ref="C86:C88"/>
    <mergeCell ref="A8:D9"/>
    <mergeCell ref="B10:B32"/>
    <mergeCell ref="C10:C12"/>
    <mergeCell ref="C13:C32"/>
    <mergeCell ref="B33:B50"/>
    <mergeCell ref="C33:C35"/>
    <mergeCell ref="C36:C41"/>
    <mergeCell ref="C42:C44"/>
    <mergeCell ref="C45:C47"/>
    <mergeCell ref="C48:C50"/>
    <mergeCell ref="B51:B85"/>
    <mergeCell ref="C51:C61"/>
    <mergeCell ref="C62:C68"/>
    <mergeCell ref="C69:C75"/>
    <mergeCell ref="C76:C85"/>
    <mergeCell ref="B89:B100"/>
    <mergeCell ref="C89:C91"/>
    <mergeCell ref="C92:C94"/>
    <mergeCell ref="C95:C97"/>
    <mergeCell ref="C98:C100"/>
  </mergeCells>
  <phoneticPr fontId="6" type="noConversion"/>
  <pageMargins left="0.7" right="0.7" top="0.75" bottom="0.75" header="0.3" footer="0.3"/>
  <pageSetup paperSize="9" scale="30" orientation="portrait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899FB-AD3E-4697-9149-12E3575F1D9C}">
  <sheetPr codeName="Sheet10">
    <tabColor theme="0" tint="-0.249977111117893"/>
  </sheetPr>
  <dimension ref="A1:I2267"/>
  <sheetViews>
    <sheetView showGridLines="0" view="pageBreakPreview" zoomScaleNormal="100" zoomScaleSheetLayoutView="100" workbookViewId="0"/>
  </sheetViews>
  <sheetFormatPr defaultColWidth="8.8984375" defaultRowHeight="14.4"/>
  <cols>
    <col min="1" max="1" width="8.8984375" style="14"/>
    <col min="2" max="2" width="7.8984375" style="14" customWidth="1"/>
    <col min="3" max="3" width="28.69921875" style="14" customWidth="1"/>
    <col min="4" max="6" width="12.3984375" style="14" customWidth="1"/>
    <col min="7" max="16384" width="8.8984375" style="14"/>
  </cols>
  <sheetData>
    <row r="1" spans="1:6">
      <c r="B1" s="15"/>
      <c r="C1" s="15"/>
      <c r="D1" s="15"/>
      <c r="E1" s="15"/>
      <c r="F1" s="15"/>
    </row>
    <row r="2" spans="1:6">
      <c r="B2" s="15"/>
      <c r="C2" s="15"/>
      <c r="D2" s="15"/>
      <c r="E2" s="15"/>
      <c r="F2" s="15"/>
    </row>
    <row r="3" spans="1:6">
      <c r="B3" s="15"/>
      <c r="C3" s="15"/>
      <c r="D3" s="15"/>
      <c r="E3" s="15"/>
      <c r="F3" s="15"/>
    </row>
    <row r="4" spans="1:6">
      <c r="B4" s="15"/>
      <c r="C4" s="15"/>
      <c r="D4" s="15"/>
      <c r="E4" s="15"/>
      <c r="F4" s="15"/>
    </row>
    <row r="5" spans="1:6" s="16" customFormat="1" ht="20.399999999999999">
      <c r="A5" s="16" t="s">
        <v>251</v>
      </c>
      <c r="B5" s="15"/>
      <c r="C5" s="15"/>
      <c r="D5" s="15"/>
      <c r="E5" s="15"/>
      <c r="F5" s="15"/>
    </row>
    <row r="6" spans="1:6">
      <c r="A6" s="15"/>
      <c r="B6" s="15"/>
      <c r="C6" s="15"/>
      <c r="D6" s="15"/>
      <c r="E6" s="15"/>
      <c r="F6" s="15"/>
    </row>
    <row r="7" spans="1:6">
      <c r="A7" s="17" t="s">
        <v>252</v>
      </c>
      <c r="B7" s="17"/>
      <c r="C7" s="15"/>
      <c r="D7" s="15"/>
      <c r="E7" s="15"/>
      <c r="F7" s="18"/>
    </row>
    <row r="8" spans="1:6" ht="14.4" customHeight="1">
      <c r="A8" s="767" t="s">
        <v>54</v>
      </c>
      <c r="B8" s="768"/>
      <c r="C8" s="769"/>
      <c r="D8" s="19" t="s">
        <v>55</v>
      </c>
      <c r="E8" s="19" t="s">
        <v>56</v>
      </c>
      <c r="F8" s="19" t="s">
        <v>60</v>
      </c>
    </row>
    <row r="9" spans="1:6">
      <c r="A9" s="770"/>
      <c r="B9" s="665"/>
      <c r="C9" s="771"/>
      <c r="D9" s="20" t="s">
        <v>253</v>
      </c>
      <c r="E9" s="21" t="s">
        <v>254</v>
      </c>
      <c r="F9" s="22" t="s">
        <v>255</v>
      </c>
    </row>
    <row r="10" spans="1:6" ht="13.5" customHeight="1">
      <c r="A10" s="23" t="s">
        <v>256</v>
      </c>
      <c r="B10" s="772" t="s">
        <v>257</v>
      </c>
      <c r="C10" s="24" t="s">
        <v>258</v>
      </c>
      <c r="D10" s="25"/>
      <c r="E10" s="25"/>
      <c r="F10" s="25"/>
    </row>
    <row r="11" spans="1:6">
      <c r="A11" s="23" t="s">
        <v>259</v>
      </c>
      <c r="B11" s="772"/>
      <c r="C11" s="24" t="s">
        <v>260</v>
      </c>
      <c r="D11" s="25"/>
      <c r="E11" s="25"/>
      <c r="F11" s="25"/>
    </row>
    <row r="12" spans="1:6">
      <c r="A12" s="23" t="s">
        <v>261</v>
      </c>
      <c r="B12" s="772"/>
      <c r="C12" s="24" t="s">
        <v>262</v>
      </c>
      <c r="D12" s="25"/>
      <c r="E12" s="25"/>
      <c r="F12" s="25"/>
    </row>
    <row r="13" spans="1:6">
      <c r="A13" s="23" t="s">
        <v>263</v>
      </c>
      <c r="B13" s="772"/>
      <c r="C13" s="24" t="s">
        <v>264</v>
      </c>
      <c r="D13" s="25"/>
      <c r="E13" s="25"/>
      <c r="F13" s="25"/>
    </row>
    <row r="14" spans="1:6">
      <c r="A14" s="23" t="s">
        <v>265</v>
      </c>
      <c r="B14" s="772"/>
      <c r="C14" s="24" t="s">
        <v>266</v>
      </c>
      <c r="D14" s="25">
        <f>D10+D11+D12+D13</f>
        <v>0</v>
      </c>
      <c r="E14" s="25">
        <f>E10+E11+E12+E13</f>
        <v>0</v>
      </c>
      <c r="F14" s="25"/>
    </row>
    <row r="15" spans="1:6">
      <c r="A15" s="26" t="s">
        <v>267</v>
      </c>
      <c r="B15" s="773" t="s">
        <v>268</v>
      </c>
      <c r="C15" s="24" t="s">
        <v>269</v>
      </c>
      <c r="D15" s="25"/>
      <c r="E15" s="25"/>
      <c r="F15" s="25"/>
    </row>
    <row r="16" spans="1:6" ht="14.25" customHeight="1">
      <c r="A16" s="26" t="s">
        <v>270</v>
      </c>
      <c r="B16" s="773"/>
      <c r="C16" s="24" t="s">
        <v>271</v>
      </c>
      <c r="D16" s="25"/>
      <c r="E16" s="25"/>
      <c r="F16" s="25"/>
    </row>
    <row r="17" spans="1:7">
      <c r="A17" s="26" t="s">
        <v>272</v>
      </c>
      <c r="B17" s="773"/>
      <c r="C17" s="24" t="s">
        <v>273</v>
      </c>
      <c r="D17" s="25"/>
      <c r="E17" s="25"/>
      <c r="F17" s="25"/>
    </row>
    <row r="18" spans="1:7">
      <c r="A18" s="26" t="s">
        <v>274</v>
      </c>
      <c r="B18" s="773"/>
      <c r="C18" s="24" t="s">
        <v>275</v>
      </c>
      <c r="D18" s="25"/>
      <c r="E18" s="25"/>
      <c r="F18" s="25"/>
    </row>
    <row r="19" spans="1:7" ht="13.5" customHeight="1">
      <c r="A19" s="26" t="s">
        <v>276</v>
      </c>
      <c r="B19" s="773"/>
      <c r="C19" s="24" t="s">
        <v>277</v>
      </c>
      <c r="D19" s="25"/>
      <c r="E19" s="25"/>
      <c r="F19" s="25"/>
    </row>
    <row r="20" spans="1:7" ht="13.5" customHeight="1">
      <c r="A20" s="26" t="s">
        <v>278</v>
      </c>
      <c r="B20" s="773"/>
      <c r="C20" s="24" t="s">
        <v>68</v>
      </c>
      <c r="D20" s="25"/>
      <c r="E20" s="25"/>
      <c r="F20" s="25"/>
    </row>
    <row r="21" spans="1:7">
      <c r="A21" s="26" t="s">
        <v>279</v>
      </c>
      <c r="B21" s="773"/>
      <c r="C21" s="27" t="s">
        <v>280</v>
      </c>
      <c r="D21" s="25">
        <f>D15+D16+D17+D18+D19+D20</f>
        <v>0</v>
      </c>
      <c r="E21" s="25">
        <f>E15+E16+E17+E18+E19+E20</f>
        <v>0</v>
      </c>
      <c r="F21" s="25"/>
    </row>
    <row r="22" spans="1:7">
      <c r="A22" s="23" t="s">
        <v>281</v>
      </c>
      <c r="B22" s="774" t="s">
        <v>282</v>
      </c>
      <c r="C22" s="775"/>
      <c r="D22" s="25" t="e">
        <f>D14/D21*100</f>
        <v>#DIV/0!</v>
      </c>
      <c r="E22" s="25" t="e">
        <f>E14/E21*100</f>
        <v>#DIV/0!</v>
      </c>
      <c r="F22" s="25"/>
    </row>
    <row r="23" spans="1:7">
      <c r="A23" s="15"/>
      <c r="B23" s="15"/>
      <c r="C23" s="15"/>
      <c r="D23" s="15"/>
      <c r="E23" s="15"/>
      <c r="F23" s="15"/>
    </row>
    <row r="24" spans="1:7">
      <c r="A24" s="28" t="s">
        <v>283</v>
      </c>
      <c r="B24" s="15"/>
      <c r="C24" s="15"/>
      <c r="D24" s="15"/>
      <c r="E24" s="15"/>
      <c r="F24" s="15"/>
    </row>
    <row r="25" spans="1:7">
      <c r="A25" s="15"/>
      <c r="B25" s="15"/>
      <c r="C25" s="15"/>
      <c r="D25" s="15"/>
      <c r="E25" s="15"/>
      <c r="F25" s="15"/>
    </row>
    <row r="26" spans="1:7">
      <c r="A26" s="28" t="s">
        <v>59</v>
      </c>
      <c r="B26" s="15"/>
      <c r="C26" s="15"/>
      <c r="D26" s="15"/>
      <c r="E26" s="15"/>
      <c r="F26" s="15"/>
    </row>
    <row r="27" spans="1:7">
      <c r="A27" s="15"/>
      <c r="B27" s="15"/>
      <c r="C27" s="15"/>
      <c r="D27" s="15"/>
      <c r="E27" s="15"/>
      <c r="F27" s="15"/>
    </row>
    <row r="28" spans="1:7">
      <c r="A28" s="15" t="s">
        <v>284</v>
      </c>
      <c r="B28" s="15"/>
      <c r="C28" s="15"/>
      <c r="D28" s="15"/>
      <c r="E28" s="15"/>
      <c r="F28" s="15"/>
    </row>
    <row r="29" spans="1:7">
      <c r="A29" s="15"/>
      <c r="B29" s="15"/>
      <c r="C29" s="15"/>
      <c r="D29" s="15"/>
      <c r="E29" s="15"/>
      <c r="F29" s="15"/>
    </row>
    <row r="30" spans="1:7">
      <c r="A30" s="15" t="s">
        <v>285</v>
      </c>
      <c r="B30" s="15"/>
      <c r="C30" s="15"/>
      <c r="D30" s="15"/>
      <c r="E30" s="15"/>
      <c r="F30" s="15"/>
    </row>
    <row r="31" spans="1:7">
      <c r="A31" s="370"/>
      <c r="B31" s="370"/>
      <c r="C31" s="370"/>
      <c r="D31" s="370"/>
      <c r="E31" s="370"/>
      <c r="F31" s="370"/>
      <c r="G31" s="370"/>
    </row>
    <row r="32" spans="1:7" ht="15">
      <c r="A32" s="15" t="s">
        <v>286</v>
      </c>
      <c r="B32" s="15"/>
      <c r="C32" s="15"/>
      <c r="D32" s="15"/>
      <c r="E32" s="15"/>
      <c r="F32" s="15"/>
    </row>
    <row r="33" spans="1:9">
      <c r="A33" s="15" t="s">
        <v>287</v>
      </c>
      <c r="B33" s="15"/>
      <c r="C33" s="15"/>
      <c r="D33" s="15"/>
      <c r="E33" s="15"/>
      <c r="F33" s="15"/>
    </row>
    <row r="34" spans="1:9">
      <c r="A34" s="15" t="s">
        <v>288</v>
      </c>
      <c r="B34" s="15"/>
      <c r="C34" s="15"/>
      <c r="D34" s="15"/>
      <c r="E34" s="15"/>
      <c r="F34" s="15"/>
    </row>
    <row r="35" spans="1:9">
      <c r="A35" s="15" t="s">
        <v>289</v>
      </c>
      <c r="B35" s="15"/>
      <c r="C35" s="15"/>
      <c r="D35" s="15"/>
      <c r="E35" s="15"/>
      <c r="F35" s="15"/>
    </row>
    <row r="36" spans="1:9">
      <c r="A36" s="370"/>
      <c r="B36" s="370"/>
      <c r="C36" s="370"/>
      <c r="D36" s="370"/>
      <c r="E36" s="370"/>
      <c r="F36" s="370"/>
      <c r="G36" s="370"/>
    </row>
    <row r="37" spans="1:9" s="6" customFormat="1">
      <c r="A37" s="371"/>
      <c r="B37" s="371"/>
      <c r="C37" s="371"/>
      <c r="D37" s="371"/>
      <c r="E37" s="371"/>
      <c r="F37" s="371"/>
      <c r="G37" s="371"/>
    </row>
    <row r="38" spans="1:9" s="30" customFormat="1">
      <c r="A38" s="217" t="s">
        <v>290</v>
      </c>
      <c r="B38" s="217"/>
      <c r="C38" s="217"/>
      <c r="D38" s="217"/>
      <c r="E38" s="217"/>
      <c r="F38" s="217"/>
      <c r="G38" s="224"/>
      <c r="H38" s="14"/>
      <c r="I38" s="14"/>
    </row>
    <row r="39" spans="1:9">
      <c r="A39" s="370"/>
      <c r="B39" s="370"/>
      <c r="C39" s="370"/>
      <c r="D39" s="370"/>
      <c r="E39" s="370"/>
      <c r="F39" s="370"/>
      <c r="G39" s="370"/>
    </row>
    <row r="40" spans="1:9">
      <c r="B40" s="15"/>
      <c r="C40" s="15"/>
      <c r="D40" s="15"/>
      <c r="E40" s="15"/>
      <c r="F40" s="15"/>
    </row>
    <row r="41" spans="1:9">
      <c r="A41" s="28" t="s">
        <v>173</v>
      </c>
      <c r="B41" s="15"/>
      <c r="C41" s="15"/>
      <c r="D41" s="15"/>
      <c r="E41" s="15"/>
      <c r="F41" s="15"/>
    </row>
    <row r="42" spans="1:9">
      <c r="A42" s="15" t="s">
        <v>291</v>
      </c>
      <c r="B42" s="15"/>
      <c r="C42" s="15"/>
      <c r="D42" s="15"/>
      <c r="E42" s="15"/>
      <c r="F42" s="15"/>
    </row>
    <row r="43" spans="1:9" s="30" customFormat="1">
      <c r="A43" s="29" t="s">
        <v>292</v>
      </c>
    </row>
    <row r="48" spans="1:9">
      <c r="C48" s="14" t="s">
        <v>244</v>
      </c>
    </row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72" ht="20.25" customHeight="1"/>
    <row r="181" ht="13.5" customHeight="1"/>
    <row r="184" ht="14.25" customHeight="1"/>
    <row r="185" ht="14.25" customHeight="1"/>
    <row r="187" ht="14.25" customHeight="1"/>
    <row r="189" ht="14.25" customHeight="1"/>
    <row r="194" ht="14.25" customHeight="1"/>
    <row r="196" ht="14.25" customHeight="1"/>
    <row r="197" ht="14.25" customHeight="1"/>
    <row r="198" ht="27.75" customHeight="1"/>
    <row r="200" ht="14.25" customHeight="1"/>
    <row r="202" ht="14.25" customHeight="1"/>
    <row r="203" ht="14.25" customHeight="1"/>
    <row r="204" ht="14.25" customHeight="1"/>
    <row r="206" ht="14.25" customHeight="1"/>
    <row r="504" ht="20.25" customHeight="1"/>
    <row r="506" ht="13.5" customHeight="1"/>
    <row r="508" ht="22.5" customHeight="1"/>
    <row r="512" ht="19.5" customHeight="1"/>
    <row r="514" ht="20.25" customHeight="1"/>
    <row r="515" ht="19.5" customHeight="1"/>
    <row r="517" ht="19.5" customHeight="1"/>
    <row r="521" ht="19.5" customHeight="1"/>
    <row r="527" ht="19.5" customHeight="1"/>
    <row r="531" ht="13.5" customHeight="1"/>
    <row r="534" ht="22.5" customHeight="1"/>
    <row r="538" ht="19.5" customHeight="1"/>
    <row r="540" ht="19.5" customHeight="1"/>
    <row r="542" ht="20.25" customHeight="1"/>
    <row r="543" ht="20.25" customHeight="1"/>
    <row r="549" ht="20.25" customHeight="1"/>
    <row r="598" ht="20.25" customHeight="1"/>
    <row r="614" ht="20.25" customHeight="1"/>
    <row r="630" ht="20.25" customHeight="1"/>
    <row r="631" ht="20.25" customHeight="1"/>
    <row r="635" ht="20.25" customHeight="1"/>
    <row r="641" ht="20.25" customHeight="1"/>
    <row r="642" ht="19.5" customHeight="1"/>
    <row r="644" ht="20.25" customHeight="1"/>
    <row r="645" ht="20.25" customHeight="1"/>
    <row r="646" ht="20.25" customHeight="1"/>
    <row r="647" ht="20.25" customHeight="1"/>
    <row r="660" ht="19.5" customHeight="1"/>
    <row r="663" ht="14.25" customHeight="1"/>
    <row r="665" ht="19.5" customHeight="1"/>
    <row r="667" ht="19.5" customHeight="1"/>
    <row r="669" ht="19.5" customHeight="1"/>
    <row r="671" ht="19.5" customHeight="1"/>
    <row r="673" ht="19.5" customHeight="1"/>
    <row r="675" ht="19.5" customHeight="1"/>
    <row r="677" ht="19.5" customHeight="1"/>
    <row r="679" ht="19.5" customHeight="1"/>
    <row r="681" ht="22.5" customHeight="1"/>
    <row r="683" ht="19.5" customHeight="1"/>
    <row r="685" ht="19.5" customHeight="1"/>
    <row r="687" ht="19.5" customHeight="1"/>
    <row r="689" ht="19.5" customHeight="1"/>
    <row r="695" ht="20.25" customHeight="1"/>
    <row r="696" ht="22.5" customHeight="1"/>
    <row r="717" ht="20.25" customHeight="1"/>
    <row r="723" ht="20.25" customHeight="1"/>
    <row r="727" ht="14.25" customHeight="1"/>
    <row r="730" ht="24.75" customHeight="1"/>
    <row r="735" ht="19.5" customHeight="1"/>
    <row r="743" ht="20.25" customHeight="1"/>
    <row r="751" ht="39" customHeight="1"/>
    <row r="773" ht="22.5" customHeight="1"/>
    <row r="774" ht="14.25" customHeight="1"/>
    <row r="776" ht="20.25" customHeight="1"/>
    <row r="784" ht="20.25" customHeight="1"/>
    <row r="787" ht="19.5" customHeight="1"/>
    <row r="788" ht="13.5" customHeight="1"/>
    <row r="792" ht="19.5" customHeight="1"/>
    <row r="795" ht="20.25" customHeight="1"/>
    <row r="796" ht="20.25" customHeight="1"/>
    <row r="816" ht="20.25" customHeight="1"/>
    <row r="824" ht="20.25" customHeight="1"/>
    <row r="830" ht="20.25" customHeight="1"/>
    <row r="850" ht="20.25" customHeight="1"/>
    <row r="886" ht="22.5" customHeight="1"/>
    <row r="891" ht="20.25" customHeight="1"/>
    <row r="945" ht="20.25" customHeight="1"/>
    <row r="947" ht="13.5" customHeight="1"/>
    <row r="964" ht="20.25" customHeight="1"/>
    <row r="966" ht="20.25" customHeight="1"/>
    <row r="967" ht="20.25" customHeight="1"/>
    <row r="969" ht="20.25" customHeight="1"/>
    <row r="971" ht="20.25" customHeight="1"/>
    <row r="984" ht="20.25" customHeight="1"/>
    <row r="1001" ht="20.25" customHeight="1"/>
    <row r="1003" ht="20.25" customHeight="1"/>
    <row r="1004" ht="20.25" customHeight="1"/>
    <row r="1006" ht="22.5" customHeight="1"/>
    <row r="1019" ht="19.5" customHeight="1"/>
    <row r="1020" ht="14.25" customHeight="1"/>
    <row r="1055" ht="14.25" customHeight="1"/>
    <row r="1069" ht="19.5" customHeight="1"/>
    <row r="1105" ht="20.25" customHeight="1"/>
    <row r="1113" ht="20.25" customHeight="1"/>
    <row r="1119" ht="20.25" customHeight="1"/>
    <row r="1138" ht="19.5" customHeight="1"/>
    <row r="1139" ht="13.5" customHeight="1"/>
    <row r="1141" ht="14.25" customHeight="1"/>
    <row r="1143" ht="13.5" customHeight="1"/>
    <row r="1163" ht="19.5" customHeight="1"/>
    <row r="1164" ht="14.25" customHeight="1"/>
    <row r="1166" ht="13.5" customHeight="1"/>
    <row r="1187" ht="19.5" customHeight="1"/>
    <row r="1188" ht="14.25" customHeight="1"/>
    <row r="1205" ht="19.5" customHeight="1"/>
    <row r="1213" ht="19.5" customHeight="1"/>
    <row r="1244" ht="20.25" customHeight="1"/>
    <row r="1246" ht="19.5" customHeight="1"/>
    <row r="1247" ht="14.25" customHeight="1"/>
    <row r="1255" ht="19.5" customHeight="1"/>
    <row r="1256" ht="14.25" customHeight="1"/>
    <row r="1267" ht="19.5" customHeight="1"/>
    <row r="1270" ht="14.25" customHeight="1"/>
    <row r="1299" ht="24" customHeight="1"/>
    <row r="1302" ht="13.5" customHeight="1"/>
    <row r="1305" ht="20.25" customHeight="1"/>
    <row r="1306" ht="22.5" customHeight="1"/>
    <row r="1340" ht="19.5" customHeight="1"/>
    <row r="1341" ht="14.25" customHeight="1"/>
    <row r="1351" ht="39" customHeight="1"/>
    <row r="1359" ht="19.5" customHeight="1"/>
    <row r="1360" ht="13.5" customHeight="1"/>
    <row r="1362" ht="14.25" customHeight="1"/>
    <row r="1381" ht="19.5" customHeight="1"/>
    <row r="1394" ht="19.5" customHeight="1"/>
    <row r="1402" ht="13.5" customHeight="1"/>
    <row r="1408" ht="20.25" customHeight="1"/>
    <row r="1463" ht="14.25" customHeight="1"/>
    <row r="1464" ht="13.5" customHeight="1"/>
    <row r="1502" ht="14.25" customHeight="1"/>
    <row r="1537" ht="14.25" customHeight="1"/>
    <row r="1539" ht="13.5" customHeight="1"/>
    <row r="1556" ht="19.5" customHeight="1"/>
    <row r="1557" ht="14.25" customHeight="1"/>
    <row r="1559" ht="13.5" customHeight="1"/>
    <row r="1579" ht="14.25" customHeight="1"/>
    <row r="1581" ht="13.5" customHeight="1"/>
    <row r="1598" ht="19.5" customHeight="1"/>
    <row r="1599" ht="14.25" customHeight="1"/>
    <row r="1601" ht="13.5" customHeight="1"/>
    <row r="1624" ht="13.5" customHeight="1"/>
    <row r="1627" ht="13.5" customHeight="1"/>
    <row r="1630" ht="13.5" customHeight="1"/>
    <row r="1633" ht="13.5" customHeight="1"/>
    <row r="1636" ht="13.5" customHeight="1"/>
    <row r="1639" ht="13.5" customHeight="1"/>
    <row r="1644" ht="20.25" customHeight="1"/>
    <row r="1670" ht="39" customHeight="1"/>
    <row r="1681" ht="22.5" customHeight="1"/>
    <row r="1682" ht="13.5" customHeight="1"/>
    <row r="1684" ht="19.5" customHeight="1"/>
    <row r="1687" ht="14.25" customHeight="1"/>
    <row r="1689" ht="13.5" customHeight="1"/>
    <row r="1749" ht="13.5" customHeight="1"/>
    <row r="1750" ht="14.25" customHeight="1"/>
    <row r="1762" ht="13.5" customHeight="1"/>
    <row r="1763" ht="14.25" customHeight="1"/>
    <row r="1830" ht="19.5" customHeight="1"/>
    <row r="1831" ht="14.25" customHeight="1"/>
    <row r="1851" ht="20.25" customHeight="1"/>
    <row r="1867" ht="20.25" customHeight="1"/>
    <row r="1875" ht="21" customHeight="1"/>
    <row r="1877" ht="14.25" customHeight="1"/>
    <row r="1878" ht="14.25" customHeight="1"/>
    <row r="1879" ht="14.25" customHeight="1"/>
    <row r="1880" ht="14.25" customHeight="1"/>
    <row r="1881" ht="14.25" customHeight="1"/>
    <row r="1882" ht="14.25" customHeight="1"/>
    <row r="1894" ht="20.25" customHeight="1"/>
    <row r="1910" ht="20.25" customHeight="1"/>
    <row r="1920" ht="14.25" customHeight="1"/>
    <row r="1921" ht="14.25" customHeight="1"/>
    <row r="1930" ht="13.5" customHeight="1"/>
    <row r="1955" ht="14.25" customHeight="1"/>
    <row r="1956" ht="14.25" customHeight="1"/>
    <row r="1957" ht="14.25" customHeight="1"/>
    <row r="1999" ht="13.5" customHeight="1"/>
    <row r="2003" ht="13.5" customHeight="1"/>
    <row r="2026" ht="20.25" customHeight="1"/>
    <row r="2039" ht="20.25" customHeight="1"/>
    <row r="2040" ht="20.25" customHeight="1"/>
    <row r="2041" ht="20.25" customHeight="1"/>
    <row r="2043" ht="20.25" customHeight="1"/>
    <row r="2045" ht="20.25" customHeight="1"/>
    <row r="2046" ht="20.25" customHeight="1"/>
    <row r="2060" ht="20.25" customHeight="1"/>
    <row r="2064" ht="20.25" customHeight="1"/>
    <row r="2076" ht="20.25" customHeight="1"/>
    <row r="2077" ht="20.25" customHeight="1"/>
    <row r="2082" ht="20.25" customHeight="1"/>
    <row r="2098" ht="20.25" customHeight="1"/>
    <row r="2113" ht="20.25" customHeight="1"/>
    <row r="2138" ht="13.5" customHeight="1"/>
    <row r="2232" ht="13.5" customHeight="1"/>
    <row r="2240" ht="19.5" customHeight="1"/>
    <row r="2266" ht="19.5" customHeight="1"/>
    <row r="2267" ht="13.5" customHeight="1"/>
  </sheetData>
  <mergeCells count="4">
    <mergeCell ref="A8:C9"/>
    <mergeCell ref="B10:B14"/>
    <mergeCell ref="B15:B21"/>
    <mergeCell ref="B22:C22"/>
  </mergeCells>
  <phoneticPr fontId="6" type="noConversion"/>
  <pageMargins left="0.75" right="0.75" top="1" bottom="1" header="0.5" footer="0.5"/>
  <pageSetup paperSize="9" scale="75" orientation="landscape" r:id="rId1"/>
  <headerFooter alignWithMargins="0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56ABC1-D249-4303-9C3F-5EC5EA69D085}">
  <sheetPr codeName="Sheet11">
    <tabColor rgb="FFFFFF00"/>
  </sheetPr>
  <dimension ref="A1:M2272"/>
  <sheetViews>
    <sheetView showGridLines="0" view="pageBreakPreview" zoomScaleNormal="100" zoomScaleSheetLayoutView="100" workbookViewId="0"/>
  </sheetViews>
  <sheetFormatPr defaultColWidth="8.8984375" defaultRowHeight="14.4"/>
  <cols>
    <col min="1" max="1" width="8.8984375" style="14"/>
    <col min="2" max="2" width="7.8984375" style="14" customWidth="1"/>
    <col min="3" max="3" width="28.69921875" style="14" customWidth="1"/>
    <col min="4" max="6" width="12.3984375" style="14" customWidth="1"/>
    <col min="7" max="16384" width="8.8984375" style="14"/>
  </cols>
  <sheetData>
    <row r="1" spans="1:13">
      <c r="B1" s="15"/>
      <c r="C1" s="15"/>
      <c r="D1" s="15"/>
      <c r="E1" s="15"/>
      <c r="F1" s="15"/>
      <c r="M1" s="520"/>
    </row>
    <row r="2" spans="1:13">
      <c r="B2" s="15"/>
      <c r="C2" s="15"/>
      <c r="D2" s="15"/>
      <c r="E2" s="15"/>
      <c r="F2" s="15"/>
    </row>
    <row r="3" spans="1:13">
      <c r="B3" s="15"/>
      <c r="C3" s="15"/>
      <c r="D3" s="15"/>
      <c r="E3" s="15"/>
      <c r="F3" s="15"/>
    </row>
    <row r="4" spans="1:13">
      <c r="B4" s="15"/>
      <c r="C4" s="15"/>
      <c r="D4" s="15"/>
      <c r="E4" s="15"/>
      <c r="F4" s="15"/>
    </row>
    <row r="5" spans="1:13" s="16" customFormat="1" ht="20.399999999999999">
      <c r="A5" s="16" t="s">
        <v>251</v>
      </c>
      <c r="B5" s="15"/>
      <c r="C5" s="15"/>
      <c r="D5" s="15"/>
      <c r="E5" s="15"/>
      <c r="F5" s="15"/>
    </row>
    <row r="6" spans="1:13">
      <c r="A6" s="15"/>
      <c r="B6" s="15"/>
      <c r="C6" s="15"/>
      <c r="D6" s="15"/>
      <c r="E6" s="15"/>
      <c r="F6" s="15"/>
    </row>
    <row r="7" spans="1:13">
      <c r="A7" s="17" t="s">
        <v>252</v>
      </c>
      <c r="B7" s="17"/>
      <c r="C7" s="15"/>
      <c r="D7" s="15"/>
      <c r="E7" s="15"/>
      <c r="F7" s="18"/>
    </row>
    <row r="8" spans="1:13" ht="14.4" customHeight="1">
      <c r="A8" s="767" t="s">
        <v>54</v>
      </c>
      <c r="B8" s="768"/>
      <c r="C8" s="769"/>
      <c r="D8" s="19" t="s">
        <v>55</v>
      </c>
      <c r="E8" s="19" t="s">
        <v>56</v>
      </c>
      <c r="F8" s="19" t="s">
        <v>60</v>
      </c>
    </row>
    <row r="9" spans="1:13">
      <c r="A9" s="770"/>
      <c r="B9" s="665"/>
      <c r="C9" s="771"/>
      <c r="D9" s="20" t="s">
        <v>253</v>
      </c>
      <c r="E9" s="21" t="s">
        <v>254</v>
      </c>
      <c r="F9" s="22" t="s">
        <v>255</v>
      </c>
    </row>
    <row r="10" spans="1:13" ht="13.5" customHeight="1">
      <c r="A10" s="23" t="s">
        <v>256</v>
      </c>
      <c r="B10" s="772" t="s">
        <v>257</v>
      </c>
      <c r="C10" s="24" t="s">
        <v>258</v>
      </c>
      <c r="D10" s="25"/>
      <c r="E10" s="25"/>
      <c r="F10" s="25"/>
    </row>
    <row r="11" spans="1:13">
      <c r="A11" s="23" t="s">
        <v>259</v>
      </c>
      <c r="B11" s="772"/>
      <c r="C11" s="24" t="s">
        <v>260</v>
      </c>
      <c r="D11" s="25"/>
      <c r="E11" s="25"/>
      <c r="F11" s="25"/>
    </row>
    <row r="12" spans="1:13">
      <c r="A12" s="23" t="s">
        <v>261</v>
      </c>
      <c r="B12" s="772"/>
      <c r="C12" s="24" t="s">
        <v>262</v>
      </c>
      <c r="D12" s="25"/>
      <c r="E12" s="25"/>
      <c r="F12" s="25"/>
    </row>
    <row r="13" spans="1:13">
      <c r="A13" s="23" t="s">
        <v>263</v>
      </c>
      <c r="B13" s="772"/>
      <c r="C13" s="24" t="s">
        <v>264</v>
      </c>
      <c r="D13" s="25"/>
      <c r="E13" s="25"/>
      <c r="F13" s="25"/>
    </row>
    <row r="14" spans="1:13">
      <c r="A14" s="23" t="s">
        <v>265</v>
      </c>
      <c r="B14" s="772"/>
      <c r="C14" s="24" t="s">
        <v>266</v>
      </c>
      <c r="D14" s="25">
        <f>D10+D11+D12+D13</f>
        <v>0</v>
      </c>
      <c r="E14" s="25">
        <f>E10+E11+E12+E13</f>
        <v>0</v>
      </c>
      <c r="F14" s="25"/>
    </row>
    <row r="15" spans="1:13">
      <c r="A15" s="26" t="s">
        <v>267</v>
      </c>
      <c r="B15" s="773" t="s">
        <v>268</v>
      </c>
      <c r="C15" s="24" t="s">
        <v>269</v>
      </c>
      <c r="D15" s="25"/>
      <c r="E15" s="25"/>
      <c r="F15" s="25"/>
    </row>
    <row r="16" spans="1:13" ht="14.25" customHeight="1">
      <c r="A16" s="26" t="s">
        <v>270</v>
      </c>
      <c r="B16" s="773"/>
      <c r="C16" s="24" t="s">
        <v>271</v>
      </c>
      <c r="D16" s="25"/>
      <c r="E16" s="25"/>
      <c r="F16" s="25"/>
    </row>
    <row r="17" spans="1:11">
      <c r="A17" s="26" t="s">
        <v>272</v>
      </c>
      <c r="B17" s="773"/>
      <c r="C17" s="24" t="s">
        <v>273</v>
      </c>
      <c r="D17" s="25"/>
      <c r="E17" s="25"/>
      <c r="F17" s="25"/>
    </row>
    <row r="18" spans="1:11">
      <c r="A18" s="26" t="s">
        <v>274</v>
      </c>
      <c r="B18" s="773"/>
      <c r="C18" s="24" t="s">
        <v>275</v>
      </c>
      <c r="D18" s="25"/>
      <c r="E18" s="25"/>
      <c r="F18" s="25"/>
    </row>
    <row r="19" spans="1:11" ht="13.5" customHeight="1">
      <c r="A19" s="26" t="s">
        <v>276</v>
      </c>
      <c r="B19" s="773"/>
      <c r="C19" s="24" t="s">
        <v>277</v>
      </c>
      <c r="D19" s="25"/>
      <c r="E19" s="25"/>
      <c r="F19" s="25"/>
    </row>
    <row r="20" spans="1:11" ht="13.5" customHeight="1">
      <c r="A20" s="26" t="s">
        <v>278</v>
      </c>
      <c r="B20" s="773"/>
      <c r="C20" s="24" t="s">
        <v>68</v>
      </c>
      <c r="D20" s="25"/>
      <c r="E20" s="25"/>
      <c r="F20" s="25"/>
    </row>
    <row r="21" spans="1:11">
      <c r="A21" s="26" t="s">
        <v>279</v>
      </c>
      <c r="B21" s="773"/>
      <c r="C21" s="27" t="s">
        <v>280</v>
      </c>
      <c r="D21" s="25">
        <f>D15+D16+D17+D18+D19+D20</f>
        <v>0</v>
      </c>
      <c r="E21" s="25">
        <f>E15+E16+E17+E18+E19+E20</f>
        <v>0</v>
      </c>
      <c r="F21" s="25"/>
    </row>
    <row r="22" spans="1:11">
      <c r="A22" s="23" t="s">
        <v>281</v>
      </c>
      <c r="B22" s="774" t="s">
        <v>282</v>
      </c>
      <c r="C22" s="775"/>
      <c r="D22" s="25" t="e">
        <f>D14/D21*100</f>
        <v>#DIV/0!</v>
      </c>
      <c r="E22" s="25" t="e">
        <f>E14/E21*100</f>
        <v>#DIV/0!</v>
      </c>
      <c r="F22" s="25"/>
    </row>
    <row r="23" spans="1:11">
      <c r="A23" s="15"/>
      <c r="B23" s="15"/>
      <c r="C23" s="15"/>
      <c r="D23" s="15"/>
      <c r="E23" s="15"/>
      <c r="F23" s="15"/>
    </row>
    <row r="24" spans="1:11">
      <c r="A24" s="28" t="s">
        <v>283</v>
      </c>
      <c r="B24" s="15"/>
      <c r="C24" s="15"/>
      <c r="D24" s="15"/>
      <c r="E24" s="15"/>
      <c r="F24" s="15"/>
    </row>
    <row r="25" spans="1:11">
      <c r="A25" s="15"/>
      <c r="B25" s="15"/>
      <c r="C25" s="15"/>
      <c r="D25" s="15"/>
      <c r="E25" s="15"/>
      <c r="F25" s="15"/>
    </row>
    <row r="26" spans="1:11">
      <c r="A26" s="28" t="s">
        <v>59</v>
      </c>
      <c r="B26" s="15"/>
      <c r="C26" s="15"/>
      <c r="D26" s="15"/>
      <c r="E26" s="15"/>
      <c r="F26" s="15"/>
    </row>
    <row r="27" spans="1:11">
      <c r="A27" s="15"/>
      <c r="B27" s="15"/>
      <c r="C27" s="15"/>
      <c r="D27" s="15"/>
      <c r="E27" s="15"/>
      <c r="F27" s="15"/>
    </row>
    <row r="28" spans="1:11">
      <c r="A28" s="15" t="s">
        <v>284</v>
      </c>
      <c r="B28" s="15"/>
      <c r="C28" s="15"/>
      <c r="D28" s="15"/>
      <c r="E28" s="15"/>
      <c r="F28" s="15"/>
    </row>
    <row r="29" spans="1:11">
      <c r="A29" s="15"/>
      <c r="B29" s="15"/>
      <c r="C29" s="15"/>
      <c r="D29" s="15"/>
      <c r="E29" s="15"/>
      <c r="F29" s="15"/>
    </row>
    <row r="30" spans="1:11">
      <c r="A30" s="15" t="s">
        <v>285</v>
      </c>
      <c r="B30" s="15"/>
      <c r="C30" s="15"/>
      <c r="D30" s="15"/>
      <c r="E30" s="15"/>
      <c r="F30" s="15"/>
    </row>
    <row r="31" spans="1:11">
      <c r="A31" s="350" t="s">
        <v>293</v>
      </c>
      <c r="B31" s="350"/>
      <c r="C31" s="350"/>
      <c r="D31" s="350"/>
      <c r="E31" s="350"/>
      <c r="F31" s="350"/>
      <c r="G31" s="351"/>
      <c r="H31" s="351"/>
      <c r="I31" s="351"/>
      <c r="J31" s="351"/>
      <c r="K31" s="351"/>
    </row>
    <row r="32" spans="1:11">
      <c r="A32" s="350" t="s">
        <v>294</v>
      </c>
      <c r="B32" s="350"/>
      <c r="C32" s="350"/>
      <c r="D32" s="350"/>
      <c r="E32" s="350"/>
      <c r="F32" s="350"/>
      <c r="G32" s="351"/>
      <c r="H32" s="351"/>
      <c r="I32" s="351"/>
      <c r="J32" s="351"/>
      <c r="K32" s="351"/>
    </row>
    <row r="33" spans="1:11">
      <c r="A33" s="31"/>
      <c r="B33" s="15"/>
      <c r="C33" s="15"/>
      <c r="D33" s="15"/>
      <c r="E33" s="15"/>
      <c r="F33" s="15"/>
    </row>
    <row r="34" spans="1:11" ht="15">
      <c r="A34" s="15" t="s">
        <v>286</v>
      </c>
      <c r="B34" s="15"/>
      <c r="C34" s="15"/>
      <c r="D34" s="15"/>
      <c r="E34" s="15"/>
      <c r="F34" s="15"/>
    </row>
    <row r="35" spans="1:11">
      <c r="A35" s="15" t="s">
        <v>287</v>
      </c>
      <c r="B35" s="15"/>
      <c r="C35" s="15"/>
      <c r="D35" s="15"/>
      <c r="E35" s="15"/>
      <c r="F35" s="15"/>
    </row>
    <row r="36" spans="1:11">
      <c r="A36" s="15" t="s">
        <v>288</v>
      </c>
      <c r="B36" s="15"/>
      <c r="C36" s="15"/>
      <c r="D36" s="15"/>
      <c r="E36" s="15"/>
      <c r="F36" s="15"/>
    </row>
    <row r="37" spans="1:11">
      <c r="A37" s="15" t="s">
        <v>296</v>
      </c>
      <c r="B37" s="15"/>
      <c r="C37" s="15"/>
      <c r="D37" s="15"/>
      <c r="E37" s="15"/>
      <c r="F37" s="15"/>
    </row>
    <row r="38" spans="1:11">
      <c r="A38" s="452" t="s">
        <v>295</v>
      </c>
      <c r="B38" s="350"/>
      <c r="C38" s="350"/>
      <c r="D38" s="350"/>
      <c r="E38" s="350"/>
      <c r="F38" s="350"/>
      <c r="G38" s="351"/>
      <c r="H38" s="351"/>
      <c r="I38" s="351"/>
      <c r="J38" s="351"/>
      <c r="K38" s="351"/>
    </row>
    <row r="39" spans="1:11">
      <c r="A39" s="350" t="s">
        <v>298</v>
      </c>
      <c r="B39" s="350"/>
      <c r="C39" s="350"/>
      <c r="D39" s="350"/>
      <c r="E39" s="350"/>
      <c r="F39" s="350"/>
      <c r="G39" s="351"/>
      <c r="H39" s="351"/>
      <c r="I39" s="351"/>
      <c r="J39" s="351"/>
      <c r="K39" s="351"/>
    </row>
    <row r="40" spans="1:11">
      <c r="A40" s="350" t="s">
        <v>299</v>
      </c>
      <c r="B40" s="350"/>
      <c r="C40" s="350"/>
      <c r="D40" s="350"/>
      <c r="E40" s="350"/>
      <c r="F40" s="350"/>
      <c r="G40" s="351"/>
      <c r="H40" s="351"/>
      <c r="I40" s="351"/>
      <c r="J40" s="351"/>
      <c r="K40" s="351"/>
    </row>
    <row r="41" spans="1:11">
      <c r="A41" s="451"/>
      <c r="B41" s="15"/>
      <c r="C41" s="15"/>
      <c r="D41" s="15"/>
      <c r="E41" s="15"/>
      <c r="F41" s="15"/>
    </row>
    <row r="42" spans="1:11" s="30" customFormat="1">
      <c r="A42" s="221" t="s">
        <v>1518</v>
      </c>
      <c r="B42" s="221"/>
      <c r="C42" s="221"/>
      <c r="D42" s="221"/>
      <c r="E42" s="221"/>
      <c r="F42" s="221"/>
      <c r="G42" s="225"/>
      <c r="H42" s="225"/>
    </row>
    <row r="43" spans="1:11">
      <c r="A43" s="350" t="s">
        <v>297</v>
      </c>
      <c r="B43" s="350"/>
      <c r="C43" s="350"/>
      <c r="D43" s="350"/>
      <c r="E43" s="350"/>
      <c r="F43" s="350"/>
      <c r="G43" s="351"/>
      <c r="H43" s="351"/>
      <c r="I43" s="351"/>
      <c r="J43" s="351"/>
      <c r="K43" s="351"/>
    </row>
    <row r="44" spans="1:11">
      <c r="A44" s="451"/>
      <c r="B44" s="15"/>
      <c r="C44" s="15"/>
      <c r="D44" s="15"/>
      <c r="E44" s="15"/>
      <c r="F44" s="15"/>
    </row>
    <row r="45" spans="1:11">
      <c r="A45" s="28" t="s">
        <v>173</v>
      </c>
      <c r="B45" s="15"/>
      <c r="C45" s="15"/>
      <c r="D45" s="15"/>
      <c r="E45" s="15"/>
      <c r="F45" s="15"/>
    </row>
    <row r="46" spans="1:11">
      <c r="A46" s="15"/>
      <c r="B46" s="15"/>
      <c r="C46" s="15"/>
      <c r="D46" s="15"/>
      <c r="E46" s="15"/>
      <c r="F46" s="15"/>
    </row>
    <row r="47" spans="1:11">
      <c r="A47" s="15" t="s">
        <v>291</v>
      </c>
      <c r="B47" s="15"/>
      <c r="C47" s="15"/>
      <c r="D47" s="15"/>
      <c r="E47" s="15"/>
      <c r="F47" s="15"/>
    </row>
    <row r="48" spans="1:11" s="30" customFormat="1">
      <c r="A48" s="29" t="s">
        <v>292</v>
      </c>
    </row>
    <row r="49" spans="1:5">
      <c r="A49" s="350" t="s">
        <v>1744</v>
      </c>
      <c r="B49" s="350"/>
      <c r="C49" s="350"/>
      <c r="D49" s="350"/>
      <c r="E49" s="350"/>
    </row>
    <row r="53" spans="1:5">
      <c r="C53" s="14" t="s">
        <v>244</v>
      </c>
    </row>
    <row r="60" spans="1:5" ht="14.25" customHeight="1"/>
    <row r="61" spans="1:5" ht="14.25" customHeight="1"/>
    <row r="62" spans="1:5" ht="14.25" customHeight="1"/>
    <row r="63" spans="1:5" ht="14.25" customHeight="1"/>
    <row r="64" spans="1:5" ht="14.25" customHeight="1"/>
    <row r="65" ht="14.25" customHeight="1"/>
    <row r="66" ht="14.25" customHeight="1"/>
    <row r="77" ht="20.25" customHeight="1"/>
    <row r="186" ht="13.5" customHeight="1"/>
    <row r="189" ht="14.25" customHeight="1"/>
    <row r="190" ht="14.25" customHeight="1"/>
    <row r="192" ht="14.25" customHeight="1"/>
    <row r="194" ht="14.25" customHeight="1"/>
    <row r="199" ht="14.25" customHeight="1"/>
    <row r="201" ht="14.25" customHeight="1"/>
    <row r="202" ht="14.25" customHeight="1"/>
    <row r="203" ht="27.75" customHeight="1"/>
    <row r="205" ht="14.25" customHeight="1"/>
    <row r="207" ht="14.25" customHeight="1"/>
    <row r="208" ht="14.25" customHeight="1"/>
    <row r="209" ht="14.25" customHeight="1"/>
    <row r="211" ht="14.25" customHeight="1"/>
    <row r="509" ht="20.25" customHeight="1"/>
    <row r="511" ht="13.5" customHeight="1"/>
    <row r="513" ht="22.5" customHeight="1"/>
    <row r="517" ht="19.5" customHeight="1"/>
    <row r="519" ht="20.25" customHeight="1"/>
    <row r="520" ht="19.5" customHeight="1"/>
    <row r="522" ht="19.5" customHeight="1"/>
    <row r="526" ht="19.5" customHeight="1"/>
    <row r="532" ht="19.5" customHeight="1"/>
    <row r="536" ht="13.5" customHeight="1"/>
    <row r="539" ht="22.5" customHeight="1"/>
    <row r="543" ht="19.5" customHeight="1"/>
    <row r="545" ht="19.5" customHeight="1"/>
    <row r="547" ht="20.25" customHeight="1"/>
    <row r="548" ht="20.25" customHeight="1"/>
    <row r="554" ht="20.25" customHeight="1"/>
    <row r="603" ht="20.25" customHeight="1"/>
    <row r="619" ht="20.25" customHeight="1"/>
    <row r="635" ht="20.25" customHeight="1"/>
    <row r="636" ht="20.25" customHeight="1"/>
    <row r="640" ht="20.25" customHeight="1"/>
    <row r="646" ht="20.25" customHeight="1"/>
    <row r="647" ht="19.5" customHeight="1"/>
    <row r="649" ht="20.25" customHeight="1"/>
    <row r="650" ht="20.25" customHeight="1"/>
    <row r="651" ht="20.25" customHeight="1"/>
    <row r="652" ht="20.25" customHeight="1"/>
    <row r="665" ht="19.5" customHeight="1"/>
    <row r="668" ht="14.25" customHeight="1"/>
    <row r="670" ht="19.5" customHeight="1"/>
    <row r="672" ht="19.5" customHeight="1"/>
    <row r="674" ht="19.5" customHeight="1"/>
    <row r="676" ht="19.5" customHeight="1"/>
    <row r="678" ht="19.5" customHeight="1"/>
    <row r="680" ht="19.5" customHeight="1"/>
    <row r="682" ht="19.5" customHeight="1"/>
    <row r="684" ht="19.5" customHeight="1"/>
    <row r="686" ht="22.5" customHeight="1"/>
    <row r="688" ht="19.5" customHeight="1"/>
    <row r="690" ht="19.5" customHeight="1"/>
    <row r="692" ht="19.5" customHeight="1"/>
    <row r="694" ht="19.5" customHeight="1"/>
    <row r="700" ht="20.25" customHeight="1"/>
    <row r="701" ht="22.5" customHeight="1"/>
    <row r="722" ht="20.25" customHeight="1"/>
    <row r="728" ht="20.25" customHeight="1"/>
    <row r="732" ht="14.25" customHeight="1"/>
    <row r="735" ht="24.75" customHeight="1"/>
    <row r="740" ht="19.5" customHeight="1"/>
    <row r="748" ht="20.25" customHeight="1"/>
    <row r="756" ht="39" customHeight="1"/>
    <row r="778" ht="22.5" customHeight="1"/>
    <row r="779" ht="14.25" customHeight="1"/>
    <row r="781" ht="20.25" customHeight="1"/>
    <row r="789" ht="20.25" customHeight="1"/>
    <row r="792" ht="19.5" customHeight="1"/>
    <row r="793" ht="13.5" customHeight="1"/>
    <row r="797" ht="19.5" customHeight="1"/>
    <row r="800" ht="20.25" customHeight="1"/>
    <row r="801" ht="20.25" customHeight="1"/>
    <row r="821" ht="20.25" customHeight="1"/>
    <row r="829" ht="20.25" customHeight="1"/>
    <row r="835" ht="20.25" customHeight="1"/>
    <row r="855" ht="20.25" customHeight="1"/>
    <row r="891" ht="22.5" customHeight="1"/>
    <row r="896" ht="20.25" customHeight="1"/>
    <row r="950" ht="20.25" customHeight="1"/>
    <row r="952" ht="13.5" customHeight="1"/>
    <row r="969" ht="20.25" customHeight="1"/>
    <row r="971" ht="20.25" customHeight="1"/>
    <row r="972" ht="20.25" customHeight="1"/>
    <row r="974" ht="20.25" customHeight="1"/>
    <row r="976" ht="20.25" customHeight="1"/>
    <row r="989" ht="20.25" customHeight="1"/>
    <row r="1006" ht="20.25" customHeight="1"/>
    <row r="1008" ht="20.25" customHeight="1"/>
    <row r="1009" ht="20.25" customHeight="1"/>
    <row r="1011" ht="22.5" customHeight="1"/>
    <row r="1024" ht="19.5" customHeight="1"/>
    <row r="1025" ht="14.25" customHeight="1"/>
    <row r="1060" ht="14.25" customHeight="1"/>
    <row r="1074" ht="19.5" customHeight="1"/>
    <row r="1110" ht="20.25" customHeight="1"/>
    <row r="1118" ht="20.25" customHeight="1"/>
    <row r="1124" ht="20.25" customHeight="1"/>
    <row r="1143" ht="19.5" customHeight="1"/>
    <row r="1144" ht="13.5" customHeight="1"/>
    <row r="1146" ht="14.25" customHeight="1"/>
    <row r="1148" ht="13.5" customHeight="1"/>
    <row r="1168" ht="19.5" customHeight="1"/>
    <row r="1169" ht="14.25" customHeight="1"/>
    <row r="1171" ht="13.5" customHeight="1"/>
    <row r="1192" ht="19.5" customHeight="1"/>
    <row r="1193" ht="14.25" customHeight="1"/>
    <row r="1210" ht="19.5" customHeight="1"/>
    <row r="1218" ht="19.5" customHeight="1"/>
    <row r="1249" ht="20.25" customHeight="1"/>
    <row r="1251" ht="19.5" customHeight="1"/>
    <row r="1252" ht="14.25" customHeight="1"/>
    <row r="1260" ht="19.5" customHeight="1"/>
    <row r="1261" ht="14.25" customHeight="1"/>
    <row r="1272" ht="19.5" customHeight="1"/>
    <row r="1275" ht="14.25" customHeight="1"/>
    <row r="1304" ht="24" customHeight="1"/>
    <row r="1307" ht="13.5" customHeight="1"/>
    <row r="1310" ht="20.25" customHeight="1"/>
    <row r="1311" ht="22.5" customHeight="1"/>
    <row r="1345" ht="19.5" customHeight="1"/>
    <row r="1346" ht="14.25" customHeight="1"/>
    <row r="1356" ht="39" customHeight="1"/>
    <row r="1364" ht="19.5" customHeight="1"/>
    <row r="1365" ht="13.5" customHeight="1"/>
    <row r="1367" ht="14.25" customHeight="1"/>
    <row r="1386" ht="19.5" customHeight="1"/>
    <row r="1399" ht="19.5" customHeight="1"/>
    <row r="1407" ht="13.5" customHeight="1"/>
    <row r="1413" ht="20.25" customHeight="1"/>
    <row r="1468" ht="14.25" customHeight="1"/>
    <row r="1469" ht="13.5" customHeight="1"/>
    <row r="1507" ht="14.25" customHeight="1"/>
    <row r="1542" ht="14.25" customHeight="1"/>
    <row r="1544" ht="13.5" customHeight="1"/>
    <row r="1561" ht="19.5" customHeight="1"/>
    <row r="1562" ht="14.25" customHeight="1"/>
    <row r="1564" ht="13.5" customHeight="1"/>
    <row r="1584" ht="14.25" customHeight="1"/>
    <row r="1586" ht="13.5" customHeight="1"/>
    <row r="1603" ht="19.5" customHeight="1"/>
    <row r="1604" ht="14.25" customHeight="1"/>
    <row r="1606" ht="13.5" customHeight="1"/>
    <row r="1629" ht="13.5" customHeight="1"/>
    <row r="1632" ht="13.5" customHeight="1"/>
    <row r="1635" ht="13.5" customHeight="1"/>
    <row r="1638" ht="13.5" customHeight="1"/>
    <row r="1641" ht="13.5" customHeight="1"/>
    <row r="1644" ht="13.5" customHeight="1"/>
    <row r="1649" ht="20.25" customHeight="1"/>
    <row r="1675" ht="39" customHeight="1"/>
    <row r="1686" ht="22.5" customHeight="1"/>
    <row r="1687" ht="13.5" customHeight="1"/>
    <row r="1689" ht="19.5" customHeight="1"/>
    <row r="1692" ht="14.25" customHeight="1"/>
    <row r="1694" ht="13.5" customHeight="1"/>
    <row r="1754" ht="13.5" customHeight="1"/>
    <row r="1755" ht="14.25" customHeight="1"/>
    <row r="1767" ht="13.5" customHeight="1"/>
    <row r="1768" ht="14.25" customHeight="1"/>
    <row r="1835" ht="19.5" customHeight="1"/>
    <row r="1836" ht="14.25" customHeight="1"/>
    <row r="1856" ht="20.25" customHeight="1"/>
    <row r="1872" ht="20.25" customHeight="1"/>
    <row r="1880" ht="21" customHeight="1"/>
    <row r="1882" ht="14.25" customHeight="1"/>
    <row r="1883" ht="14.25" customHeight="1"/>
    <row r="1884" ht="14.25" customHeight="1"/>
    <row r="1885" ht="14.25" customHeight="1"/>
    <row r="1886" ht="14.25" customHeight="1"/>
    <row r="1887" ht="14.25" customHeight="1"/>
    <row r="1899" ht="20.25" customHeight="1"/>
    <row r="1915" ht="20.25" customHeight="1"/>
    <row r="1925" ht="14.25" customHeight="1"/>
    <row r="1926" ht="14.25" customHeight="1"/>
    <row r="1935" ht="13.5" customHeight="1"/>
    <row r="1960" ht="14.25" customHeight="1"/>
    <row r="1961" ht="14.25" customHeight="1"/>
    <row r="1962" ht="14.25" customHeight="1"/>
    <row r="2004" ht="13.5" customHeight="1"/>
    <row r="2008" ht="13.5" customHeight="1"/>
    <row r="2031" ht="20.25" customHeight="1"/>
    <row r="2044" ht="20.25" customHeight="1"/>
    <row r="2045" ht="20.25" customHeight="1"/>
    <row r="2046" ht="20.25" customHeight="1"/>
    <row r="2048" ht="20.25" customHeight="1"/>
    <row r="2050" ht="20.25" customHeight="1"/>
    <row r="2051" ht="20.25" customHeight="1"/>
    <row r="2065" ht="20.25" customHeight="1"/>
    <row r="2069" ht="20.25" customHeight="1"/>
    <row r="2081" ht="20.25" customHeight="1"/>
    <row r="2082" ht="20.25" customHeight="1"/>
    <row r="2087" ht="20.25" customHeight="1"/>
    <row r="2103" ht="20.25" customHeight="1"/>
    <row r="2118" ht="20.25" customHeight="1"/>
    <row r="2143" ht="13.5" customHeight="1"/>
    <row r="2237" ht="13.5" customHeight="1"/>
    <row r="2245" ht="19.5" customHeight="1"/>
    <row r="2271" ht="19.5" customHeight="1"/>
    <row r="2272" ht="13.5" customHeight="1"/>
  </sheetData>
  <mergeCells count="4">
    <mergeCell ref="A8:C9"/>
    <mergeCell ref="B10:B14"/>
    <mergeCell ref="B15:B21"/>
    <mergeCell ref="B22:C22"/>
  </mergeCells>
  <phoneticPr fontId="6" type="noConversion"/>
  <pageMargins left="0.75" right="0.75" top="1" bottom="1" header="0.5" footer="0.5"/>
  <pageSetup paperSize="9" scale="66" orientation="landscape" r:id="rId1"/>
  <headerFooter alignWithMargins="0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1708A0-E0E7-4814-A7BC-0E732698DF1E}">
  <sheetPr codeName="Sheet12">
    <tabColor theme="0" tint="-0.249977111117893"/>
    <pageSetUpPr fitToPage="1"/>
  </sheetPr>
  <dimension ref="A1:Q29"/>
  <sheetViews>
    <sheetView view="pageBreakPreview" zoomScaleNormal="100" zoomScaleSheetLayoutView="100" workbookViewId="0"/>
  </sheetViews>
  <sheetFormatPr defaultColWidth="8.8984375" defaultRowHeight="14.4"/>
  <cols>
    <col min="1" max="1" width="5.796875" style="5" customWidth="1"/>
    <col min="2" max="2" width="8.8984375" style="5"/>
    <col min="3" max="3" width="6.296875" style="227" customWidth="1"/>
    <col min="4" max="4" width="8" style="227" customWidth="1"/>
    <col min="5" max="5" width="7.796875" style="227" customWidth="1"/>
    <col min="6" max="6" width="7.3984375" style="227" customWidth="1"/>
    <col min="7" max="7" width="6.296875" style="227" customWidth="1"/>
    <col min="8" max="8" width="4.69921875" style="227" bestFit="1" customWidth="1"/>
    <col min="9" max="10" width="6.296875" style="227" customWidth="1"/>
    <col min="11" max="11" width="4.69921875" style="227" bestFit="1" customWidth="1"/>
    <col min="12" max="12" width="6.296875" style="227" customWidth="1"/>
    <col min="13" max="14" width="4.69921875" style="227" bestFit="1" customWidth="1"/>
    <col min="15" max="15" width="7.796875" style="227" customWidth="1"/>
    <col min="16" max="17" width="4.69921875" style="227" bestFit="1" customWidth="1"/>
    <col min="18" max="16384" width="8.8984375" style="5"/>
  </cols>
  <sheetData>
    <row r="1" spans="1:17"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</row>
    <row r="2" spans="1:17"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</row>
    <row r="3" spans="1:17"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</row>
    <row r="4" spans="1:17"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</row>
    <row r="5" spans="1:17" ht="20.399999999999999">
      <c r="A5" s="63" t="s">
        <v>1121</v>
      </c>
      <c r="B5" s="63"/>
      <c r="C5" s="226"/>
      <c r="D5" s="226"/>
      <c r="E5" s="226"/>
      <c r="F5" s="226"/>
      <c r="G5" s="226"/>
    </row>
    <row r="7" spans="1:17">
      <c r="A7" s="2" t="s">
        <v>171</v>
      </c>
    </row>
    <row r="8" spans="1:17">
      <c r="A8" s="776" t="s">
        <v>555</v>
      </c>
      <c r="B8" s="777"/>
      <c r="C8" s="228" t="s">
        <v>556</v>
      </c>
      <c r="D8" s="228" t="s">
        <v>557</v>
      </c>
      <c r="E8" s="228" t="s">
        <v>558</v>
      </c>
      <c r="F8" s="228" t="s">
        <v>559</v>
      </c>
      <c r="G8" s="228" t="s">
        <v>561</v>
      </c>
      <c r="H8" s="228" t="s">
        <v>560</v>
      </c>
      <c r="I8" s="228" t="s">
        <v>170</v>
      </c>
      <c r="J8" s="228" t="s">
        <v>743</v>
      </c>
      <c r="K8" s="228" t="s">
        <v>775</v>
      </c>
      <c r="L8" s="228" t="s">
        <v>776</v>
      </c>
      <c r="M8" s="228" t="s">
        <v>845</v>
      </c>
      <c r="N8" s="228" t="s">
        <v>249</v>
      </c>
      <c r="O8" s="228" t="s">
        <v>248</v>
      </c>
      <c r="P8" s="228" t="s">
        <v>909</v>
      </c>
      <c r="Q8" s="228" t="s">
        <v>1050</v>
      </c>
    </row>
    <row r="9" spans="1:17" ht="85.5" customHeight="1">
      <c r="A9" s="778"/>
      <c r="B9" s="779"/>
      <c r="C9" s="229" t="s">
        <v>1122</v>
      </c>
      <c r="D9" s="229" t="s">
        <v>1123</v>
      </c>
      <c r="E9" s="69" t="s">
        <v>1124</v>
      </c>
      <c r="F9" s="69" t="s">
        <v>1125</v>
      </c>
      <c r="G9" s="69" t="s">
        <v>1126</v>
      </c>
      <c r="H9" s="69" t="s">
        <v>1127</v>
      </c>
      <c r="I9" s="69" t="s">
        <v>1128</v>
      </c>
      <c r="J9" s="69" t="s">
        <v>1129</v>
      </c>
      <c r="K9" s="69" t="s">
        <v>1130</v>
      </c>
      <c r="L9" s="69" t="s">
        <v>1131</v>
      </c>
      <c r="M9" s="69" t="s">
        <v>1132</v>
      </c>
      <c r="N9" s="69" t="s">
        <v>1133</v>
      </c>
      <c r="O9" s="69" t="s">
        <v>1134</v>
      </c>
      <c r="P9" s="69" t="s">
        <v>68</v>
      </c>
      <c r="Q9" s="69" t="s">
        <v>581</v>
      </c>
    </row>
    <row r="10" spans="1:17">
      <c r="A10" s="230" t="s">
        <v>693</v>
      </c>
      <c r="B10" s="231" t="s">
        <v>1135</v>
      </c>
      <c r="C10" s="232"/>
      <c r="D10" s="232"/>
      <c r="E10" s="233"/>
      <c r="F10" s="233"/>
      <c r="G10" s="233"/>
      <c r="H10" s="233"/>
      <c r="I10" s="233"/>
      <c r="J10" s="233"/>
      <c r="K10" s="233"/>
      <c r="L10" s="233"/>
      <c r="M10" s="233"/>
      <c r="N10" s="233"/>
      <c r="O10" s="233"/>
      <c r="P10" s="233"/>
      <c r="Q10" s="234"/>
    </row>
    <row r="11" spans="1:17">
      <c r="A11" s="230" t="s">
        <v>694</v>
      </c>
      <c r="B11" s="231" t="s">
        <v>1136</v>
      </c>
      <c r="C11" s="232"/>
      <c r="D11" s="116"/>
      <c r="E11" s="233"/>
      <c r="F11" s="233"/>
      <c r="G11" s="233"/>
      <c r="H11" s="233"/>
      <c r="I11" s="233"/>
      <c r="J11" s="233"/>
      <c r="K11" s="233"/>
      <c r="L11" s="233"/>
      <c r="M11" s="233"/>
      <c r="N11" s="233"/>
      <c r="O11" s="233"/>
      <c r="P11" s="233"/>
      <c r="Q11" s="234"/>
    </row>
    <row r="12" spans="1:17">
      <c r="A12" s="230"/>
      <c r="B12" s="231" t="s">
        <v>1137</v>
      </c>
      <c r="C12" s="232"/>
      <c r="D12" s="232"/>
      <c r="E12" s="233"/>
      <c r="F12" s="233"/>
      <c r="G12" s="233"/>
      <c r="H12" s="233"/>
      <c r="I12" s="233"/>
      <c r="J12" s="233"/>
      <c r="K12" s="233"/>
      <c r="L12" s="233"/>
      <c r="M12" s="233"/>
      <c r="N12" s="233"/>
      <c r="O12" s="233"/>
      <c r="P12" s="233"/>
      <c r="Q12" s="234"/>
    </row>
    <row r="13" spans="1:17">
      <c r="A13" s="230" t="s">
        <v>557</v>
      </c>
      <c r="B13" s="231" t="s">
        <v>581</v>
      </c>
      <c r="C13" s="232"/>
      <c r="D13" s="232"/>
      <c r="E13" s="234"/>
      <c r="F13" s="234"/>
      <c r="G13" s="234"/>
      <c r="H13" s="234"/>
      <c r="I13" s="234"/>
      <c r="J13" s="234"/>
      <c r="K13" s="234"/>
      <c r="L13" s="234"/>
      <c r="M13" s="234"/>
      <c r="N13" s="234"/>
      <c r="O13" s="234"/>
      <c r="P13" s="234"/>
      <c r="Q13" s="234"/>
    </row>
    <row r="15" spans="1:17">
      <c r="A15" s="131" t="s">
        <v>547</v>
      </c>
    </row>
    <row r="16" spans="1:17">
      <c r="A16" s="2"/>
    </row>
    <row r="17" spans="1:6">
      <c r="A17" s="130" t="s">
        <v>59</v>
      </c>
    </row>
    <row r="19" spans="1:6">
      <c r="A19" s="235" t="s">
        <v>1138</v>
      </c>
      <c r="B19" s="235"/>
      <c r="C19" s="236"/>
      <c r="D19" s="236"/>
      <c r="E19" s="236"/>
      <c r="F19" s="236"/>
    </row>
    <row r="21" spans="1:6">
      <c r="A21" s="5" t="s">
        <v>1139</v>
      </c>
    </row>
    <row r="23" spans="1:6">
      <c r="A23" s="5" t="s">
        <v>1140</v>
      </c>
    </row>
    <row r="25" spans="1:6">
      <c r="A25" s="5" t="s">
        <v>1141</v>
      </c>
    </row>
    <row r="27" spans="1:6">
      <c r="A27" s="237" t="s">
        <v>1142</v>
      </c>
    </row>
    <row r="29" spans="1:6">
      <c r="A29" s="237" t="s">
        <v>1143</v>
      </c>
    </row>
  </sheetData>
  <mergeCells count="1">
    <mergeCell ref="A8:B9"/>
  </mergeCells>
  <phoneticPr fontId="6" type="noConversion"/>
  <pageMargins left="0.7" right="0.7" top="0.75" bottom="0.75" header="0.3" footer="0.3"/>
  <pageSetup paperSize="9" scale="72" fitToHeight="0" orientation="portrait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4576CC-0FB2-4956-88A7-6E643C49E3AA}">
  <sheetPr codeName="Sheet13">
    <tabColor rgb="FFFFFF00"/>
    <pageSetUpPr fitToPage="1"/>
  </sheetPr>
  <dimension ref="A1:R29"/>
  <sheetViews>
    <sheetView view="pageBreakPreview" zoomScaleNormal="100" zoomScaleSheetLayoutView="100" workbookViewId="0"/>
  </sheetViews>
  <sheetFormatPr defaultColWidth="8.8984375" defaultRowHeight="14.4"/>
  <cols>
    <col min="1" max="1" width="5.796875" style="5" customWidth="1"/>
    <col min="2" max="2" width="8.8984375" style="5"/>
    <col min="3" max="3" width="6.296875" style="227" customWidth="1"/>
    <col min="4" max="4" width="8" style="227" customWidth="1"/>
    <col min="5" max="5" width="7.796875" style="227" customWidth="1"/>
    <col min="6" max="6" width="7.3984375" style="227" customWidth="1"/>
    <col min="7" max="7" width="6.296875" style="227" customWidth="1"/>
    <col min="8" max="8" width="4.69921875" style="227" bestFit="1" customWidth="1"/>
    <col min="9" max="10" width="6.296875" style="227" customWidth="1"/>
    <col min="11" max="11" width="4.69921875" style="227" bestFit="1" customWidth="1"/>
    <col min="12" max="12" width="6.296875" style="227" customWidth="1"/>
    <col min="13" max="14" width="4.69921875" style="227" bestFit="1" customWidth="1"/>
    <col min="15" max="15" width="7.796875" style="227" customWidth="1"/>
    <col min="16" max="17" width="4.69921875" style="227" bestFit="1" customWidth="1"/>
    <col min="18" max="16384" width="8.8984375" style="5"/>
  </cols>
  <sheetData>
    <row r="1" spans="1:18"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</row>
    <row r="2" spans="1:18"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21"/>
    </row>
    <row r="3" spans="1:18"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</row>
    <row r="4" spans="1:18"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</row>
    <row r="5" spans="1:18" ht="20.399999999999999">
      <c r="A5" s="63" t="s">
        <v>1121</v>
      </c>
      <c r="B5" s="63"/>
      <c r="C5" s="226"/>
      <c r="D5" s="226"/>
      <c r="E5" s="226"/>
      <c r="F5" s="226"/>
      <c r="G5" s="226"/>
    </row>
    <row r="7" spans="1:18">
      <c r="A7" s="2" t="s">
        <v>171</v>
      </c>
    </row>
    <row r="8" spans="1:18">
      <c r="A8" s="776" t="s">
        <v>555</v>
      </c>
      <c r="B8" s="777"/>
      <c r="C8" s="228" t="s">
        <v>556</v>
      </c>
      <c r="D8" s="228" t="s">
        <v>557</v>
      </c>
      <c r="E8" s="228" t="s">
        <v>558</v>
      </c>
      <c r="F8" s="228" t="s">
        <v>559</v>
      </c>
      <c r="G8" s="228" t="s">
        <v>561</v>
      </c>
      <c r="H8" s="228" t="s">
        <v>560</v>
      </c>
      <c r="I8" s="228" t="s">
        <v>170</v>
      </c>
      <c r="J8" s="228" t="s">
        <v>743</v>
      </c>
      <c r="K8" s="228" t="s">
        <v>775</v>
      </c>
      <c r="L8" s="228" t="s">
        <v>776</v>
      </c>
      <c r="M8" s="228" t="s">
        <v>845</v>
      </c>
      <c r="N8" s="228" t="s">
        <v>249</v>
      </c>
      <c r="O8" s="228" t="s">
        <v>248</v>
      </c>
      <c r="P8" s="228" t="s">
        <v>909</v>
      </c>
      <c r="Q8" s="228" t="s">
        <v>1050</v>
      </c>
    </row>
    <row r="9" spans="1:18" ht="85.5" customHeight="1">
      <c r="A9" s="778"/>
      <c r="B9" s="779"/>
      <c r="C9" s="229" t="s">
        <v>1122</v>
      </c>
      <c r="D9" s="229" t="s">
        <v>1123</v>
      </c>
      <c r="E9" s="69" t="s">
        <v>1124</v>
      </c>
      <c r="F9" s="69" t="s">
        <v>1125</v>
      </c>
      <c r="G9" s="69" t="s">
        <v>1126</v>
      </c>
      <c r="H9" s="69" t="s">
        <v>1127</v>
      </c>
      <c r="I9" s="69" t="s">
        <v>1128</v>
      </c>
      <c r="J9" s="69" t="s">
        <v>1129</v>
      </c>
      <c r="K9" s="69" t="s">
        <v>1130</v>
      </c>
      <c r="L9" s="69" t="s">
        <v>1131</v>
      </c>
      <c r="M9" s="69" t="s">
        <v>1132</v>
      </c>
      <c r="N9" s="69" t="s">
        <v>1133</v>
      </c>
      <c r="O9" s="69" t="s">
        <v>1134</v>
      </c>
      <c r="P9" s="69" t="s">
        <v>68</v>
      </c>
      <c r="Q9" s="69" t="s">
        <v>581</v>
      </c>
    </row>
    <row r="10" spans="1:18">
      <c r="A10" s="230" t="s">
        <v>693</v>
      </c>
      <c r="B10" s="231" t="s">
        <v>1135</v>
      </c>
      <c r="C10" s="232"/>
      <c r="D10" s="232"/>
      <c r="E10" s="233"/>
      <c r="F10" s="233"/>
      <c r="G10" s="233"/>
      <c r="H10" s="233"/>
      <c r="I10" s="233"/>
      <c r="J10" s="233"/>
      <c r="K10" s="233"/>
      <c r="L10" s="233"/>
      <c r="M10" s="233"/>
      <c r="N10" s="233"/>
      <c r="O10" s="233"/>
      <c r="P10" s="233"/>
      <c r="Q10" s="234"/>
    </row>
    <row r="11" spans="1:18">
      <c r="A11" s="230" t="s">
        <v>694</v>
      </c>
      <c r="B11" s="231" t="s">
        <v>1136</v>
      </c>
      <c r="C11" s="232"/>
      <c r="D11" s="116"/>
      <c r="E11" s="233"/>
      <c r="F11" s="233"/>
      <c r="G11" s="233"/>
      <c r="H11" s="233"/>
      <c r="I11" s="233"/>
      <c r="J11" s="233"/>
      <c r="K11" s="233"/>
      <c r="L11" s="233"/>
      <c r="M11" s="233"/>
      <c r="N11" s="233"/>
      <c r="O11" s="233"/>
      <c r="P11" s="233"/>
      <c r="Q11" s="234"/>
    </row>
    <row r="12" spans="1:18">
      <c r="A12" s="230"/>
      <c r="B12" s="231" t="s">
        <v>1137</v>
      </c>
      <c r="C12" s="232"/>
      <c r="D12" s="232"/>
      <c r="E12" s="233"/>
      <c r="F12" s="233"/>
      <c r="G12" s="233"/>
      <c r="H12" s="233"/>
      <c r="I12" s="233"/>
      <c r="J12" s="233"/>
      <c r="K12" s="233"/>
      <c r="L12" s="233"/>
      <c r="M12" s="233"/>
      <c r="N12" s="233"/>
      <c r="O12" s="233"/>
      <c r="P12" s="233"/>
      <c r="Q12" s="234"/>
    </row>
    <row r="13" spans="1:18">
      <c r="A13" s="230" t="s">
        <v>557</v>
      </c>
      <c r="B13" s="231" t="s">
        <v>581</v>
      </c>
      <c r="C13" s="232"/>
      <c r="D13" s="232"/>
      <c r="E13" s="234"/>
      <c r="F13" s="234"/>
      <c r="G13" s="234"/>
      <c r="H13" s="234"/>
      <c r="I13" s="234"/>
      <c r="J13" s="234"/>
      <c r="K13" s="234"/>
      <c r="L13" s="234"/>
      <c r="M13" s="234"/>
      <c r="N13" s="234"/>
      <c r="O13" s="234"/>
      <c r="P13" s="234"/>
      <c r="Q13" s="234"/>
    </row>
    <row r="15" spans="1:18">
      <c r="A15" s="131" t="s">
        <v>547</v>
      </c>
    </row>
    <row r="16" spans="1:18">
      <c r="A16" s="2"/>
    </row>
    <row r="17" spans="1:6">
      <c r="A17" s="130" t="s">
        <v>59</v>
      </c>
    </row>
    <row r="19" spans="1:6">
      <c r="A19" s="238" t="s">
        <v>1521</v>
      </c>
      <c r="B19" s="238"/>
      <c r="C19" s="239"/>
      <c r="D19" s="239"/>
      <c r="E19" s="239"/>
      <c r="F19" s="239"/>
    </row>
    <row r="21" spans="1:6">
      <c r="A21" s="5" t="s">
        <v>1139</v>
      </c>
    </row>
    <row r="23" spans="1:6">
      <c r="A23" s="5" t="s">
        <v>1140</v>
      </c>
    </row>
    <row r="25" spans="1:6">
      <c r="A25" s="5" t="s">
        <v>1141</v>
      </c>
    </row>
    <row r="27" spans="1:6">
      <c r="A27" s="237" t="s">
        <v>1142</v>
      </c>
    </row>
    <row r="29" spans="1:6">
      <c r="A29" s="237" t="s">
        <v>1143</v>
      </c>
    </row>
  </sheetData>
  <mergeCells count="1">
    <mergeCell ref="A8:B9"/>
  </mergeCells>
  <phoneticPr fontId="6" type="noConversion"/>
  <pageMargins left="0.7" right="0.7" top="0.75" bottom="0.75" header="0.3" footer="0.3"/>
  <pageSetup paperSize="9" scale="72" fitToHeight="0" orientation="portrait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FD72A6-25FF-4426-92D0-B2D5CD149469}">
  <sheetPr codeName="Sheet14">
    <tabColor theme="0" tint="-0.249977111117893"/>
    <pageSetUpPr fitToPage="1"/>
  </sheetPr>
  <dimension ref="A1:M55"/>
  <sheetViews>
    <sheetView showGridLines="0" view="pageBreakPreview" zoomScale="85" zoomScaleNormal="100" zoomScaleSheetLayoutView="85" workbookViewId="0">
      <pane xSplit="3" ySplit="12" topLeftCell="D13" activePane="bottomRight" state="frozen"/>
      <selection pane="topRight"/>
      <selection pane="bottomLeft"/>
      <selection pane="bottomRight" activeCell="D13" sqref="D13"/>
    </sheetView>
  </sheetViews>
  <sheetFormatPr defaultColWidth="8.8984375" defaultRowHeight="14.4"/>
  <cols>
    <col min="1" max="1" width="3.8984375" style="138" customWidth="1"/>
    <col min="2" max="2" width="3.19921875" style="138" customWidth="1"/>
    <col min="3" max="3" width="30.19921875" style="138" customWidth="1"/>
    <col min="4" max="8" width="9.59765625" style="138" customWidth="1"/>
    <col min="9" max="9" width="10.09765625" style="138" customWidth="1"/>
    <col min="10" max="16384" width="8.8984375" style="138"/>
  </cols>
  <sheetData>
    <row r="1" spans="1:13" s="241" customFormat="1" ht="25.8">
      <c r="A1" s="240"/>
      <c r="M1" s="139"/>
    </row>
    <row r="5" spans="1:13" ht="27" customHeight="1">
      <c r="A5" s="157" t="s">
        <v>1144</v>
      </c>
    </row>
    <row r="7" spans="1:13" ht="9.75" customHeight="1">
      <c r="A7" s="137"/>
    </row>
    <row r="8" spans="1:13" ht="15" thickBot="1">
      <c r="A8" s="138" t="s">
        <v>1145</v>
      </c>
    </row>
    <row r="9" spans="1:13" ht="15.75" customHeight="1">
      <c r="A9" s="781" t="s">
        <v>172</v>
      </c>
      <c r="B9" s="782"/>
      <c r="C9" s="782"/>
      <c r="D9" s="242" t="s">
        <v>556</v>
      </c>
      <c r="E9" s="243" t="s">
        <v>695</v>
      </c>
      <c r="F9" s="243" t="s">
        <v>696</v>
      </c>
      <c r="G9" s="243" t="s">
        <v>557</v>
      </c>
      <c r="H9" s="244" t="s">
        <v>558</v>
      </c>
      <c r="I9" s="245" t="s">
        <v>559</v>
      </c>
      <c r="J9" s="243" t="s">
        <v>673</v>
      </c>
      <c r="K9" s="243" t="s">
        <v>1146</v>
      </c>
      <c r="L9" s="243" t="s">
        <v>561</v>
      </c>
      <c r="M9" s="244" t="s">
        <v>560</v>
      </c>
    </row>
    <row r="10" spans="1:13" ht="22.5" customHeight="1">
      <c r="A10" s="783"/>
      <c r="B10" s="784"/>
      <c r="C10" s="784"/>
      <c r="D10" s="787" t="s">
        <v>1147</v>
      </c>
      <c r="E10" s="685"/>
      <c r="F10" s="685"/>
      <c r="G10" s="685"/>
      <c r="H10" s="788"/>
      <c r="I10" s="685" t="s">
        <v>1148</v>
      </c>
      <c r="J10" s="685"/>
      <c r="K10" s="685"/>
      <c r="L10" s="685"/>
      <c r="M10" s="788"/>
    </row>
    <row r="11" spans="1:13" ht="22.5" customHeight="1">
      <c r="A11" s="783"/>
      <c r="B11" s="784"/>
      <c r="C11" s="784"/>
      <c r="D11" s="789" t="s">
        <v>1149</v>
      </c>
      <c r="E11" s="684" t="s">
        <v>1150</v>
      </c>
      <c r="F11" s="685"/>
      <c r="G11" s="686"/>
      <c r="H11" s="791" t="s">
        <v>1151</v>
      </c>
      <c r="I11" s="793" t="s">
        <v>1149</v>
      </c>
      <c r="J11" s="684" t="s">
        <v>1150</v>
      </c>
      <c r="K11" s="685"/>
      <c r="L11" s="686"/>
      <c r="M11" s="791" t="s">
        <v>1151</v>
      </c>
    </row>
    <row r="12" spans="1:13" ht="22.5" customHeight="1" thickBot="1">
      <c r="A12" s="785"/>
      <c r="B12" s="786"/>
      <c r="C12" s="786"/>
      <c r="D12" s="790"/>
      <c r="E12" s="246" t="s">
        <v>1152</v>
      </c>
      <c r="F12" s="246" t="s">
        <v>68</v>
      </c>
      <c r="G12" s="246" t="s">
        <v>599</v>
      </c>
      <c r="H12" s="792"/>
      <c r="I12" s="794"/>
      <c r="J12" s="246" t="s">
        <v>1152</v>
      </c>
      <c r="K12" s="246" t="s">
        <v>68</v>
      </c>
      <c r="L12" s="246" t="s">
        <v>599</v>
      </c>
      <c r="M12" s="792"/>
    </row>
    <row r="13" spans="1:13" ht="22.5" customHeight="1">
      <c r="A13" s="242" t="s">
        <v>556</v>
      </c>
      <c r="B13" s="247" t="s">
        <v>1153</v>
      </c>
      <c r="C13" s="248"/>
      <c r="D13" s="249">
        <f>D14-D15+D16-D17-D18-D19-D20-(D21*0.2)</f>
        <v>0</v>
      </c>
      <c r="E13" s="249">
        <f t="shared" ref="E13:F13" si="0">E14-E15+E16-E17-E18-E19-E20-(E21*0.2)</f>
        <v>0</v>
      </c>
      <c r="F13" s="249">
        <f t="shared" si="0"/>
        <v>0</v>
      </c>
      <c r="G13" s="148">
        <f t="shared" ref="G13:G24" si="1">E13+F13</f>
        <v>0</v>
      </c>
      <c r="H13" s="250">
        <f t="shared" ref="H13:H24" si="2">D13+G13</f>
        <v>0</v>
      </c>
      <c r="I13" s="249">
        <f>I14-I15+I16-I17-I18-I19-I20-(I21*0.2)</f>
        <v>0</v>
      </c>
      <c r="J13" s="249">
        <f t="shared" ref="J13:K13" si="3">J14-J15+J16-J17-J18-J19-J20-(J21*0.2)</f>
        <v>0</v>
      </c>
      <c r="K13" s="249">
        <f t="shared" si="3"/>
        <v>0</v>
      </c>
      <c r="L13" s="148">
        <f t="shared" ref="L13:L24" si="4">J13+K13</f>
        <v>0</v>
      </c>
      <c r="M13" s="250">
        <f t="shared" ref="M13:M24" si="5">I13+L13</f>
        <v>0</v>
      </c>
    </row>
    <row r="14" spans="1:13" ht="22.5" customHeight="1">
      <c r="A14" s="251" t="s">
        <v>693</v>
      </c>
      <c r="B14" s="780"/>
      <c r="C14" s="252" t="s">
        <v>1154</v>
      </c>
      <c r="D14" s="253"/>
      <c r="E14" s="148"/>
      <c r="F14" s="148"/>
      <c r="G14" s="148">
        <f t="shared" si="1"/>
        <v>0</v>
      </c>
      <c r="H14" s="250">
        <f t="shared" si="2"/>
        <v>0</v>
      </c>
      <c r="I14" s="253"/>
      <c r="J14" s="148"/>
      <c r="K14" s="148"/>
      <c r="L14" s="148">
        <f t="shared" si="4"/>
        <v>0</v>
      </c>
      <c r="M14" s="250">
        <f t="shared" si="5"/>
        <v>0</v>
      </c>
    </row>
    <row r="15" spans="1:13" ht="22.5" customHeight="1">
      <c r="A15" s="251" t="s">
        <v>694</v>
      </c>
      <c r="B15" s="780"/>
      <c r="C15" s="252" t="s">
        <v>1155</v>
      </c>
      <c r="D15" s="253"/>
      <c r="E15" s="148"/>
      <c r="F15" s="148"/>
      <c r="G15" s="148">
        <f t="shared" si="1"/>
        <v>0</v>
      </c>
      <c r="H15" s="250">
        <f t="shared" si="2"/>
        <v>0</v>
      </c>
      <c r="I15" s="253"/>
      <c r="J15" s="148"/>
      <c r="K15" s="148"/>
      <c r="L15" s="148">
        <f t="shared" si="4"/>
        <v>0</v>
      </c>
      <c r="M15" s="250">
        <f t="shared" si="5"/>
        <v>0</v>
      </c>
    </row>
    <row r="16" spans="1:13" ht="22.5" customHeight="1">
      <c r="A16" s="251" t="s">
        <v>1156</v>
      </c>
      <c r="B16" s="780"/>
      <c r="C16" s="252" t="s">
        <v>1157</v>
      </c>
      <c r="D16" s="253"/>
      <c r="E16" s="148"/>
      <c r="F16" s="148"/>
      <c r="G16" s="148">
        <f t="shared" si="1"/>
        <v>0</v>
      </c>
      <c r="H16" s="250">
        <f t="shared" si="2"/>
        <v>0</v>
      </c>
      <c r="I16" s="253"/>
      <c r="J16" s="148"/>
      <c r="K16" s="148"/>
      <c r="L16" s="148">
        <f t="shared" si="4"/>
        <v>0</v>
      </c>
      <c r="M16" s="250">
        <f t="shared" si="5"/>
        <v>0</v>
      </c>
    </row>
    <row r="17" spans="1:13" ht="22.5" customHeight="1">
      <c r="A17" s="251" t="s">
        <v>752</v>
      </c>
      <c r="B17" s="780"/>
      <c r="C17" s="252" t="s">
        <v>1158</v>
      </c>
      <c r="D17" s="253"/>
      <c r="E17" s="148"/>
      <c r="F17" s="148"/>
      <c r="G17" s="148">
        <f t="shared" si="1"/>
        <v>0</v>
      </c>
      <c r="H17" s="250">
        <f t="shared" si="2"/>
        <v>0</v>
      </c>
      <c r="I17" s="253"/>
      <c r="J17" s="148"/>
      <c r="K17" s="148"/>
      <c r="L17" s="148">
        <f t="shared" si="4"/>
        <v>0</v>
      </c>
      <c r="M17" s="250">
        <f t="shared" si="5"/>
        <v>0</v>
      </c>
    </row>
    <row r="18" spans="1:13" ht="22.5" customHeight="1">
      <c r="A18" s="251" t="s">
        <v>753</v>
      </c>
      <c r="B18" s="780"/>
      <c r="C18" s="252" t="s">
        <v>1159</v>
      </c>
      <c r="D18" s="253"/>
      <c r="E18" s="148"/>
      <c r="F18" s="148"/>
      <c r="G18" s="148">
        <f t="shared" si="1"/>
        <v>0</v>
      </c>
      <c r="H18" s="250">
        <f t="shared" si="2"/>
        <v>0</v>
      </c>
      <c r="I18" s="253"/>
      <c r="J18" s="148"/>
      <c r="K18" s="148"/>
      <c r="L18" s="148">
        <f t="shared" si="4"/>
        <v>0</v>
      </c>
      <c r="M18" s="250">
        <f t="shared" si="5"/>
        <v>0</v>
      </c>
    </row>
    <row r="19" spans="1:13" ht="22.5" customHeight="1">
      <c r="A19" s="251" t="s">
        <v>754</v>
      </c>
      <c r="B19" s="254"/>
      <c r="C19" s="252" t="s">
        <v>1160</v>
      </c>
      <c r="D19" s="253"/>
      <c r="E19" s="148"/>
      <c r="F19" s="148"/>
      <c r="G19" s="148">
        <f t="shared" si="1"/>
        <v>0</v>
      </c>
      <c r="H19" s="250">
        <f t="shared" si="2"/>
        <v>0</v>
      </c>
      <c r="I19" s="253"/>
      <c r="J19" s="148"/>
      <c r="K19" s="148"/>
      <c r="L19" s="148">
        <f t="shared" si="4"/>
        <v>0</v>
      </c>
      <c r="M19" s="250">
        <f t="shared" si="5"/>
        <v>0</v>
      </c>
    </row>
    <row r="20" spans="1:13" ht="22.5" customHeight="1">
      <c r="A20" s="251" t="s">
        <v>755</v>
      </c>
      <c r="B20" s="254"/>
      <c r="C20" s="252" t="s">
        <v>1161</v>
      </c>
      <c r="D20" s="253"/>
      <c r="E20" s="148"/>
      <c r="F20" s="148"/>
      <c r="G20" s="148">
        <f t="shared" si="1"/>
        <v>0</v>
      </c>
      <c r="H20" s="250">
        <f t="shared" si="2"/>
        <v>0</v>
      </c>
      <c r="I20" s="253"/>
      <c r="J20" s="148"/>
      <c r="K20" s="148"/>
      <c r="L20" s="148">
        <f t="shared" si="4"/>
        <v>0</v>
      </c>
      <c r="M20" s="250">
        <f t="shared" si="5"/>
        <v>0</v>
      </c>
    </row>
    <row r="21" spans="1:13" ht="22.5" customHeight="1">
      <c r="A21" s="251" t="s">
        <v>222</v>
      </c>
      <c r="B21" s="254"/>
      <c r="C21" s="252" t="s">
        <v>1162</v>
      </c>
      <c r="D21" s="253"/>
      <c r="E21" s="148"/>
      <c r="F21" s="148"/>
      <c r="G21" s="148">
        <f t="shared" si="1"/>
        <v>0</v>
      </c>
      <c r="H21" s="250">
        <f t="shared" si="2"/>
        <v>0</v>
      </c>
      <c r="I21" s="253"/>
      <c r="J21" s="148"/>
      <c r="K21" s="148"/>
      <c r="L21" s="148">
        <f t="shared" si="4"/>
        <v>0</v>
      </c>
      <c r="M21" s="250">
        <f t="shared" si="5"/>
        <v>0</v>
      </c>
    </row>
    <row r="22" spans="1:13" ht="22.5" customHeight="1">
      <c r="A22" s="251" t="s">
        <v>557</v>
      </c>
      <c r="B22" s="255" t="s">
        <v>1163</v>
      </c>
      <c r="C22" s="256"/>
      <c r="D22" s="253">
        <f>D23-D24</f>
        <v>0</v>
      </c>
      <c r="E22" s="253">
        <f t="shared" ref="E22:F22" si="6">E23-E24</f>
        <v>0</v>
      </c>
      <c r="F22" s="253">
        <f t="shared" si="6"/>
        <v>0</v>
      </c>
      <c r="G22" s="148">
        <f t="shared" si="1"/>
        <v>0</v>
      </c>
      <c r="H22" s="250">
        <f t="shared" si="2"/>
        <v>0</v>
      </c>
      <c r="I22" s="253">
        <f>I23-I24</f>
        <v>0</v>
      </c>
      <c r="J22" s="253">
        <f t="shared" ref="J22:K22" si="7">J23-J24</f>
        <v>0</v>
      </c>
      <c r="K22" s="253">
        <f t="shared" si="7"/>
        <v>0</v>
      </c>
      <c r="L22" s="148">
        <f t="shared" si="4"/>
        <v>0</v>
      </c>
      <c r="M22" s="250">
        <f t="shared" si="5"/>
        <v>0</v>
      </c>
    </row>
    <row r="23" spans="1:13" ht="22.5" customHeight="1">
      <c r="A23" s="257" t="s">
        <v>695</v>
      </c>
      <c r="B23" s="258"/>
      <c r="C23" s="259" t="s">
        <v>1164</v>
      </c>
      <c r="D23" s="260"/>
      <c r="E23" s="261"/>
      <c r="F23" s="261"/>
      <c r="G23" s="148">
        <f t="shared" si="1"/>
        <v>0</v>
      </c>
      <c r="H23" s="250">
        <f t="shared" si="2"/>
        <v>0</v>
      </c>
      <c r="I23" s="260"/>
      <c r="J23" s="261"/>
      <c r="K23" s="261"/>
      <c r="L23" s="148">
        <f t="shared" si="4"/>
        <v>0</v>
      </c>
      <c r="M23" s="250">
        <f t="shared" si="5"/>
        <v>0</v>
      </c>
    </row>
    <row r="24" spans="1:13" ht="22.5" customHeight="1">
      <c r="A24" s="257" t="s">
        <v>696</v>
      </c>
      <c r="B24" s="258"/>
      <c r="C24" s="259" t="s">
        <v>1165</v>
      </c>
      <c r="D24" s="260"/>
      <c r="E24" s="261"/>
      <c r="F24" s="261"/>
      <c r="G24" s="148">
        <f t="shared" si="1"/>
        <v>0</v>
      </c>
      <c r="H24" s="250">
        <f t="shared" si="2"/>
        <v>0</v>
      </c>
      <c r="I24" s="260"/>
      <c r="J24" s="261"/>
      <c r="K24" s="261"/>
      <c r="L24" s="148">
        <f t="shared" si="4"/>
        <v>0</v>
      </c>
      <c r="M24" s="250">
        <f t="shared" si="5"/>
        <v>0</v>
      </c>
    </row>
    <row r="25" spans="1:13" ht="22.5" customHeight="1" thickBot="1">
      <c r="A25" s="262" t="s">
        <v>559</v>
      </c>
      <c r="B25" s="263" t="s">
        <v>1166</v>
      </c>
      <c r="C25" s="264"/>
      <c r="D25" s="265" t="e">
        <f t="shared" ref="D25:M25" si="8">D13/(D22)</f>
        <v>#DIV/0!</v>
      </c>
      <c r="E25" s="263" t="e">
        <f t="shared" si="8"/>
        <v>#DIV/0!</v>
      </c>
      <c r="F25" s="263" t="e">
        <f t="shared" si="8"/>
        <v>#DIV/0!</v>
      </c>
      <c r="G25" s="263" t="e">
        <f t="shared" si="8"/>
        <v>#DIV/0!</v>
      </c>
      <c r="H25" s="266" t="e">
        <f t="shared" si="8"/>
        <v>#DIV/0!</v>
      </c>
      <c r="I25" s="267" t="e">
        <f t="shared" si="8"/>
        <v>#DIV/0!</v>
      </c>
      <c r="J25" s="263" t="e">
        <f t="shared" si="8"/>
        <v>#DIV/0!</v>
      </c>
      <c r="K25" s="263" t="e">
        <f t="shared" si="8"/>
        <v>#DIV/0!</v>
      </c>
      <c r="L25" s="263" t="e">
        <f t="shared" si="8"/>
        <v>#DIV/0!</v>
      </c>
      <c r="M25" s="266" t="e">
        <f t="shared" si="8"/>
        <v>#DIV/0!</v>
      </c>
    </row>
    <row r="27" spans="1:13">
      <c r="A27" s="268" t="s">
        <v>547</v>
      </c>
    </row>
    <row r="28" spans="1:13" ht="9.75" customHeight="1"/>
    <row r="29" spans="1:13">
      <c r="A29" s="269" t="s">
        <v>59</v>
      </c>
    </row>
    <row r="30" spans="1:13">
      <c r="A30" s="30"/>
    </row>
    <row r="31" spans="1:13">
      <c r="A31" s="30" t="s">
        <v>1167</v>
      </c>
    </row>
    <row r="32" spans="1:13">
      <c r="A32" s="30" t="s">
        <v>1168</v>
      </c>
    </row>
    <row r="33" spans="1:1">
      <c r="A33" s="30" t="s">
        <v>1169</v>
      </c>
    </row>
    <row r="34" spans="1:1">
      <c r="A34" s="30" t="s">
        <v>1170</v>
      </c>
    </row>
    <row r="35" spans="1:1">
      <c r="A35" s="30" t="s">
        <v>1171</v>
      </c>
    </row>
    <row r="36" spans="1:1" ht="9.75" customHeight="1">
      <c r="A36" s="30" t="s">
        <v>1172</v>
      </c>
    </row>
    <row r="37" spans="1:1">
      <c r="A37" s="30" t="s">
        <v>1173</v>
      </c>
    </row>
    <row r="38" spans="1:1">
      <c r="A38" s="30" t="s">
        <v>1174</v>
      </c>
    </row>
    <row r="39" spans="1:1">
      <c r="A39" s="30"/>
    </row>
    <row r="40" spans="1:1">
      <c r="A40" s="30" t="s">
        <v>1175</v>
      </c>
    </row>
    <row r="41" spans="1:1">
      <c r="A41" s="30" t="s">
        <v>1176</v>
      </c>
    </row>
    <row r="42" spans="1:1">
      <c r="A42" s="30"/>
    </row>
    <row r="43" spans="1:1">
      <c r="A43" s="138" t="s">
        <v>1177</v>
      </c>
    </row>
    <row r="44" spans="1:1">
      <c r="A44" s="138" t="s">
        <v>1178</v>
      </c>
    </row>
    <row r="46" spans="1:1">
      <c r="A46" s="138" t="s">
        <v>1179</v>
      </c>
    </row>
    <row r="47" spans="1:1">
      <c r="A47" s="138" t="s">
        <v>1180</v>
      </c>
    </row>
    <row r="49" spans="1:7">
      <c r="A49" s="138" t="s">
        <v>1181</v>
      </c>
    </row>
    <row r="51" spans="1:7">
      <c r="A51" s="270"/>
      <c r="B51" s="270"/>
      <c r="C51" s="270"/>
      <c r="D51" s="270"/>
      <c r="E51" s="270"/>
      <c r="F51" s="270"/>
      <c r="G51" s="270"/>
    </row>
    <row r="53" spans="1:7">
      <c r="A53" s="149" t="s">
        <v>173</v>
      </c>
    </row>
    <row r="55" spans="1:7">
      <c r="A55" s="138" t="s">
        <v>1182</v>
      </c>
    </row>
  </sheetData>
  <mergeCells count="10">
    <mergeCell ref="B14:B18"/>
    <mergeCell ref="A9:C12"/>
    <mergeCell ref="D10:H10"/>
    <mergeCell ref="I10:M10"/>
    <mergeCell ref="D11:D12"/>
    <mergeCell ref="E11:G11"/>
    <mergeCell ref="H11:H12"/>
    <mergeCell ref="I11:I12"/>
    <mergeCell ref="J11:L11"/>
    <mergeCell ref="M11:M12"/>
  </mergeCells>
  <phoneticPr fontId="6" type="noConversion"/>
  <pageMargins left="0.7" right="0.7" top="0.75" bottom="0.75" header="0.3" footer="0.3"/>
  <pageSetup paperSize="9" scale="58" fitToHeight="0" orientation="portrait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D7E3BC-5E93-49AE-BC7A-705A79038B46}">
  <sheetPr codeName="Sheet15">
    <tabColor rgb="FFFFFF00"/>
    <pageSetUpPr fitToPage="1"/>
  </sheetPr>
  <dimension ref="A1:N56"/>
  <sheetViews>
    <sheetView showGridLines="0" view="pageBreakPreview" zoomScale="85" zoomScaleNormal="100" zoomScaleSheetLayoutView="85" workbookViewId="0">
      <pane xSplit="3" ySplit="12" topLeftCell="D13" activePane="bottomRight" state="frozen"/>
      <selection pane="topRight"/>
      <selection pane="bottomLeft"/>
      <selection pane="bottomRight" activeCell="C5" sqref="C5"/>
    </sheetView>
  </sheetViews>
  <sheetFormatPr defaultColWidth="8.8984375" defaultRowHeight="14.4"/>
  <cols>
    <col min="1" max="1" width="3.8984375" style="138" customWidth="1"/>
    <col min="2" max="2" width="3.19921875" style="138" customWidth="1"/>
    <col min="3" max="3" width="30.19921875" style="138" customWidth="1"/>
    <col min="4" max="8" width="9.59765625" style="138" customWidth="1"/>
    <col min="9" max="9" width="10.09765625" style="138" customWidth="1"/>
    <col min="10" max="16384" width="8.8984375" style="138"/>
  </cols>
  <sheetData>
    <row r="1" spans="1:14" s="241" customFormat="1">
      <c r="M1" s="139"/>
      <c r="N1" s="532"/>
    </row>
    <row r="2" spans="1:14">
      <c r="N2" s="149"/>
    </row>
    <row r="5" spans="1:14" ht="27" customHeight="1">
      <c r="A5" s="157" t="s">
        <v>1144</v>
      </c>
    </row>
    <row r="7" spans="1:14" ht="9.75" customHeight="1">
      <c r="A7" s="137"/>
    </row>
    <row r="8" spans="1:14">
      <c r="A8" s="138" t="s">
        <v>1145</v>
      </c>
    </row>
    <row r="9" spans="1:14" ht="15.75" customHeight="1">
      <c r="A9" s="682" t="s">
        <v>172</v>
      </c>
      <c r="B9" s="682"/>
      <c r="C9" s="682"/>
      <c r="D9" s="561" t="s">
        <v>556</v>
      </c>
      <c r="E9" s="561" t="s">
        <v>695</v>
      </c>
      <c r="F9" s="561" t="s">
        <v>696</v>
      </c>
      <c r="G9" s="561" t="s">
        <v>557</v>
      </c>
      <c r="H9" s="561" t="s">
        <v>558</v>
      </c>
      <c r="I9" s="561" t="s">
        <v>559</v>
      </c>
      <c r="J9" s="561" t="s">
        <v>673</v>
      </c>
      <c r="K9" s="561" t="s">
        <v>1146</v>
      </c>
      <c r="L9" s="561" t="s">
        <v>561</v>
      </c>
      <c r="M9" s="561" t="s">
        <v>560</v>
      </c>
    </row>
    <row r="10" spans="1:14" ht="22.5" customHeight="1">
      <c r="A10" s="682"/>
      <c r="B10" s="682"/>
      <c r="C10" s="682"/>
      <c r="D10" s="682" t="s">
        <v>1147</v>
      </c>
      <c r="E10" s="682"/>
      <c r="F10" s="682"/>
      <c r="G10" s="682"/>
      <c r="H10" s="682"/>
      <c r="I10" s="682" t="s">
        <v>1148</v>
      </c>
      <c r="J10" s="682"/>
      <c r="K10" s="682"/>
      <c r="L10" s="682"/>
      <c r="M10" s="682"/>
    </row>
    <row r="11" spans="1:14" ht="22.5" customHeight="1">
      <c r="A11" s="682"/>
      <c r="B11" s="682"/>
      <c r="C11" s="682"/>
      <c r="D11" s="689" t="s">
        <v>1149</v>
      </c>
      <c r="E11" s="682" t="s">
        <v>1150</v>
      </c>
      <c r="F11" s="682"/>
      <c r="G11" s="682"/>
      <c r="H11" s="689" t="s">
        <v>1151</v>
      </c>
      <c r="I11" s="689" t="s">
        <v>1149</v>
      </c>
      <c r="J11" s="682" t="s">
        <v>1150</v>
      </c>
      <c r="K11" s="682"/>
      <c r="L11" s="682"/>
      <c r="M11" s="689" t="s">
        <v>1151</v>
      </c>
    </row>
    <row r="12" spans="1:14" ht="22.5" customHeight="1">
      <c r="A12" s="682"/>
      <c r="B12" s="682"/>
      <c r="C12" s="682"/>
      <c r="D12" s="689"/>
      <c r="E12" s="561" t="s">
        <v>1152</v>
      </c>
      <c r="F12" s="561" t="s">
        <v>68</v>
      </c>
      <c r="G12" s="561" t="s">
        <v>599</v>
      </c>
      <c r="H12" s="689"/>
      <c r="I12" s="689"/>
      <c r="J12" s="561" t="s">
        <v>1152</v>
      </c>
      <c r="K12" s="561" t="s">
        <v>68</v>
      </c>
      <c r="L12" s="561" t="s">
        <v>599</v>
      </c>
      <c r="M12" s="689"/>
    </row>
    <row r="13" spans="1:14" ht="22.5" customHeight="1">
      <c r="A13" s="561" t="s">
        <v>556</v>
      </c>
      <c r="B13" s="569" t="s">
        <v>1153</v>
      </c>
      <c r="C13" s="569"/>
      <c r="D13" s="148">
        <f>D14-D15+D16-D17-D18-D19-D20-(D21*0.2)</f>
        <v>0</v>
      </c>
      <c r="E13" s="148">
        <f t="shared" ref="E13:F13" si="0">E14-E15+E16-E17-E18-E19-E20-(E21*0.2)</f>
        <v>0</v>
      </c>
      <c r="F13" s="148">
        <f t="shared" si="0"/>
        <v>0</v>
      </c>
      <c r="G13" s="148">
        <f t="shared" ref="G13:G24" si="1">E13+F13</f>
        <v>0</v>
      </c>
      <c r="H13" s="148">
        <f t="shared" ref="H13:H24" si="2">D13+G13</f>
        <v>0</v>
      </c>
      <c r="I13" s="148">
        <f>I14-I15+I16-I17-I18-I19-I20-(I21*0.2)</f>
        <v>0</v>
      </c>
      <c r="J13" s="148">
        <f t="shared" ref="J13:K13" si="3">J14-J15+J16-J17-J18-J19-J20-(J21*0.2)</f>
        <v>0</v>
      </c>
      <c r="K13" s="148">
        <f t="shared" si="3"/>
        <v>0</v>
      </c>
      <c r="L13" s="148">
        <f t="shared" ref="L13:L24" si="4">J13+K13</f>
        <v>0</v>
      </c>
      <c r="M13" s="148">
        <f t="shared" ref="M13:M24" si="5">I13+L13</f>
        <v>0</v>
      </c>
    </row>
    <row r="14" spans="1:14" ht="22.5" customHeight="1">
      <c r="A14" s="561" t="s">
        <v>693</v>
      </c>
      <c r="B14" s="682"/>
      <c r="C14" s="569" t="s">
        <v>1154</v>
      </c>
      <c r="D14" s="148"/>
      <c r="E14" s="148"/>
      <c r="F14" s="148"/>
      <c r="G14" s="148">
        <f t="shared" si="1"/>
        <v>0</v>
      </c>
      <c r="H14" s="148">
        <f t="shared" si="2"/>
        <v>0</v>
      </c>
      <c r="I14" s="148"/>
      <c r="J14" s="148"/>
      <c r="K14" s="148"/>
      <c r="L14" s="148">
        <f t="shared" si="4"/>
        <v>0</v>
      </c>
      <c r="M14" s="148">
        <f t="shared" si="5"/>
        <v>0</v>
      </c>
    </row>
    <row r="15" spans="1:14" ht="22.5" customHeight="1">
      <c r="A15" s="561" t="s">
        <v>694</v>
      </c>
      <c r="B15" s="682"/>
      <c r="C15" s="569" t="s">
        <v>1155</v>
      </c>
      <c r="D15" s="148"/>
      <c r="E15" s="148"/>
      <c r="F15" s="148"/>
      <c r="G15" s="148">
        <f t="shared" si="1"/>
        <v>0</v>
      </c>
      <c r="H15" s="148">
        <f t="shared" si="2"/>
        <v>0</v>
      </c>
      <c r="I15" s="148"/>
      <c r="J15" s="148"/>
      <c r="K15" s="148"/>
      <c r="L15" s="148">
        <f t="shared" si="4"/>
        <v>0</v>
      </c>
      <c r="M15" s="148">
        <f t="shared" si="5"/>
        <v>0</v>
      </c>
    </row>
    <row r="16" spans="1:14" ht="22.5" customHeight="1">
      <c r="A16" s="561" t="s">
        <v>1156</v>
      </c>
      <c r="B16" s="682"/>
      <c r="C16" s="569" t="s">
        <v>1157</v>
      </c>
      <c r="D16" s="148"/>
      <c r="E16" s="148"/>
      <c r="F16" s="148"/>
      <c r="G16" s="148">
        <f t="shared" si="1"/>
        <v>0</v>
      </c>
      <c r="H16" s="148">
        <f t="shared" si="2"/>
        <v>0</v>
      </c>
      <c r="I16" s="148"/>
      <c r="J16" s="148"/>
      <c r="K16" s="148"/>
      <c r="L16" s="148">
        <f t="shared" si="4"/>
        <v>0</v>
      </c>
      <c r="M16" s="148">
        <f t="shared" si="5"/>
        <v>0</v>
      </c>
    </row>
    <row r="17" spans="1:13" ht="22.5" customHeight="1">
      <c r="A17" s="561" t="s">
        <v>752</v>
      </c>
      <c r="B17" s="682"/>
      <c r="C17" s="569" t="s">
        <v>1158</v>
      </c>
      <c r="D17" s="148"/>
      <c r="E17" s="148"/>
      <c r="F17" s="148"/>
      <c r="G17" s="148">
        <f t="shared" si="1"/>
        <v>0</v>
      </c>
      <c r="H17" s="148">
        <f t="shared" si="2"/>
        <v>0</v>
      </c>
      <c r="I17" s="148"/>
      <c r="J17" s="148"/>
      <c r="K17" s="148"/>
      <c r="L17" s="148">
        <f t="shared" si="4"/>
        <v>0</v>
      </c>
      <c r="M17" s="148">
        <f t="shared" si="5"/>
        <v>0</v>
      </c>
    </row>
    <row r="18" spans="1:13" ht="22.5" customHeight="1">
      <c r="A18" s="561" t="s">
        <v>753</v>
      </c>
      <c r="B18" s="682"/>
      <c r="C18" s="569" t="s">
        <v>1159</v>
      </c>
      <c r="D18" s="148"/>
      <c r="E18" s="148"/>
      <c r="F18" s="148"/>
      <c r="G18" s="148">
        <f t="shared" si="1"/>
        <v>0</v>
      </c>
      <c r="H18" s="148">
        <f t="shared" si="2"/>
        <v>0</v>
      </c>
      <c r="I18" s="148"/>
      <c r="J18" s="148"/>
      <c r="K18" s="148"/>
      <c r="L18" s="148">
        <f t="shared" si="4"/>
        <v>0</v>
      </c>
      <c r="M18" s="148">
        <f t="shared" si="5"/>
        <v>0</v>
      </c>
    </row>
    <row r="19" spans="1:13" ht="22.5" customHeight="1">
      <c r="A19" s="561" t="s">
        <v>754</v>
      </c>
      <c r="B19" s="561"/>
      <c r="C19" s="569" t="s">
        <v>1160</v>
      </c>
      <c r="D19" s="148"/>
      <c r="E19" s="148"/>
      <c r="F19" s="148"/>
      <c r="G19" s="148">
        <f t="shared" si="1"/>
        <v>0</v>
      </c>
      <c r="H19" s="148">
        <f t="shared" si="2"/>
        <v>0</v>
      </c>
      <c r="I19" s="148"/>
      <c r="J19" s="148"/>
      <c r="K19" s="148"/>
      <c r="L19" s="148">
        <f t="shared" si="4"/>
        <v>0</v>
      </c>
      <c r="M19" s="148">
        <f t="shared" si="5"/>
        <v>0</v>
      </c>
    </row>
    <row r="20" spans="1:13" ht="22.5" customHeight="1">
      <c r="A20" s="561" t="s">
        <v>755</v>
      </c>
      <c r="B20" s="561"/>
      <c r="C20" s="569" t="s">
        <v>1161</v>
      </c>
      <c r="D20" s="148"/>
      <c r="E20" s="148"/>
      <c r="F20" s="148"/>
      <c r="G20" s="148">
        <f t="shared" si="1"/>
        <v>0</v>
      </c>
      <c r="H20" s="148">
        <f t="shared" si="2"/>
        <v>0</v>
      </c>
      <c r="I20" s="148"/>
      <c r="J20" s="148"/>
      <c r="K20" s="148"/>
      <c r="L20" s="148">
        <f t="shared" si="4"/>
        <v>0</v>
      </c>
      <c r="M20" s="148">
        <f t="shared" si="5"/>
        <v>0</v>
      </c>
    </row>
    <row r="21" spans="1:13" ht="22.5" customHeight="1">
      <c r="A21" s="561" t="s">
        <v>222</v>
      </c>
      <c r="B21" s="561"/>
      <c r="C21" s="569" t="s">
        <v>1162</v>
      </c>
      <c r="D21" s="148"/>
      <c r="E21" s="148"/>
      <c r="F21" s="148"/>
      <c r="G21" s="148">
        <f t="shared" si="1"/>
        <v>0</v>
      </c>
      <c r="H21" s="148">
        <f t="shared" si="2"/>
        <v>0</v>
      </c>
      <c r="I21" s="148"/>
      <c r="J21" s="148"/>
      <c r="K21" s="148"/>
      <c r="L21" s="148">
        <f t="shared" si="4"/>
        <v>0</v>
      </c>
      <c r="M21" s="148">
        <f t="shared" si="5"/>
        <v>0</v>
      </c>
    </row>
    <row r="22" spans="1:13" ht="22.5" customHeight="1">
      <c r="A22" s="561" t="s">
        <v>557</v>
      </c>
      <c r="B22" s="569" t="s">
        <v>1163</v>
      </c>
      <c r="C22" s="569"/>
      <c r="D22" s="148">
        <f>D23-D24</f>
        <v>0</v>
      </c>
      <c r="E22" s="148">
        <f t="shared" ref="E22:F22" si="6">E23-E24</f>
        <v>0</v>
      </c>
      <c r="F22" s="148">
        <f t="shared" si="6"/>
        <v>0</v>
      </c>
      <c r="G22" s="148">
        <f t="shared" si="1"/>
        <v>0</v>
      </c>
      <c r="H22" s="148">
        <f t="shared" si="2"/>
        <v>0</v>
      </c>
      <c r="I22" s="148">
        <f>I23-I24</f>
        <v>0</v>
      </c>
      <c r="J22" s="148">
        <f t="shared" ref="J22:K22" si="7">J23-J24</f>
        <v>0</v>
      </c>
      <c r="K22" s="148">
        <f t="shared" si="7"/>
        <v>0</v>
      </c>
      <c r="L22" s="148">
        <f t="shared" si="4"/>
        <v>0</v>
      </c>
      <c r="M22" s="148">
        <f t="shared" si="5"/>
        <v>0</v>
      </c>
    </row>
    <row r="23" spans="1:13" ht="22.5" customHeight="1">
      <c r="A23" s="561" t="s">
        <v>695</v>
      </c>
      <c r="B23" s="569"/>
      <c r="C23" s="569" t="s">
        <v>1164</v>
      </c>
      <c r="D23" s="148"/>
      <c r="E23" s="148"/>
      <c r="F23" s="148"/>
      <c r="G23" s="148">
        <f t="shared" si="1"/>
        <v>0</v>
      </c>
      <c r="H23" s="148">
        <f t="shared" si="2"/>
        <v>0</v>
      </c>
      <c r="I23" s="148"/>
      <c r="J23" s="148"/>
      <c r="K23" s="148"/>
      <c r="L23" s="148">
        <f t="shared" si="4"/>
        <v>0</v>
      </c>
      <c r="M23" s="148">
        <f t="shared" si="5"/>
        <v>0</v>
      </c>
    </row>
    <row r="24" spans="1:13" ht="22.5" customHeight="1">
      <c r="A24" s="561" t="s">
        <v>696</v>
      </c>
      <c r="B24" s="569"/>
      <c r="C24" s="569" t="s">
        <v>1165</v>
      </c>
      <c r="D24" s="148"/>
      <c r="E24" s="148"/>
      <c r="F24" s="148"/>
      <c r="G24" s="148">
        <f t="shared" si="1"/>
        <v>0</v>
      </c>
      <c r="H24" s="148">
        <f t="shared" si="2"/>
        <v>0</v>
      </c>
      <c r="I24" s="148"/>
      <c r="J24" s="148"/>
      <c r="K24" s="148"/>
      <c r="L24" s="148">
        <f t="shared" si="4"/>
        <v>0</v>
      </c>
      <c r="M24" s="148">
        <f t="shared" si="5"/>
        <v>0</v>
      </c>
    </row>
    <row r="25" spans="1:13" ht="22.5" customHeight="1">
      <c r="A25" s="561" t="s">
        <v>559</v>
      </c>
      <c r="B25" s="569" t="s">
        <v>1166</v>
      </c>
      <c r="C25" s="569"/>
      <c r="D25" s="569" t="e">
        <f t="shared" ref="D25:M25" si="8">D13/(D22)</f>
        <v>#DIV/0!</v>
      </c>
      <c r="E25" s="569" t="e">
        <f t="shared" si="8"/>
        <v>#DIV/0!</v>
      </c>
      <c r="F25" s="569" t="e">
        <f t="shared" si="8"/>
        <v>#DIV/0!</v>
      </c>
      <c r="G25" s="569" t="e">
        <f t="shared" si="8"/>
        <v>#DIV/0!</v>
      </c>
      <c r="H25" s="569" t="e">
        <f t="shared" si="8"/>
        <v>#DIV/0!</v>
      </c>
      <c r="I25" s="569" t="e">
        <f t="shared" si="8"/>
        <v>#DIV/0!</v>
      </c>
      <c r="J25" s="569" t="e">
        <f t="shared" si="8"/>
        <v>#DIV/0!</v>
      </c>
      <c r="K25" s="569" t="e">
        <f t="shared" si="8"/>
        <v>#DIV/0!</v>
      </c>
      <c r="L25" s="569" t="e">
        <f t="shared" si="8"/>
        <v>#DIV/0!</v>
      </c>
      <c r="M25" s="569" t="e">
        <f t="shared" si="8"/>
        <v>#DIV/0!</v>
      </c>
    </row>
    <row r="27" spans="1:13">
      <c r="A27" s="268" t="s">
        <v>547</v>
      </c>
    </row>
    <row r="28" spans="1:13" ht="9.75" customHeight="1"/>
    <row r="29" spans="1:13">
      <c r="A29" s="269" t="s">
        <v>59</v>
      </c>
    </row>
    <row r="30" spans="1:13">
      <c r="A30" s="30"/>
    </row>
    <row r="31" spans="1:13">
      <c r="A31" s="30" t="s">
        <v>1167</v>
      </c>
    </row>
    <row r="32" spans="1:13">
      <c r="A32" s="30" t="s">
        <v>1168</v>
      </c>
    </row>
    <row r="33" spans="1:1">
      <c r="A33" s="30" t="s">
        <v>1169</v>
      </c>
    </row>
    <row r="34" spans="1:1">
      <c r="A34" s="30" t="s">
        <v>1170</v>
      </c>
    </row>
    <row r="35" spans="1:1">
      <c r="A35" s="30" t="s">
        <v>1171</v>
      </c>
    </row>
    <row r="36" spans="1:1" ht="9.75" customHeight="1">
      <c r="A36" s="30" t="s">
        <v>1172</v>
      </c>
    </row>
    <row r="37" spans="1:1">
      <c r="A37" s="30" t="s">
        <v>1173</v>
      </c>
    </row>
    <row r="38" spans="1:1">
      <c r="A38" s="30" t="s">
        <v>1174</v>
      </c>
    </row>
    <row r="39" spans="1:1">
      <c r="A39" s="30"/>
    </row>
    <row r="40" spans="1:1">
      <c r="A40" s="30" t="s">
        <v>1175</v>
      </c>
    </row>
    <row r="41" spans="1:1">
      <c r="A41" s="30" t="s">
        <v>1176</v>
      </c>
    </row>
    <row r="42" spans="1:1">
      <c r="A42" s="30"/>
    </row>
    <row r="43" spans="1:1">
      <c r="A43" s="138" t="s">
        <v>1177</v>
      </c>
    </row>
    <row r="44" spans="1:1">
      <c r="A44" s="138" t="s">
        <v>1178</v>
      </c>
    </row>
    <row r="46" spans="1:1">
      <c r="A46" s="138" t="s">
        <v>1179</v>
      </c>
    </row>
    <row r="47" spans="1:1">
      <c r="A47" s="138" t="s">
        <v>1180</v>
      </c>
    </row>
    <row r="49" spans="1:7">
      <c r="A49" s="138" t="s">
        <v>1181</v>
      </c>
    </row>
    <row r="51" spans="1:7">
      <c r="A51" s="442" t="s">
        <v>1762</v>
      </c>
      <c r="B51" s="272"/>
      <c r="C51" s="272"/>
      <c r="D51" s="272"/>
      <c r="E51" s="272"/>
      <c r="F51" s="272"/>
      <c r="G51" s="272"/>
    </row>
    <row r="53" spans="1:7">
      <c r="A53" s="149" t="s">
        <v>173</v>
      </c>
    </row>
    <row r="55" spans="1:7">
      <c r="A55" s="138" t="s">
        <v>1182</v>
      </c>
    </row>
    <row r="56" spans="1:7">
      <c r="A56" s="442" t="s">
        <v>1760</v>
      </c>
      <c r="B56" s="271"/>
      <c r="C56" s="271"/>
      <c r="D56" s="271"/>
    </row>
  </sheetData>
  <mergeCells count="10">
    <mergeCell ref="B14:B18"/>
    <mergeCell ref="A9:C12"/>
    <mergeCell ref="D10:H10"/>
    <mergeCell ref="I10:M10"/>
    <mergeCell ref="D11:D12"/>
    <mergeCell ref="E11:G11"/>
    <mergeCell ref="H11:H12"/>
    <mergeCell ref="I11:I12"/>
    <mergeCell ref="J11:L11"/>
    <mergeCell ref="M11:M12"/>
  </mergeCells>
  <phoneticPr fontId="6" type="noConversion"/>
  <pageMargins left="0.7" right="0.7" top="0.75" bottom="0.75" header="0.3" footer="0.3"/>
  <pageSetup paperSize="9" scale="58" fitToHeight="0" orientation="portrait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70A514-8BDF-4587-95A5-0F0E95EDA657}">
  <sheetPr codeName="Sheet16">
    <tabColor theme="0" tint="-0.249977111117893"/>
  </sheetPr>
  <dimension ref="A1:E2296"/>
  <sheetViews>
    <sheetView showGridLines="0" view="pageBreakPreview" zoomScaleNormal="100" zoomScaleSheetLayoutView="100" workbookViewId="0">
      <selection activeCell="A13" sqref="A13"/>
    </sheetView>
  </sheetViews>
  <sheetFormatPr defaultColWidth="8.8984375" defaultRowHeight="14.4"/>
  <cols>
    <col min="1" max="1" width="3.296875" style="14" bestFit="1" customWidth="1"/>
    <col min="2" max="2" width="8" style="14" bestFit="1" customWidth="1"/>
    <col min="3" max="3" width="15.296875" style="14" bestFit="1" customWidth="1"/>
    <col min="4" max="4" width="38.69921875" style="14" customWidth="1"/>
    <col min="5" max="5" width="15.19921875" style="14" customWidth="1"/>
    <col min="6" max="16384" width="8.8984375" style="14"/>
  </cols>
  <sheetData>
    <row r="1" spans="1:5">
      <c r="B1" s="392"/>
      <c r="C1" s="392"/>
      <c r="D1" s="392"/>
    </row>
    <row r="2" spans="1:5">
      <c r="B2" s="392"/>
      <c r="C2" s="392"/>
      <c r="D2" s="392"/>
    </row>
    <row r="3" spans="1:5">
      <c r="B3" s="392"/>
      <c r="C3" s="392"/>
      <c r="D3" s="392"/>
    </row>
    <row r="4" spans="1:5">
      <c r="B4" s="392"/>
      <c r="C4" s="392"/>
      <c r="D4" s="392"/>
    </row>
    <row r="5" spans="1:5" s="16" customFormat="1" ht="20.399999999999999">
      <c r="A5" s="16" t="s">
        <v>1437</v>
      </c>
    </row>
    <row r="6" spans="1:5" s="16" customFormat="1" ht="20.399999999999999"/>
    <row r="7" spans="1:5" s="16" customFormat="1" ht="20.399999999999999"/>
    <row r="8" spans="1:5">
      <c r="A8" s="801" t="s">
        <v>555</v>
      </c>
      <c r="B8" s="801"/>
      <c r="C8" s="801"/>
      <c r="D8" s="393" t="s">
        <v>556</v>
      </c>
    </row>
    <row r="9" spans="1:5">
      <c r="A9" s="393" t="s">
        <v>693</v>
      </c>
      <c r="B9" s="797" t="s">
        <v>1438</v>
      </c>
      <c r="C9" s="394" t="s">
        <v>1439</v>
      </c>
      <c r="D9" s="395"/>
      <c r="E9" s="396"/>
    </row>
    <row r="10" spans="1:5">
      <c r="A10" s="393" t="s">
        <v>694</v>
      </c>
      <c r="B10" s="797"/>
      <c r="C10" s="394" t="s">
        <v>1440</v>
      </c>
      <c r="D10" s="395"/>
      <c r="E10" s="396"/>
    </row>
    <row r="11" spans="1:5">
      <c r="A11" s="393" t="s">
        <v>557</v>
      </c>
      <c r="B11" s="795" t="s">
        <v>1441</v>
      </c>
      <c r="C11" s="796"/>
      <c r="D11" s="395"/>
      <c r="E11" s="396"/>
    </row>
    <row r="12" spans="1:5">
      <c r="A12" s="393" t="s">
        <v>657</v>
      </c>
      <c r="B12" s="797" t="s">
        <v>1442</v>
      </c>
      <c r="C12" s="397" t="s">
        <v>1443</v>
      </c>
      <c r="D12" s="398"/>
      <c r="E12" s="44"/>
    </row>
    <row r="13" spans="1:5">
      <c r="A13" s="393" t="s">
        <v>697</v>
      </c>
      <c r="B13" s="797"/>
      <c r="C13" s="397" t="s">
        <v>1444</v>
      </c>
      <c r="D13" s="398"/>
      <c r="E13" s="44"/>
    </row>
    <row r="14" spans="1:5">
      <c r="A14" s="393" t="s">
        <v>1314</v>
      </c>
      <c r="B14" s="797"/>
      <c r="C14" s="397" t="s">
        <v>1445</v>
      </c>
      <c r="D14" s="398"/>
      <c r="E14" s="44"/>
    </row>
    <row r="15" spans="1:5">
      <c r="A15" s="393" t="s">
        <v>559</v>
      </c>
      <c r="B15" s="795" t="s">
        <v>1446</v>
      </c>
      <c r="C15" s="796"/>
      <c r="D15" s="398"/>
      <c r="E15" s="396"/>
    </row>
    <row r="16" spans="1:5">
      <c r="A16" s="393" t="s">
        <v>561</v>
      </c>
      <c r="B16" s="795" t="s">
        <v>1447</v>
      </c>
      <c r="C16" s="796"/>
      <c r="D16" s="395"/>
      <c r="E16" s="396"/>
    </row>
    <row r="17" spans="1:5">
      <c r="A17" s="393" t="s">
        <v>560</v>
      </c>
      <c r="B17" s="795" t="s">
        <v>1448</v>
      </c>
      <c r="C17" s="796"/>
      <c r="D17" s="395"/>
      <c r="E17" s="396"/>
    </row>
    <row r="18" spans="1:5">
      <c r="A18" s="393" t="s">
        <v>170</v>
      </c>
      <c r="B18" s="795" t="s">
        <v>1449</v>
      </c>
      <c r="C18" s="796"/>
      <c r="D18" s="395"/>
      <c r="E18" s="396"/>
    </row>
    <row r="19" spans="1:5" ht="13.5" customHeight="1">
      <c r="A19" s="393" t="s">
        <v>902</v>
      </c>
      <c r="B19" s="797" t="s">
        <v>1450</v>
      </c>
      <c r="C19" s="397" t="s">
        <v>1451</v>
      </c>
      <c r="D19" s="399"/>
      <c r="E19" s="396"/>
    </row>
    <row r="20" spans="1:5" ht="13.5" customHeight="1">
      <c r="A20" s="393" t="s">
        <v>905</v>
      </c>
      <c r="B20" s="797"/>
      <c r="C20" s="394" t="s">
        <v>1452</v>
      </c>
      <c r="D20" s="395"/>
      <c r="E20" s="396"/>
    </row>
    <row r="21" spans="1:5" ht="13.5" customHeight="1">
      <c r="A21" s="393" t="s">
        <v>1453</v>
      </c>
      <c r="B21" s="797"/>
      <c r="C21" s="394" t="s">
        <v>1454</v>
      </c>
      <c r="D21" s="395"/>
      <c r="E21" s="396"/>
    </row>
    <row r="22" spans="1:5">
      <c r="A22" s="393" t="s">
        <v>1030</v>
      </c>
      <c r="B22" s="798" t="s">
        <v>1455</v>
      </c>
      <c r="C22" s="400" t="s">
        <v>1456</v>
      </c>
      <c r="D22" s="398"/>
      <c r="E22" s="44"/>
    </row>
    <row r="23" spans="1:5" ht="13.5" customHeight="1">
      <c r="A23" s="393" t="s">
        <v>1040</v>
      </c>
      <c r="B23" s="799"/>
      <c r="C23" s="400" t="s">
        <v>1457</v>
      </c>
      <c r="D23" s="398"/>
      <c r="E23" s="44"/>
    </row>
    <row r="24" spans="1:5">
      <c r="A24" s="393" t="s">
        <v>1458</v>
      </c>
      <c r="B24" s="799"/>
      <c r="C24" s="400" t="s">
        <v>1459</v>
      </c>
      <c r="D24" s="398"/>
      <c r="E24" s="44"/>
    </row>
    <row r="25" spans="1:5">
      <c r="A25" s="393" t="s">
        <v>1460</v>
      </c>
      <c r="B25" s="799"/>
      <c r="C25" s="400" t="s">
        <v>1461</v>
      </c>
      <c r="D25" s="398"/>
      <c r="E25" s="44"/>
    </row>
    <row r="26" spans="1:5">
      <c r="A26" s="393" t="s">
        <v>1462</v>
      </c>
      <c r="B26" s="799"/>
      <c r="C26" s="400" t="s">
        <v>1463</v>
      </c>
      <c r="D26" s="398"/>
      <c r="E26" s="44"/>
    </row>
    <row r="27" spans="1:5">
      <c r="A27" s="393" t="s">
        <v>1464</v>
      </c>
      <c r="B27" s="799"/>
      <c r="C27" s="400" t="s">
        <v>1465</v>
      </c>
      <c r="D27" s="398"/>
      <c r="E27" s="44"/>
    </row>
    <row r="28" spans="1:5">
      <c r="A28" s="393" t="s">
        <v>1466</v>
      </c>
      <c r="B28" s="799"/>
      <c r="C28" s="400" t="s">
        <v>1467</v>
      </c>
      <c r="D28" s="398"/>
      <c r="E28" s="44"/>
    </row>
    <row r="29" spans="1:5">
      <c r="A29" s="393" t="s">
        <v>1468</v>
      </c>
      <c r="B29" s="800"/>
      <c r="C29" s="400" t="s">
        <v>1469</v>
      </c>
      <c r="D29" s="398"/>
      <c r="E29" s="44"/>
    </row>
    <row r="31" spans="1:5">
      <c r="A31" s="37" t="s">
        <v>777</v>
      </c>
    </row>
    <row r="33" spans="1:1">
      <c r="A33" s="401" t="s">
        <v>59</v>
      </c>
    </row>
    <row r="34" spans="1:1">
      <c r="A34" s="58"/>
    </row>
    <row r="35" spans="1:1">
      <c r="A35" s="44" t="s">
        <v>1470</v>
      </c>
    </row>
    <row r="36" spans="1:1">
      <c r="A36" s="14" t="s">
        <v>1471</v>
      </c>
    </row>
    <row r="38" spans="1:1">
      <c r="A38" s="14" t="s">
        <v>1472</v>
      </c>
    </row>
    <row r="40" spans="1:1">
      <c r="A40" s="402" t="s">
        <v>1473</v>
      </c>
    </row>
    <row r="42" spans="1:1">
      <c r="A42" s="403" t="s">
        <v>1474</v>
      </c>
    </row>
    <row r="43" spans="1:1">
      <c r="A43" s="402" t="s">
        <v>1475</v>
      </c>
    </row>
    <row r="44" spans="1:1">
      <c r="A44" s="404"/>
    </row>
    <row r="45" spans="1:1">
      <c r="A45"/>
    </row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101" ht="20.25" customHeight="1"/>
    <row r="210" ht="13.5" customHeight="1"/>
    <row r="213" ht="14.25" customHeight="1"/>
    <row r="214" ht="14.25" customHeight="1"/>
    <row r="216" ht="14.25" customHeight="1"/>
    <row r="218" ht="14.25" customHeight="1"/>
    <row r="223" ht="14.25" customHeight="1"/>
    <row r="225" ht="14.25" customHeight="1"/>
    <row r="226" ht="14.25" customHeight="1"/>
    <row r="227" ht="27.75" customHeight="1"/>
    <row r="229" ht="14.25" customHeight="1"/>
    <row r="231" ht="14.25" customHeight="1"/>
    <row r="232" ht="14.25" customHeight="1"/>
    <row r="233" ht="14.25" customHeight="1"/>
    <row r="235" ht="14.25" customHeight="1"/>
    <row r="533" ht="20.25" customHeight="1"/>
    <row r="535" ht="13.5" customHeight="1"/>
    <row r="537" ht="22.5" customHeight="1"/>
    <row r="541" ht="19.5" customHeight="1"/>
    <row r="543" ht="20.25" customHeight="1"/>
    <row r="544" ht="19.5" customHeight="1"/>
    <row r="546" ht="19.5" customHeight="1"/>
    <row r="550" ht="19.5" customHeight="1"/>
    <row r="556" ht="19.5" customHeight="1"/>
    <row r="560" ht="13.5" customHeight="1"/>
    <row r="563" ht="22.5" customHeight="1"/>
    <row r="567" ht="19.5" customHeight="1"/>
    <row r="569" ht="19.5" customHeight="1"/>
    <row r="571" ht="20.25" customHeight="1"/>
    <row r="572" ht="20.25" customHeight="1"/>
    <row r="578" ht="20.25" customHeight="1"/>
    <row r="627" ht="20.25" customHeight="1"/>
    <row r="643" ht="20.25" customHeight="1"/>
    <row r="659" ht="20.25" customHeight="1"/>
    <row r="660" ht="20.25" customHeight="1"/>
    <row r="664" ht="20.25" customHeight="1"/>
    <row r="670" ht="20.25" customHeight="1"/>
    <row r="671" ht="19.5" customHeight="1"/>
    <row r="673" ht="20.25" customHeight="1"/>
    <row r="674" ht="20.25" customHeight="1"/>
    <row r="675" ht="20.25" customHeight="1"/>
    <row r="676" ht="20.25" customHeight="1"/>
    <row r="689" ht="19.5" customHeight="1"/>
    <row r="692" ht="14.25" customHeight="1"/>
    <row r="694" ht="19.5" customHeight="1"/>
    <row r="696" ht="19.5" customHeight="1"/>
    <row r="698" ht="19.5" customHeight="1"/>
    <row r="700" ht="19.5" customHeight="1"/>
    <row r="702" ht="19.5" customHeight="1"/>
    <row r="704" ht="19.5" customHeight="1"/>
    <row r="706" ht="19.5" customHeight="1"/>
    <row r="708" ht="19.5" customHeight="1"/>
    <row r="710" ht="22.5" customHeight="1"/>
    <row r="712" ht="19.5" customHeight="1"/>
    <row r="714" ht="19.5" customHeight="1"/>
    <row r="716" ht="19.5" customHeight="1"/>
    <row r="718" ht="19.5" customHeight="1"/>
    <row r="724" ht="20.25" customHeight="1"/>
    <row r="725" ht="22.5" customHeight="1"/>
    <row r="746" ht="20.25" customHeight="1"/>
    <row r="752" ht="20.25" customHeight="1"/>
    <row r="756" ht="14.25" customHeight="1"/>
    <row r="759" ht="24.75" customHeight="1"/>
    <row r="764" ht="19.5" customHeight="1"/>
    <row r="772" ht="20.25" customHeight="1"/>
    <row r="780" ht="39" customHeight="1"/>
    <row r="802" ht="22.5" customHeight="1"/>
    <row r="803" ht="14.25" customHeight="1"/>
    <row r="805" ht="20.25" customHeight="1"/>
    <row r="813" ht="20.25" customHeight="1"/>
    <row r="816" ht="19.5" customHeight="1"/>
    <row r="817" ht="13.5" customHeight="1"/>
    <row r="821" ht="19.5" customHeight="1"/>
    <row r="824" ht="20.25" customHeight="1"/>
    <row r="825" ht="20.25" customHeight="1"/>
    <row r="845" ht="20.25" customHeight="1"/>
    <row r="853" ht="20.25" customHeight="1"/>
    <row r="859" ht="20.25" customHeight="1"/>
    <row r="879" ht="20.25" customHeight="1"/>
    <row r="915" ht="22.5" customHeight="1"/>
    <row r="920" ht="20.25" customHeight="1"/>
    <row r="974" ht="20.25" customHeight="1"/>
    <row r="976" ht="13.5" customHeight="1"/>
    <row r="993" ht="20.25" customHeight="1"/>
    <row r="995" ht="20.25" customHeight="1"/>
    <row r="996" ht="20.25" customHeight="1"/>
    <row r="998" ht="20.25" customHeight="1"/>
    <row r="1000" ht="20.25" customHeight="1"/>
    <row r="1013" ht="20.25" customHeight="1"/>
    <row r="1030" ht="20.25" customHeight="1"/>
    <row r="1032" ht="20.25" customHeight="1"/>
    <row r="1033" ht="20.25" customHeight="1"/>
    <row r="1035" ht="22.5" customHeight="1"/>
    <row r="1048" ht="19.5" customHeight="1"/>
    <row r="1049" ht="14.25" customHeight="1"/>
    <row r="1084" ht="14.25" customHeight="1"/>
    <row r="1098" ht="19.5" customHeight="1"/>
    <row r="1134" ht="20.25" customHeight="1"/>
    <row r="1142" ht="20.25" customHeight="1"/>
    <row r="1148" ht="20.25" customHeight="1"/>
    <row r="1167" ht="19.5" customHeight="1"/>
    <row r="1168" ht="13.5" customHeight="1"/>
    <row r="1170" ht="14.25" customHeight="1"/>
    <row r="1172" ht="13.5" customHeight="1"/>
    <row r="1192" ht="19.5" customHeight="1"/>
    <row r="1193" ht="14.25" customHeight="1"/>
    <row r="1195" ht="13.5" customHeight="1"/>
    <row r="1216" ht="19.5" customHeight="1"/>
    <row r="1217" ht="14.25" customHeight="1"/>
    <row r="1234" ht="19.5" customHeight="1"/>
    <row r="1242" ht="19.5" customHeight="1"/>
    <row r="1273" ht="20.25" customHeight="1"/>
    <row r="1275" ht="19.5" customHeight="1"/>
    <row r="1276" ht="14.25" customHeight="1"/>
    <row r="1284" ht="19.5" customHeight="1"/>
    <row r="1285" ht="14.25" customHeight="1"/>
    <row r="1296" ht="19.5" customHeight="1"/>
    <row r="1299" ht="14.25" customHeight="1"/>
    <row r="1328" ht="24" customHeight="1"/>
    <row r="1331" ht="13.5" customHeight="1"/>
    <row r="1334" ht="20.25" customHeight="1"/>
    <row r="1335" ht="22.5" customHeight="1"/>
    <row r="1369" ht="19.5" customHeight="1"/>
    <row r="1370" ht="14.25" customHeight="1"/>
    <row r="1380" ht="39" customHeight="1"/>
    <row r="1388" ht="19.5" customHeight="1"/>
    <row r="1389" ht="13.5" customHeight="1"/>
    <row r="1391" ht="14.25" customHeight="1"/>
    <row r="1410" ht="19.5" customHeight="1"/>
    <row r="1423" ht="19.5" customHeight="1"/>
    <row r="1431" ht="13.5" customHeight="1"/>
    <row r="1437" ht="20.25" customHeight="1"/>
    <row r="1492" ht="14.25" customHeight="1"/>
    <row r="1493" ht="13.5" customHeight="1"/>
    <row r="1531" ht="14.25" customHeight="1"/>
    <row r="1566" ht="14.25" customHeight="1"/>
    <row r="1568" ht="13.5" customHeight="1"/>
    <row r="1585" ht="19.5" customHeight="1"/>
    <row r="1586" ht="14.25" customHeight="1"/>
    <row r="1588" ht="13.5" customHeight="1"/>
    <row r="1608" ht="14.25" customHeight="1"/>
    <row r="1610" ht="13.5" customHeight="1"/>
    <row r="1627" ht="19.5" customHeight="1"/>
    <row r="1628" ht="14.25" customHeight="1"/>
    <row r="1630" ht="13.5" customHeight="1"/>
    <row r="1653" ht="13.5" customHeight="1"/>
    <row r="1656" ht="13.5" customHeight="1"/>
    <row r="1659" ht="13.5" customHeight="1"/>
    <row r="1662" ht="13.5" customHeight="1"/>
    <row r="1665" ht="13.5" customHeight="1"/>
    <row r="1668" ht="13.5" customHeight="1"/>
    <row r="1673" ht="20.25" customHeight="1"/>
    <row r="1699" ht="39" customHeight="1"/>
    <row r="1710" ht="22.5" customHeight="1"/>
    <row r="1711" ht="13.5" customHeight="1"/>
    <row r="1713" ht="19.5" customHeight="1"/>
    <row r="1716" ht="14.25" customHeight="1"/>
    <row r="1718" ht="13.5" customHeight="1"/>
    <row r="1778" ht="13.5" customHeight="1"/>
    <row r="1779" ht="14.25" customHeight="1"/>
    <row r="1791" ht="13.5" customHeight="1"/>
    <row r="1792" ht="14.25" customHeight="1"/>
    <row r="1859" ht="19.5" customHeight="1"/>
    <row r="1860" ht="14.25" customHeight="1"/>
    <row r="1880" ht="20.25" customHeight="1"/>
    <row r="1896" ht="20.25" customHeight="1"/>
    <row r="1904" ht="21" customHeight="1"/>
    <row r="1906" ht="14.25" customHeight="1"/>
    <row r="1907" ht="14.25" customHeight="1"/>
    <row r="1908" ht="14.25" customHeight="1"/>
    <row r="1909" ht="14.25" customHeight="1"/>
    <row r="1910" ht="14.25" customHeight="1"/>
    <row r="1911" ht="14.25" customHeight="1"/>
    <row r="1923" ht="20.25" customHeight="1"/>
    <row r="1939" ht="20.25" customHeight="1"/>
    <row r="1949" ht="14.25" customHeight="1"/>
    <row r="1950" ht="14.25" customHeight="1"/>
    <row r="1959" ht="13.5" customHeight="1"/>
    <row r="1984" ht="14.25" customHeight="1"/>
    <row r="1985" ht="14.25" customHeight="1"/>
    <row r="1986" ht="14.25" customHeight="1"/>
    <row r="2028" ht="13.5" customHeight="1"/>
    <row r="2032" ht="13.5" customHeight="1"/>
    <row r="2055" ht="20.25" customHeight="1"/>
    <row r="2068" ht="20.25" customHeight="1"/>
    <row r="2069" ht="20.25" customHeight="1"/>
    <row r="2070" ht="20.25" customHeight="1"/>
    <row r="2072" ht="20.25" customHeight="1"/>
    <row r="2074" ht="20.25" customHeight="1"/>
    <row r="2075" ht="20.25" customHeight="1"/>
    <row r="2089" ht="20.25" customHeight="1"/>
    <row r="2093" ht="20.25" customHeight="1"/>
    <row r="2105" ht="20.25" customHeight="1"/>
    <row r="2106" ht="20.25" customHeight="1"/>
    <row r="2111" ht="20.25" customHeight="1"/>
    <row r="2127" ht="20.25" customHeight="1"/>
    <row r="2142" ht="20.25" customHeight="1"/>
    <row r="2167" ht="13.5" customHeight="1"/>
    <row r="2261" ht="13.5" customHeight="1"/>
    <row r="2269" ht="19.5" customHeight="1"/>
    <row r="2295" ht="19.5" customHeight="1"/>
    <row r="2296" ht="13.5" customHeight="1"/>
  </sheetData>
  <mergeCells count="10">
    <mergeCell ref="B17:C17"/>
    <mergeCell ref="B18:C18"/>
    <mergeCell ref="B19:B21"/>
    <mergeCell ref="B22:B29"/>
    <mergeCell ref="A8:C8"/>
    <mergeCell ref="B9:B10"/>
    <mergeCell ref="B11:C11"/>
    <mergeCell ref="B12:B14"/>
    <mergeCell ref="B15:C15"/>
    <mergeCell ref="B16:C16"/>
  </mergeCells>
  <phoneticPr fontId="6" type="noConversion"/>
  <pageMargins left="0.16" right="0.16" top="0.49" bottom="1" header="0.5" footer="0.5"/>
  <pageSetup paperSize="9" scale="83" orientation="portrait" horizontalDpi="300" verticalDpi="300" r:id="rId1"/>
  <headerFooter alignWithMargins="0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737981-4F24-43D3-8456-25E7D18F36EE}">
  <sheetPr codeName="Sheet17">
    <tabColor rgb="FFFFFF00"/>
  </sheetPr>
  <dimension ref="A1:E2297"/>
  <sheetViews>
    <sheetView showGridLines="0" view="pageBreakPreview" zoomScaleNormal="100" zoomScaleSheetLayoutView="100" workbookViewId="0"/>
  </sheetViews>
  <sheetFormatPr defaultColWidth="8.8984375" defaultRowHeight="14.4"/>
  <cols>
    <col min="1" max="1" width="7.296875" style="14" customWidth="1"/>
    <col min="2" max="2" width="11.69921875" style="14" customWidth="1"/>
    <col min="3" max="3" width="19.09765625" style="14" customWidth="1"/>
    <col min="4" max="4" width="38.69921875" style="14" customWidth="1"/>
    <col min="5" max="5" width="15.19921875" style="14" customWidth="1"/>
    <col min="6" max="16384" width="8.8984375" style="14"/>
  </cols>
  <sheetData>
    <row r="1" spans="1:5">
      <c r="A1" s="520"/>
      <c r="B1" s="392"/>
      <c r="C1" s="392"/>
      <c r="D1" s="392"/>
    </row>
    <row r="2" spans="1:5">
      <c r="B2" s="392"/>
      <c r="C2" s="392"/>
      <c r="D2" s="392"/>
    </row>
    <row r="3" spans="1:5">
      <c r="B3" s="392"/>
      <c r="C3" s="392"/>
      <c r="D3" s="392"/>
    </row>
    <row r="4" spans="1:5">
      <c r="B4" s="392"/>
      <c r="C4" s="392"/>
      <c r="D4" s="392"/>
    </row>
    <row r="5" spans="1:5" s="16" customFormat="1" ht="20.399999999999999">
      <c r="A5" s="16" t="s">
        <v>1437</v>
      </c>
    </row>
    <row r="6" spans="1:5" s="16" customFormat="1" ht="20.399999999999999"/>
    <row r="7" spans="1:5" s="16" customFormat="1" ht="20.399999999999999"/>
    <row r="8" spans="1:5">
      <c r="A8" s="801" t="s">
        <v>555</v>
      </c>
      <c r="B8" s="801"/>
      <c r="C8" s="801"/>
      <c r="D8" s="393" t="s">
        <v>556</v>
      </c>
    </row>
    <row r="9" spans="1:5">
      <c r="A9" s="393" t="s">
        <v>693</v>
      </c>
      <c r="B9" s="797" t="s">
        <v>1438</v>
      </c>
      <c r="C9" s="394" t="s">
        <v>1439</v>
      </c>
      <c r="D9" s="395"/>
      <c r="E9" s="396"/>
    </row>
    <row r="10" spans="1:5">
      <c r="A10" s="393" t="s">
        <v>694</v>
      </c>
      <c r="B10" s="797"/>
      <c r="C10" s="394" t="s">
        <v>1440</v>
      </c>
      <c r="D10" s="395"/>
      <c r="E10" s="396"/>
    </row>
    <row r="11" spans="1:5">
      <c r="A11" s="393" t="s">
        <v>557</v>
      </c>
      <c r="B11" s="795" t="s">
        <v>1441</v>
      </c>
      <c r="C11" s="796"/>
      <c r="D11" s="395"/>
      <c r="E11" s="396"/>
    </row>
    <row r="12" spans="1:5">
      <c r="A12" s="393" t="s">
        <v>657</v>
      </c>
      <c r="B12" s="797" t="s">
        <v>1442</v>
      </c>
      <c r="C12" s="397" t="s">
        <v>1443</v>
      </c>
      <c r="D12" s="398"/>
      <c r="E12" s="44"/>
    </row>
    <row r="13" spans="1:5">
      <c r="A13" s="393" t="s">
        <v>697</v>
      </c>
      <c r="B13" s="797"/>
      <c r="C13" s="397" t="s">
        <v>1444</v>
      </c>
      <c r="D13" s="398"/>
      <c r="E13" s="44"/>
    </row>
    <row r="14" spans="1:5">
      <c r="A14" s="393" t="s">
        <v>1314</v>
      </c>
      <c r="B14" s="797"/>
      <c r="C14" s="397" t="s">
        <v>1445</v>
      </c>
      <c r="D14" s="398"/>
      <c r="E14" s="44"/>
    </row>
    <row r="15" spans="1:5" ht="28.8">
      <c r="A15" s="447" t="s">
        <v>1315</v>
      </c>
      <c r="B15" s="448" t="s">
        <v>1650</v>
      </c>
      <c r="C15" s="412"/>
      <c r="D15" s="413"/>
      <c r="E15" s="44"/>
    </row>
    <row r="16" spans="1:5">
      <c r="A16" s="393" t="s">
        <v>559</v>
      </c>
      <c r="B16" s="795" t="s">
        <v>1446</v>
      </c>
      <c r="C16" s="796"/>
      <c r="D16" s="398"/>
      <c r="E16" s="396"/>
    </row>
    <row r="17" spans="1:5">
      <c r="A17" s="393" t="s">
        <v>561</v>
      </c>
      <c r="B17" s="795" t="s">
        <v>1447</v>
      </c>
      <c r="C17" s="796"/>
      <c r="D17" s="395"/>
      <c r="E17" s="396"/>
    </row>
    <row r="18" spans="1:5">
      <c r="A18" s="393" t="s">
        <v>560</v>
      </c>
      <c r="B18" s="795" t="s">
        <v>1448</v>
      </c>
      <c r="C18" s="796"/>
      <c r="D18" s="395"/>
      <c r="E18" s="396"/>
    </row>
    <row r="19" spans="1:5">
      <c r="A19" s="393" t="s">
        <v>170</v>
      </c>
      <c r="B19" s="795" t="s">
        <v>1449</v>
      </c>
      <c r="C19" s="796"/>
      <c r="D19" s="395"/>
      <c r="E19" s="396"/>
    </row>
    <row r="20" spans="1:5" ht="13.5" customHeight="1">
      <c r="A20" s="393" t="s">
        <v>902</v>
      </c>
      <c r="B20" s="797" t="s">
        <v>1450</v>
      </c>
      <c r="C20" s="397" t="s">
        <v>1451</v>
      </c>
      <c r="D20" s="399"/>
      <c r="E20" s="396"/>
    </row>
    <row r="21" spans="1:5" ht="13.5" customHeight="1">
      <c r="A21" s="393" t="s">
        <v>905</v>
      </c>
      <c r="B21" s="797"/>
      <c r="C21" s="394" t="s">
        <v>1452</v>
      </c>
      <c r="D21" s="395"/>
      <c r="E21" s="396"/>
    </row>
    <row r="22" spans="1:5" ht="13.5" customHeight="1">
      <c r="A22" s="393" t="s">
        <v>1453</v>
      </c>
      <c r="B22" s="797"/>
      <c r="C22" s="394" t="s">
        <v>1454</v>
      </c>
      <c r="D22" s="395"/>
      <c r="E22" s="396"/>
    </row>
    <row r="23" spans="1:5">
      <c r="A23" s="393" t="s">
        <v>1030</v>
      </c>
      <c r="B23" s="798" t="s">
        <v>1455</v>
      </c>
      <c r="C23" s="400" t="s">
        <v>1456</v>
      </c>
      <c r="D23" s="398"/>
      <c r="E23" s="44"/>
    </row>
    <row r="24" spans="1:5" ht="13.5" customHeight="1">
      <c r="A24" s="393" t="s">
        <v>1040</v>
      </c>
      <c r="B24" s="799"/>
      <c r="C24" s="400" t="s">
        <v>1457</v>
      </c>
      <c r="D24" s="398"/>
      <c r="E24" s="44"/>
    </row>
    <row r="25" spans="1:5">
      <c r="A25" s="393" t="s">
        <v>1458</v>
      </c>
      <c r="B25" s="799"/>
      <c r="C25" s="400" t="s">
        <v>1459</v>
      </c>
      <c r="D25" s="398"/>
      <c r="E25" s="44"/>
    </row>
    <row r="26" spans="1:5">
      <c r="A26" s="393" t="s">
        <v>1460</v>
      </c>
      <c r="B26" s="799"/>
      <c r="C26" s="400" t="s">
        <v>1461</v>
      </c>
      <c r="D26" s="398"/>
      <c r="E26" s="44"/>
    </row>
    <row r="27" spans="1:5">
      <c r="A27" s="393" t="s">
        <v>1462</v>
      </c>
      <c r="B27" s="799"/>
      <c r="C27" s="400" t="s">
        <v>1463</v>
      </c>
      <c r="D27" s="398"/>
      <c r="E27" s="44"/>
    </row>
    <row r="28" spans="1:5">
      <c r="A28" s="393" t="s">
        <v>1464</v>
      </c>
      <c r="B28" s="799"/>
      <c r="C28" s="400" t="s">
        <v>1465</v>
      </c>
      <c r="D28" s="398"/>
      <c r="E28" s="44"/>
    </row>
    <row r="29" spans="1:5">
      <c r="A29" s="393" t="s">
        <v>1466</v>
      </c>
      <c r="B29" s="799"/>
      <c r="C29" s="400" t="s">
        <v>1467</v>
      </c>
      <c r="D29" s="398"/>
      <c r="E29" s="44"/>
    </row>
    <row r="30" spans="1:5">
      <c r="A30" s="393" t="s">
        <v>1468</v>
      </c>
      <c r="B30" s="800"/>
      <c r="C30" s="400" t="s">
        <v>1469</v>
      </c>
      <c r="D30" s="398"/>
      <c r="E30" s="44"/>
    </row>
    <row r="32" spans="1:5">
      <c r="A32" s="37" t="s">
        <v>777</v>
      </c>
    </row>
    <row r="34" spans="1:3">
      <c r="A34" s="401" t="s">
        <v>59</v>
      </c>
    </row>
    <row r="35" spans="1:3">
      <c r="A35" s="58"/>
    </row>
    <row r="36" spans="1:3">
      <c r="A36" s="44" t="s">
        <v>1470</v>
      </c>
    </row>
    <row r="37" spans="1:3">
      <c r="A37" s="14" t="s">
        <v>1471</v>
      </c>
    </row>
    <row r="39" spans="1:3">
      <c r="A39" s="14" t="s">
        <v>1472</v>
      </c>
    </row>
    <row r="41" spans="1:3">
      <c r="A41" s="402" t="s">
        <v>1473</v>
      </c>
    </row>
    <row r="43" spans="1:3">
      <c r="A43" s="403" t="s">
        <v>1474</v>
      </c>
    </row>
    <row r="44" spans="1:3">
      <c r="A44" s="402" t="s">
        <v>1475</v>
      </c>
    </row>
    <row r="45" spans="1:3">
      <c r="A45" s="446" t="s">
        <v>1759</v>
      </c>
      <c r="B45" s="422"/>
      <c r="C45" s="422"/>
    </row>
    <row r="46" spans="1:3">
      <c r="A46"/>
    </row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102" ht="20.25" customHeight="1"/>
    <row r="211" ht="13.5" customHeight="1"/>
    <row r="214" ht="14.25" customHeight="1"/>
    <row r="215" ht="14.25" customHeight="1"/>
    <row r="217" ht="14.25" customHeight="1"/>
    <row r="219" ht="14.25" customHeight="1"/>
    <row r="224" ht="14.25" customHeight="1"/>
    <row r="226" ht="14.25" customHeight="1"/>
    <row r="227" ht="14.25" customHeight="1"/>
    <row r="228" ht="27.75" customHeight="1"/>
    <row r="230" ht="14.25" customHeight="1"/>
    <row r="232" ht="14.25" customHeight="1"/>
    <row r="233" ht="14.25" customHeight="1"/>
    <row r="234" ht="14.25" customHeight="1"/>
    <row r="236" ht="14.25" customHeight="1"/>
    <row r="534" ht="20.25" customHeight="1"/>
    <row r="536" ht="13.5" customHeight="1"/>
    <row r="538" ht="22.5" customHeight="1"/>
    <row r="542" ht="19.5" customHeight="1"/>
    <row r="544" ht="20.25" customHeight="1"/>
    <row r="545" ht="19.5" customHeight="1"/>
    <row r="547" ht="19.5" customHeight="1"/>
    <row r="551" ht="19.5" customHeight="1"/>
    <row r="557" ht="19.5" customHeight="1"/>
    <row r="561" ht="13.5" customHeight="1"/>
    <row r="564" ht="22.5" customHeight="1"/>
    <row r="568" ht="19.5" customHeight="1"/>
    <row r="570" ht="19.5" customHeight="1"/>
    <row r="572" ht="20.25" customHeight="1"/>
    <row r="573" ht="20.25" customHeight="1"/>
    <row r="579" ht="20.25" customHeight="1"/>
    <row r="628" ht="20.25" customHeight="1"/>
    <row r="644" ht="20.25" customHeight="1"/>
    <row r="660" ht="20.25" customHeight="1"/>
    <row r="661" ht="20.25" customHeight="1"/>
    <row r="665" ht="20.25" customHeight="1"/>
    <row r="671" ht="20.25" customHeight="1"/>
    <row r="672" ht="19.5" customHeight="1"/>
    <row r="674" ht="20.25" customHeight="1"/>
    <row r="675" ht="20.25" customHeight="1"/>
    <row r="676" ht="20.25" customHeight="1"/>
    <row r="677" ht="20.25" customHeight="1"/>
    <row r="690" ht="19.5" customHeight="1"/>
    <row r="693" ht="14.25" customHeight="1"/>
    <row r="695" ht="19.5" customHeight="1"/>
    <row r="697" ht="19.5" customHeight="1"/>
    <row r="699" ht="19.5" customHeight="1"/>
    <row r="701" ht="19.5" customHeight="1"/>
    <row r="703" ht="19.5" customHeight="1"/>
    <row r="705" ht="19.5" customHeight="1"/>
    <row r="707" ht="19.5" customHeight="1"/>
    <row r="709" ht="19.5" customHeight="1"/>
    <row r="711" ht="22.5" customHeight="1"/>
    <row r="713" ht="19.5" customHeight="1"/>
    <row r="715" ht="19.5" customHeight="1"/>
    <row r="717" ht="19.5" customHeight="1"/>
    <row r="719" ht="19.5" customHeight="1"/>
    <row r="725" ht="20.25" customHeight="1"/>
    <row r="726" ht="22.5" customHeight="1"/>
    <row r="747" ht="20.25" customHeight="1"/>
    <row r="753" ht="20.25" customHeight="1"/>
    <row r="757" ht="14.25" customHeight="1"/>
    <row r="760" ht="24.75" customHeight="1"/>
    <row r="765" ht="19.5" customHeight="1"/>
    <row r="773" ht="20.25" customHeight="1"/>
    <row r="781" ht="39" customHeight="1"/>
    <row r="803" ht="22.5" customHeight="1"/>
    <row r="804" ht="14.25" customHeight="1"/>
    <row r="806" ht="20.25" customHeight="1"/>
    <row r="814" ht="20.25" customHeight="1"/>
    <row r="817" ht="19.5" customHeight="1"/>
    <row r="818" ht="13.5" customHeight="1"/>
    <row r="822" ht="19.5" customHeight="1"/>
    <row r="825" ht="20.25" customHeight="1"/>
    <row r="826" ht="20.25" customHeight="1"/>
    <row r="846" ht="20.25" customHeight="1"/>
    <row r="854" ht="20.25" customHeight="1"/>
    <row r="860" ht="20.25" customHeight="1"/>
    <row r="880" ht="20.25" customHeight="1"/>
    <row r="916" ht="22.5" customHeight="1"/>
    <row r="921" ht="20.25" customHeight="1"/>
    <row r="975" ht="20.25" customHeight="1"/>
    <row r="977" ht="13.5" customHeight="1"/>
    <row r="994" ht="20.25" customHeight="1"/>
    <row r="996" ht="20.25" customHeight="1"/>
    <row r="997" ht="20.25" customHeight="1"/>
    <row r="999" ht="20.25" customHeight="1"/>
    <row r="1001" ht="20.25" customHeight="1"/>
    <row r="1014" ht="20.25" customHeight="1"/>
    <row r="1031" ht="20.25" customHeight="1"/>
    <row r="1033" ht="20.25" customHeight="1"/>
    <row r="1034" ht="20.25" customHeight="1"/>
    <row r="1036" ht="22.5" customHeight="1"/>
    <row r="1049" ht="19.5" customHeight="1"/>
    <row r="1050" ht="14.25" customHeight="1"/>
    <row r="1085" ht="14.25" customHeight="1"/>
    <row r="1099" ht="19.5" customHeight="1"/>
    <row r="1135" ht="20.25" customHeight="1"/>
    <row r="1143" ht="20.25" customHeight="1"/>
    <row r="1149" ht="20.25" customHeight="1"/>
    <row r="1168" ht="19.5" customHeight="1"/>
    <row r="1169" ht="13.5" customHeight="1"/>
    <row r="1171" ht="14.25" customHeight="1"/>
    <row r="1173" ht="13.5" customHeight="1"/>
    <row r="1193" ht="19.5" customHeight="1"/>
    <row r="1194" ht="14.25" customHeight="1"/>
    <row r="1196" ht="13.5" customHeight="1"/>
    <row r="1217" ht="19.5" customHeight="1"/>
    <row r="1218" ht="14.25" customHeight="1"/>
    <row r="1235" ht="19.5" customHeight="1"/>
    <row r="1243" ht="19.5" customHeight="1"/>
    <row r="1274" ht="20.25" customHeight="1"/>
    <row r="1276" ht="19.5" customHeight="1"/>
    <row r="1277" ht="14.25" customHeight="1"/>
    <row r="1285" ht="19.5" customHeight="1"/>
    <row r="1286" ht="14.25" customHeight="1"/>
    <row r="1297" ht="19.5" customHeight="1"/>
    <row r="1300" ht="14.25" customHeight="1"/>
    <row r="1329" ht="24" customHeight="1"/>
    <row r="1332" ht="13.5" customHeight="1"/>
    <row r="1335" ht="20.25" customHeight="1"/>
    <row r="1336" ht="22.5" customHeight="1"/>
    <row r="1370" ht="19.5" customHeight="1"/>
    <row r="1371" ht="14.25" customHeight="1"/>
    <row r="1381" ht="39" customHeight="1"/>
    <row r="1389" ht="19.5" customHeight="1"/>
    <row r="1390" ht="13.5" customHeight="1"/>
    <row r="1392" ht="14.25" customHeight="1"/>
    <row r="1411" ht="19.5" customHeight="1"/>
    <row r="1424" ht="19.5" customHeight="1"/>
    <row r="1432" ht="13.5" customHeight="1"/>
    <row r="1438" ht="20.25" customHeight="1"/>
    <row r="1493" ht="14.25" customHeight="1"/>
    <row r="1494" ht="13.5" customHeight="1"/>
    <row r="1532" ht="14.25" customHeight="1"/>
    <row r="1567" ht="14.25" customHeight="1"/>
    <row r="1569" ht="13.5" customHeight="1"/>
    <row r="1586" ht="19.5" customHeight="1"/>
    <row r="1587" ht="14.25" customHeight="1"/>
    <row r="1589" ht="13.5" customHeight="1"/>
    <row r="1609" ht="14.25" customHeight="1"/>
    <row r="1611" ht="13.5" customHeight="1"/>
    <row r="1628" ht="19.5" customHeight="1"/>
    <row r="1629" ht="14.25" customHeight="1"/>
    <row r="1631" ht="13.5" customHeight="1"/>
    <row r="1654" ht="13.5" customHeight="1"/>
    <row r="1657" ht="13.5" customHeight="1"/>
    <row r="1660" ht="13.5" customHeight="1"/>
    <row r="1663" ht="13.5" customHeight="1"/>
    <row r="1666" ht="13.5" customHeight="1"/>
    <row r="1669" ht="13.5" customHeight="1"/>
    <row r="1674" ht="20.25" customHeight="1"/>
    <row r="1700" ht="39" customHeight="1"/>
    <row r="1711" ht="22.5" customHeight="1"/>
    <row r="1712" ht="13.5" customHeight="1"/>
    <row r="1714" ht="19.5" customHeight="1"/>
    <row r="1717" ht="14.25" customHeight="1"/>
    <row r="1719" ht="13.5" customHeight="1"/>
    <row r="1779" ht="13.5" customHeight="1"/>
    <row r="1780" ht="14.25" customHeight="1"/>
    <row r="1792" ht="13.5" customHeight="1"/>
    <row r="1793" ht="14.25" customHeight="1"/>
    <row r="1860" ht="19.5" customHeight="1"/>
    <row r="1861" ht="14.25" customHeight="1"/>
    <row r="1881" ht="20.25" customHeight="1"/>
    <row r="1897" ht="20.25" customHeight="1"/>
    <row r="1905" ht="21" customHeight="1"/>
    <row r="1907" ht="14.25" customHeight="1"/>
    <row r="1908" ht="14.25" customHeight="1"/>
    <row r="1909" ht="14.25" customHeight="1"/>
    <row r="1910" ht="14.25" customHeight="1"/>
    <row r="1911" ht="14.25" customHeight="1"/>
    <row r="1912" ht="14.25" customHeight="1"/>
    <row r="1924" ht="20.25" customHeight="1"/>
    <row r="1940" ht="20.25" customHeight="1"/>
    <row r="1950" ht="14.25" customHeight="1"/>
    <row r="1951" ht="14.25" customHeight="1"/>
    <row r="1960" ht="13.5" customHeight="1"/>
    <row r="1985" ht="14.25" customHeight="1"/>
    <row r="1986" ht="14.25" customHeight="1"/>
    <row r="1987" ht="14.25" customHeight="1"/>
    <row r="2029" ht="13.5" customHeight="1"/>
    <row r="2033" ht="13.5" customHeight="1"/>
    <row r="2056" ht="20.25" customHeight="1"/>
    <row r="2069" ht="20.25" customHeight="1"/>
    <row r="2070" ht="20.25" customHeight="1"/>
    <row r="2071" ht="20.25" customHeight="1"/>
    <row r="2073" ht="20.25" customHeight="1"/>
    <row r="2075" ht="20.25" customHeight="1"/>
    <row r="2076" ht="20.25" customHeight="1"/>
    <row r="2090" ht="20.25" customHeight="1"/>
    <row r="2094" ht="20.25" customHeight="1"/>
    <row r="2106" ht="20.25" customHeight="1"/>
    <row r="2107" ht="20.25" customHeight="1"/>
    <row r="2112" ht="20.25" customHeight="1"/>
    <row r="2128" ht="20.25" customHeight="1"/>
    <row r="2143" ht="20.25" customHeight="1"/>
    <row r="2168" ht="13.5" customHeight="1"/>
    <row r="2262" ht="13.5" customHeight="1"/>
    <row r="2270" ht="19.5" customHeight="1"/>
    <row r="2296" ht="19.5" customHeight="1"/>
    <row r="2297" ht="13.5" customHeight="1"/>
  </sheetData>
  <mergeCells count="10">
    <mergeCell ref="B18:C18"/>
    <mergeCell ref="B19:C19"/>
    <mergeCell ref="B20:B22"/>
    <mergeCell ref="B23:B30"/>
    <mergeCell ref="A8:C8"/>
    <mergeCell ref="B9:B10"/>
    <mergeCell ref="B11:C11"/>
    <mergeCell ref="B12:B14"/>
    <mergeCell ref="B16:C16"/>
    <mergeCell ref="B17:C17"/>
  </mergeCells>
  <phoneticPr fontId="6" type="noConversion"/>
  <pageMargins left="0.16" right="0.16" top="0.49" bottom="1" header="0.5" footer="0.5"/>
  <pageSetup paperSize="9" scale="83" orientation="portrait" horizontalDpi="300" verticalDpi="300" r:id="rId1"/>
  <headerFooter alignWithMargins="0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355280-AB7D-486F-B1EF-64ABBA4431B8}">
  <sheetPr codeName="Sheet18">
    <tabColor theme="0" tint="-0.249977111117893"/>
    <pageSetUpPr fitToPage="1"/>
  </sheetPr>
  <dimension ref="A1:J2283"/>
  <sheetViews>
    <sheetView showGridLines="0" view="pageBreakPreview" zoomScaleNormal="100" zoomScaleSheetLayoutView="100" workbookViewId="0">
      <selection activeCell="F11" sqref="F11"/>
    </sheetView>
  </sheetViews>
  <sheetFormatPr defaultColWidth="8.8984375" defaultRowHeight="14.4"/>
  <cols>
    <col min="1" max="1" width="5.19921875" style="14" customWidth="1"/>
    <col min="2" max="2" width="7.09765625" style="14" customWidth="1"/>
    <col min="3" max="3" width="7.69921875" style="14" customWidth="1"/>
    <col min="4" max="4" width="9.19921875" style="46" customWidth="1"/>
    <col min="5" max="10" width="9.19921875" style="14" customWidth="1"/>
    <col min="11" max="16384" width="8.8984375" style="14"/>
  </cols>
  <sheetData>
    <row r="1" spans="1:10">
      <c r="A1" s="520"/>
      <c r="B1" s="392"/>
      <c r="C1" s="392"/>
      <c r="D1" s="405"/>
      <c r="E1" s="392"/>
      <c r="F1" s="392"/>
      <c r="G1" s="392"/>
      <c r="H1" s="392"/>
      <c r="I1" s="392"/>
      <c r="J1" s="392"/>
    </row>
    <row r="2" spans="1:10">
      <c r="B2" s="392"/>
      <c r="C2" s="392"/>
      <c r="D2" s="405"/>
      <c r="E2" s="392"/>
      <c r="F2" s="392"/>
      <c r="G2" s="392"/>
      <c r="H2" s="392"/>
      <c r="I2" s="392"/>
      <c r="J2" s="392"/>
    </row>
    <row r="3" spans="1:10">
      <c r="B3" s="392"/>
      <c r="C3" s="392"/>
      <c r="D3" s="405"/>
      <c r="E3" s="392"/>
      <c r="F3" s="392"/>
      <c r="G3" s="392"/>
      <c r="H3" s="392"/>
      <c r="I3" s="392"/>
      <c r="J3" s="392"/>
    </row>
    <row r="4" spans="1:10">
      <c r="B4" s="392"/>
      <c r="C4" s="392"/>
      <c r="D4" s="405"/>
      <c r="E4" s="392"/>
      <c r="F4" s="392"/>
      <c r="G4" s="392"/>
      <c r="H4" s="392"/>
      <c r="I4" s="392"/>
      <c r="J4" s="392"/>
    </row>
    <row r="5" spans="1:10" ht="20.399999999999999">
      <c r="A5" s="406" t="s">
        <v>1476</v>
      </c>
      <c r="B5" s="406"/>
      <c r="C5" s="406"/>
      <c r="D5" s="405"/>
      <c r="E5" s="392"/>
      <c r="F5" s="392"/>
      <c r="G5" s="392"/>
      <c r="H5" s="392"/>
      <c r="I5" s="392"/>
      <c r="J5" s="392"/>
    </row>
    <row r="7" spans="1:10">
      <c r="A7" s="44" t="s">
        <v>1477</v>
      </c>
      <c r="B7" s="44"/>
      <c r="J7" s="45"/>
    </row>
    <row r="8" spans="1:10">
      <c r="A8" s="802" t="s">
        <v>555</v>
      </c>
      <c r="B8" s="802"/>
      <c r="C8" s="802"/>
      <c r="D8" s="393" t="s">
        <v>693</v>
      </c>
      <c r="E8" s="393" t="s">
        <v>694</v>
      </c>
      <c r="F8" s="393" t="s">
        <v>556</v>
      </c>
      <c r="G8" s="393" t="s">
        <v>759</v>
      </c>
      <c r="H8" s="393" t="s">
        <v>1478</v>
      </c>
      <c r="I8" s="393" t="s">
        <v>557</v>
      </c>
      <c r="J8" s="393" t="s">
        <v>560</v>
      </c>
    </row>
    <row r="9" spans="1:10" s="391" customFormat="1" ht="18.75" customHeight="1">
      <c r="A9" s="802"/>
      <c r="B9" s="802"/>
      <c r="C9" s="802"/>
      <c r="D9" s="803" t="s">
        <v>1479</v>
      </c>
      <c r="E9" s="804"/>
      <c r="F9" s="805"/>
      <c r="G9" s="803" t="s">
        <v>1480</v>
      </c>
      <c r="H9" s="804"/>
      <c r="I9" s="805"/>
      <c r="J9" s="773" t="s">
        <v>1481</v>
      </c>
    </row>
    <row r="10" spans="1:10" s="391" customFormat="1">
      <c r="A10" s="802"/>
      <c r="B10" s="802"/>
      <c r="C10" s="802"/>
      <c r="D10" s="390" t="s">
        <v>1482</v>
      </c>
      <c r="E10" s="390" t="s">
        <v>1483</v>
      </c>
      <c r="F10" s="390" t="s">
        <v>1484</v>
      </c>
      <c r="G10" s="390" t="s">
        <v>1485</v>
      </c>
      <c r="H10" s="390" t="s">
        <v>1486</v>
      </c>
      <c r="I10" s="390" t="s">
        <v>1487</v>
      </c>
      <c r="J10" s="773"/>
    </row>
    <row r="11" spans="1:10" s="391" customFormat="1">
      <c r="A11" s="407" t="s">
        <v>556</v>
      </c>
      <c r="B11" s="773" t="s">
        <v>1488</v>
      </c>
      <c r="C11" s="773"/>
      <c r="D11" s="408"/>
      <c r="E11" s="408"/>
      <c r="F11" s="408">
        <f t="shared" ref="F11:F15" si="0">D11+E11</f>
        <v>0</v>
      </c>
      <c r="G11" s="408"/>
      <c r="H11" s="408"/>
      <c r="I11" s="408">
        <f t="shared" ref="I11:I15" si="1">SUM(G11:H11)</f>
        <v>0</v>
      </c>
      <c r="J11" s="381">
        <f t="shared" ref="J11:J15" si="2">F11+I11</f>
        <v>0</v>
      </c>
    </row>
    <row r="12" spans="1:10" s="391" customFormat="1">
      <c r="A12" s="407" t="s">
        <v>695</v>
      </c>
      <c r="B12" s="773" t="s">
        <v>1489</v>
      </c>
      <c r="C12" s="409" t="s">
        <v>1490</v>
      </c>
      <c r="D12" s="408"/>
      <c r="E12" s="408"/>
      <c r="F12" s="408">
        <f t="shared" si="0"/>
        <v>0</v>
      </c>
      <c r="G12" s="408"/>
      <c r="H12" s="408"/>
      <c r="I12" s="408">
        <f t="shared" si="1"/>
        <v>0</v>
      </c>
      <c r="J12" s="381">
        <f t="shared" si="2"/>
        <v>0</v>
      </c>
    </row>
    <row r="13" spans="1:10" s="391" customFormat="1">
      <c r="A13" s="407" t="s">
        <v>756</v>
      </c>
      <c r="B13" s="773"/>
      <c r="C13" s="409" t="s">
        <v>1491</v>
      </c>
      <c r="D13" s="408"/>
      <c r="E13" s="408"/>
      <c r="F13" s="408">
        <f t="shared" si="0"/>
        <v>0</v>
      </c>
      <c r="G13" s="408"/>
      <c r="H13" s="408"/>
      <c r="I13" s="408">
        <f t="shared" si="1"/>
        <v>0</v>
      </c>
      <c r="J13" s="381">
        <f t="shared" si="2"/>
        <v>0</v>
      </c>
    </row>
    <row r="14" spans="1:10" s="391" customFormat="1" ht="13.5" customHeight="1">
      <c r="A14" s="407" t="s">
        <v>557</v>
      </c>
      <c r="B14" s="773"/>
      <c r="C14" s="409" t="s">
        <v>67</v>
      </c>
      <c r="D14" s="410"/>
      <c r="E14" s="410"/>
      <c r="F14" s="408">
        <f t="shared" si="0"/>
        <v>0</v>
      </c>
      <c r="G14" s="410"/>
      <c r="H14" s="410"/>
      <c r="I14" s="408">
        <f t="shared" si="1"/>
        <v>0</v>
      </c>
      <c r="J14" s="381">
        <f t="shared" si="2"/>
        <v>0</v>
      </c>
    </row>
    <row r="15" spans="1:10" s="391" customFormat="1">
      <c r="A15" s="407" t="s">
        <v>558</v>
      </c>
      <c r="B15" s="773" t="s">
        <v>78</v>
      </c>
      <c r="C15" s="773"/>
      <c r="D15" s="410">
        <f>SUM(D11+D14)</f>
        <v>0</v>
      </c>
      <c r="E15" s="410">
        <f>SUM(E11+E14)</f>
        <v>0</v>
      </c>
      <c r="F15" s="408">
        <f t="shared" si="0"/>
        <v>0</v>
      </c>
      <c r="G15" s="410">
        <f>SUM(G11+G14)</f>
        <v>0</v>
      </c>
      <c r="H15" s="410">
        <f>SUM(H11+H14)</f>
        <v>0</v>
      </c>
      <c r="I15" s="408">
        <f t="shared" si="1"/>
        <v>0</v>
      </c>
      <c r="J15" s="381">
        <f t="shared" si="2"/>
        <v>0</v>
      </c>
    </row>
    <row r="17" spans="1:10" ht="12" customHeight="1">
      <c r="A17" s="37" t="s">
        <v>777</v>
      </c>
    </row>
    <row r="18" spans="1:10" ht="12" customHeight="1"/>
    <row r="19" spans="1:10" ht="12" customHeight="1">
      <c r="A19" s="401" t="s">
        <v>59</v>
      </c>
      <c r="B19" s="58"/>
      <c r="C19" s="58"/>
      <c r="D19" s="58"/>
      <c r="E19" s="58"/>
      <c r="F19" s="58"/>
      <c r="G19" s="58"/>
      <c r="H19" s="58"/>
      <c r="I19" s="58"/>
      <c r="J19" s="58"/>
    </row>
    <row r="20" spans="1:10" ht="12" customHeight="1">
      <c r="A20" s="58"/>
      <c r="B20" s="58"/>
      <c r="C20" s="58"/>
      <c r="D20" s="58"/>
      <c r="E20" s="58"/>
      <c r="F20" s="58"/>
      <c r="G20" s="58"/>
      <c r="H20" s="58"/>
      <c r="I20" s="58"/>
      <c r="J20" s="58"/>
    </row>
    <row r="21" spans="1:10" ht="12" customHeight="1">
      <c r="A21" s="44" t="s">
        <v>1492</v>
      </c>
      <c r="B21" s="44"/>
      <c r="C21" s="44"/>
      <c r="D21" s="44"/>
      <c r="E21" s="44"/>
      <c r="F21" s="44"/>
      <c r="G21" s="44"/>
      <c r="H21" s="44"/>
      <c r="I21" s="44"/>
      <c r="J21" s="44"/>
    </row>
    <row r="22" spans="1:10" ht="12" customHeight="1">
      <c r="A22" s="44"/>
      <c r="B22" s="44"/>
      <c r="C22" s="44"/>
      <c r="D22" s="44"/>
      <c r="E22" s="44"/>
      <c r="F22" s="44"/>
      <c r="G22" s="44"/>
      <c r="H22" s="44"/>
      <c r="I22" s="44"/>
      <c r="J22" s="44"/>
    </row>
    <row r="23" spans="1:10" ht="12" customHeight="1">
      <c r="A23" s="44" t="s">
        <v>1493</v>
      </c>
      <c r="B23" s="44"/>
      <c r="C23" s="44"/>
      <c r="D23" s="44"/>
      <c r="E23" s="44"/>
      <c r="F23" s="44"/>
      <c r="G23" s="44"/>
      <c r="H23" s="44"/>
      <c r="I23" s="44"/>
      <c r="J23" s="44"/>
    </row>
    <row r="24" spans="1:10" ht="12" customHeight="1">
      <c r="A24" s="44"/>
      <c r="B24" s="44"/>
      <c r="C24" s="44"/>
      <c r="D24" s="44"/>
      <c r="E24" s="44"/>
      <c r="F24" s="44"/>
      <c r="G24" s="44"/>
      <c r="H24" s="44"/>
      <c r="I24" s="44"/>
      <c r="J24" s="44"/>
    </row>
    <row r="25" spans="1:10" ht="12" customHeight="1">
      <c r="A25" s="44" t="s">
        <v>1494</v>
      </c>
      <c r="B25" s="44"/>
      <c r="C25" s="44"/>
      <c r="D25" s="44"/>
      <c r="E25" s="44"/>
      <c r="F25" s="44"/>
      <c r="G25" s="44"/>
      <c r="H25" s="44"/>
      <c r="I25" s="44"/>
      <c r="J25" s="44"/>
    </row>
    <row r="26" spans="1:10" ht="12" customHeight="1">
      <c r="A26" s="44"/>
      <c r="B26" s="44"/>
      <c r="C26" s="44"/>
      <c r="D26" s="44"/>
      <c r="E26" s="44"/>
      <c r="F26" s="44"/>
      <c r="G26" s="44"/>
      <c r="H26" s="44"/>
      <c r="I26" s="44"/>
      <c r="J26" s="44"/>
    </row>
    <row r="27" spans="1:10" ht="12" customHeight="1">
      <c r="A27" s="44" t="s">
        <v>1495</v>
      </c>
      <c r="B27" s="44"/>
      <c r="C27" s="44"/>
      <c r="D27" s="44"/>
      <c r="E27" s="44"/>
      <c r="F27" s="44"/>
      <c r="G27" s="44"/>
      <c r="H27" s="44"/>
      <c r="I27" s="44"/>
      <c r="J27" s="44"/>
    </row>
    <row r="28" spans="1:10" ht="12" customHeight="1">
      <c r="A28" s="44" t="s">
        <v>1496</v>
      </c>
      <c r="B28" s="44"/>
      <c r="C28" s="44"/>
      <c r="D28" s="44"/>
      <c r="E28" s="44"/>
      <c r="F28" s="44"/>
      <c r="G28" s="44"/>
      <c r="H28" s="44"/>
      <c r="I28" s="44"/>
      <c r="J28" s="44"/>
    </row>
    <row r="29" spans="1:10" ht="12" customHeight="1">
      <c r="A29" s="44"/>
      <c r="B29" s="44"/>
      <c r="C29" s="44"/>
      <c r="D29" s="44"/>
      <c r="E29" s="44"/>
      <c r="F29" s="44"/>
      <c r="G29" s="44"/>
      <c r="H29" s="44"/>
      <c r="I29" s="44"/>
      <c r="J29" s="44"/>
    </row>
    <row r="30" spans="1:10">
      <c r="A30" s="14" t="s">
        <v>1497</v>
      </c>
    </row>
    <row r="31" spans="1:10">
      <c r="A31" s="44"/>
    </row>
    <row r="32" spans="1:10">
      <c r="A32" s="44"/>
    </row>
    <row r="33" spans="1:2">
      <c r="A33" s="109" t="s">
        <v>1498</v>
      </c>
      <c r="B33" s="37"/>
    </row>
    <row r="34" spans="1:2">
      <c r="A34" s="44" t="s">
        <v>1499</v>
      </c>
    </row>
    <row r="35" spans="1:2">
      <c r="A35" s="44"/>
    </row>
    <row r="36" spans="1:2">
      <c r="A36" s="44"/>
    </row>
    <row r="37" spans="1:2">
      <c r="A37" s="44"/>
    </row>
    <row r="38" spans="1:2">
      <c r="A38" s="44"/>
    </row>
    <row r="39" spans="1:2">
      <c r="A39" s="44"/>
    </row>
    <row r="40" spans="1:2">
      <c r="A40" s="44"/>
    </row>
    <row r="41" spans="1:2">
      <c r="A41" s="44"/>
    </row>
    <row r="42" spans="1:2">
      <c r="A42" s="44"/>
    </row>
    <row r="43" spans="1:2">
      <c r="A43" s="44"/>
    </row>
    <row r="44" spans="1:2">
      <c r="A44" s="44"/>
    </row>
    <row r="45" spans="1:2">
      <c r="A45" s="44"/>
    </row>
    <row r="46" spans="1:2">
      <c r="A46" s="44"/>
    </row>
    <row r="47" spans="1:2">
      <c r="A47" s="44"/>
    </row>
    <row r="48" spans="1:2">
      <c r="A48" s="44"/>
    </row>
    <row r="49" spans="1:1">
      <c r="A49" s="44"/>
    </row>
    <row r="50" spans="1:1">
      <c r="A50" s="44"/>
    </row>
    <row r="51" spans="1:1">
      <c r="A51" s="44"/>
    </row>
    <row r="52" spans="1:1">
      <c r="A52" s="44"/>
    </row>
    <row r="53" spans="1:1">
      <c r="A53" s="44"/>
    </row>
    <row r="54" spans="1:1">
      <c r="A54" s="44"/>
    </row>
    <row r="55" spans="1:1">
      <c r="A55" s="44"/>
    </row>
    <row r="56" spans="1:1">
      <c r="A56" s="44"/>
    </row>
    <row r="57" spans="1:1">
      <c r="A57" s="44"/>
    </row>
    <row r="58" spans="1:1">
      <c r="A58" s="44"/>
    </row>
    <row r="59" spans="1:1">
      <c r="A59" s="44"/>
    </row>
    <row r="60" spans="1:1">
      <c r="A60" s="44"/>
    </row>
    <row r="61" spans="1:1">
      <c r="A61" s="44"/>
    </row>
    <row r="62" spans="1:1">
      <c r="A62" s="44"/>
    </row>
    <row r="63" spans="1:1">
      <c r="A63" s="44"/>
    </row>
    <row r="64" spans="1:1">
      <c r="A64" s="44"/>
    </row>
    <row r="65" spans="1:1">
      <c r="A65" s="44"/>
    </row>
    <row r="66" spans="1:1">
      <c r="A66" s="44"/>
    </row>
    <row r="67" spans="1:1">
      <c r="A67" s="44"/>
    </row>
    <row r="68" spans="1:1">
      <c r="A68" s="44"/>
    </row>
    <row r="69" spans="1:1">
      <c r="A69" s="44"/>
    </row>
    <row r="70" spans="1:1">
      <c r="A70" s="44"/>
    </row>
    <row r="71" spans="1:1" ht="14.25" customHeight="1">
      <c r="A71" s="44"/>
    </row>
    <row r="72" spans="1:1" ht="14.25" customHeight="1">
      <c r="A72" s="44"/>
    </row>
    <row r="73" spans="1:1" ht="14.25" customHeight="1">
      <c r="A73" s="44"/>
    </row>
    <row r="74" spans="1:1" ht="14.25" customHeight="1">
      <c r="A74" s="44"/>
    </row>
    <row r="75" spans="1:1" ht="14.25" customHeight="1">
      <c r="A75" s="44"/>
    </row>
    <row r="76" spans="1:1" ht="14.25" customHeight="1">
      <c r="A76" s="44"/>
    </row>
    <row r="77" spans="1:1" ht="14.25" customHeight="1">
      <c r="A77" s="44"/>
    </row>
    <row r="78" spans="1:1">
      <c r="A78" s="44"/>
    </row>
    <row r="79" spans="1:1">
      <c r="A79" s="44"/>
    </row>
    <row r="80" spans="1:1">
      <c r="A80" s="44"/>
    </row>
    <row r="81" spans="1:1">
      <c r="A81" s="44"/>
    </row>
    <row r="82" spans="1:1">
      <c r="A82" s="44"/>
    </row>
    <row r="83" spans="1:1">
      <c r="A83" s="44"/>
    </row>
    <row r="84" spans="1:1">
      <c r="A84" s="44"/>
    </row>
    <row r="85" spans="1:1">
      <c r="A85" s="44"/>
    </row>
    <row r="86" spans="1:1">
      <c r="A86" s="44"/>
    </row>
    <row r="87" spans="1:1">
      <c r="A87" s="44"/>
    </row>
    <row r="88" spans="1:1" ht="20.25" customHeight="1">
      <c r="A88" s="44"/>
    </row>
    <row r="89" spans="1:1">
      <c r="A89" s="44"/>
    </row>
    <row r="90" spans="1:1">
      <c r="A90" s="44"/>
    </row>
    <row r="91" spans="1:1">
      <c r="A91" s="44"/>
    </row>
    <row r="92" spans="1:1">
      <c r="A92" s="44"/>
    </row>
    <row r="93" spans="1:1">
      <c r="A93" s="44"/>
    </row>
    <row r="94" spans="1:1">
      <c r="A94" s="44"/>
    </row>
    <row r="95" spans="1:1">
      <c r="A95" s="44"/>
    </row>
    <row r="96" spans="1:1">
      <c r="A96" s="44"/>
    </row>
    <row r="97" spans="1:1">
      <c r="A97" s="44"/>
    </row>
    <row r="98" spans="1:1">
      <c r="A98" s="44"/>
    </row>
    <row r="99" spans="1:1">
      <c r="A99" s="44"/>
    </row>
    <row r="100" spans="1:1">
      <c r="A100" s="44"/>
    </row>
    <row r="197" ht="13.5" customHeight="1"/>
    <row r="200" ht="14.25" customHeight="1"/>
    <row r="201" ht="14.25" customHeight="1"/>
    <row r="203" ht="14.25" customHeight="1"/>
    <row r="205" ht="14.25" customHeight="1"/>
    <row r="210" ht="14.25" customHeight="1"/>
    <row r="212" ht="14.25" customHeight="1"/>
    <row r="213" ht="14.25" customHeight="1"/>
    <row r="214" ht="27.75" customHeight="1"/>
    <row r="216" ht="14.25" customHeight="1"/>
    <row r="218" ht="14.25" customHeight="1"/>
    <row r="219" ht="14.25" customHeight="1"/>
    <row r="220" ht="14.25" customHeight="1"/>
    <row r="222" ht="14.25" customHeight="1"/>
    <row r="520" ht="20.25" customHeight="1"/>
    <row r="522" ht="13.5" customHeight="1"/>
    <row r="524" ht="22.5" customHeight="1"/>
    <row r="528" ht="19.5" customHeight="1"/>
    <row r="530" ht="20.25" customHeight="1"/>
    <row r="531" ht="19.5" customHeight="1"/>
    <row r="533" ht="19.5" customHeight="1"/>
    <row r="537" ht="19.5" customHeight="1"/>
    <row r="543" ht="19.5" customHeight="1"/>
    <row r="547" ht="13.5" customHeight="1"/>
    <row r="550" ht="22.5" customHeight="1"/>
    <row r="554" ht="19.5" customHeight="1"/>
    <row r="556" ht="19.5" customHeight="1"/>
    <row r="558" ht="20.25" customHeight="1"/>
    <row r="559" ht="20.25" customHeight="1"/>
    <row r="565" ht="20.25" customHeight="1"/>
    <row r="614" ht="20.25" customHeight="1"/>
    <row r="630" ht="20.25" customHeight="1"/>
    <row r="646" ht="20.25" customHeight="1"/>
    <row r="647" ht="20.25" customHeight="1"/>
    <row r="651" ht="20.25" customHeight="1"/>
    <row r="657" ht="20.25" customHeight="1"/>
    <row r="658" ht="19.5" customHeight="1"/>
    <row r="660" ht="20.25" customHeight="1"/>
    <row r="661" ht="20.25" customHeight="1"/>
    <row r="662" ht="20.25" customHeight="1"/>
    <row r="663" ht="20.25" customHeight="1"/>
    <row r="676" ht="19.5" customHeight="1"/>
    <row r="679" ht="14.25" customHeight="1"/>
    <row r="681" ht="19.5" customHeight="1"/>
    <row r="683" ht="19.5" customHeight="1"/>
    <row r="685" ht="19.5" customHeight="1"/>
    <row r="687" ht="19.5" customHeight="1"/>
    <row r="689" ht="19.5" customHeight="1"/>
    <row r="691" ht="19.5" customHeight="1"/>
    <row r="693" ht="19.5" customHeight="1"/>
    <row r="695" ht="19.5" customHeight="1"/>
    <row r="697" ht="22.5" customHeight="1"/>
    <row r="699" ht="19.5" customHeight="1"/>
    <row r="701" ht="19.5" customHeight="1"/>
    <row r="703" ht="19.5" customHeight="1"/>
    <row r="705" ht="19.5" customHeight="1"/>
    <row r="711" ht="20.25" customHeight="1"/>
    <row r="712" ht="22.5" customHeight="1"/>
    <row r="733" ht="20.25" customHeight="1"/>
    <row r="739" ht="20.25" customHeight="1"/>
    <row r="743" ht="14.25" customHeight="1"/>
    <row r="746" ht="24.75" customHeight="1"/>
    <row r="751" ht="19.5" customHeight="1"/>
    <row r="759" ht="20.25" customHeight="1"/>
    <row r="767" ht="39" customHeight="1"/>
    <row r="789" ht="22.5" customHeight="1"/>
    <row r="790" ht="14.25" customHeight="1"/>
    <row r="792" ht="20.25" customHeight="1"/>
    <row r="800" ht="20.25" customHeight="1"/>
    <row r="803" ht="19.5" customHeight="1"/>
    <row r="804" ht="13.5" customHeight="1"/>
    <row r="808" ht="19.5" customHeight="1"/>
    <row r="811" ht="20.25" customHeight="1"/>
    <row r="812" ht="20.25" customHeight="1"/>
    <row r="832" ht="20.25" customHeight="1"/>
    <row r="840" ht="20.25" customHeight="1"/>
    <row r="846" ht="20.25" customHeight="1"/>
    <row r="866" ht="20.25" customHeight="1"/>
    <row r="902" ht="22.5" customHeight="1"/>
    <row r="907" ht="20.25" customHeight="1"/>
    <row r="961" ht="20.25" customHeight="1"/>
    <row r="963" ht="13.5" customHeight="1"/>
    <row r="980" ht="20.25" customHeight="1"/>
    <row r="982" ht="20.25" customHeight="1"/>
    <row r="983" ht="20.25" customHeight="1"/>
    <row r="985" ht="20.25" customHeight="1"/>
    <row r="987" ht="20.25" customHeight="1"/>
    <row r="1000" ht="20.25" customHeight="1"/>
    <row r="1017" ht="20.25" customHeight="1"/>
    <row r="1019" ht="20.25" customHeight="1"/>
    <row r="1020" ht="20.25" customHeight="1"/>
    <row r="1022" ht="22.5" customHeight="1"/>
    <row r="1035" ht="19.5" customHeight="1"/>
    <row r="1036" ht="14.25" customHeight="1"/>
    <row r="1071" ht="14.25" customHeight="1"/>
    <row r="1085" ht="19.5" customHeight="1"/>
    <row r="1121" ht="20.25" customHeight="1"/>
    <row r="1129" ht="20.25" customHeight="1"/>
    <row r="1135" ht="20.25" customHeight="1"/>
    <row r="1154" ht="19.5" customHeight="1"/>
    <row r="1155" ht="13.5" customHeight="1"/>
    <row r="1157" ht="14.25" customHeight="1"/>
    <row r="1159" ht="13.5" customHeight="1"/>
    <row r="1179" ht="19.5" customHeight="1"/>
    <row r="1180" ht="14.25" customHeight="1"/>
    <row r="1182" ht="13.5" customHeight="1"/>
    <row r="1203" ht="19.5" customHeight="1"/>
    <row r="1204" ht="14.25" customHeight="1"/>
    <row r="1221" ht="19.5" customHeight="1"/>
    <row r="1229" ht="19.5" customHeight="1"/>
    <row r="1260" ht="20.25" customHeight="1"/>
    <row r="1262" ht="19.5" customHeight="1"/>
    <row r="1263" ht="14.25" customHeight="1"/>
    <row r="1271" ht="19.5" customHeight="1"/>
    <row r="1272" ht="14.25" customHeight="1"/>
    <row r="1283" ht="19.5" customHeight="1"/>
    <row r="1286" ht="14.25" customHeight="1"/>
    <row r="1315" ht="24" customHeight="1"/>
    <row r="1318" ht="13.5" customHeight="1"/>
    <row r="1321" ht="20.25" customHeight="1"/>
    <row r="1322" ht="22.5" customHeight="1"/>
    <row r="1356" ht="19.5" customHeight="1"/>
    <row r="1357" ht="14.25" customHeight="1"/>
    <row r="1367" ht="39" customHeight="1"/>
    <row r="1375" ht="19.5" customHeight="1"/>
    <row r="1376" ht="13.5" customHeight="1"/>
    <row r="1378" ht="14.25" customHeight="1"/>
    <row r="1397" ht="19.5" customHeight="1"/>
    <row r="1410" ht="19.5" customHeight="1"/>
    <row r="1418" ht="13.5" customHeight="1"/>
    <row r="1424" ht="20.25" customHeight="1"/>
    <row r="1479" ht="14.25" customHeight="1"/>
    <row r="1480" ht="13.5" customHeight="1"/>
    <row r="1518" ht="14.25" customHeight="1"/>
    <row r="1553" ht="14.25" customHeight="1"/>
    <row r="1555" ht="13.5" customHeight="1"/>
    <row r="1572" ht="19.5" customHeight="1"/>
    <row r="1573" ht="14.25" customHeight="1"/>
    <row r="1575" ht="13.5" customHeight="1"/>
    <row r="1595" ht="14.25" customHeight="1"/>
    <row r="1597" ht="13.5" customHeight="1"/>
    <row r="1614" ht="19.5" customHeight="1"/>
    <row r="1615" ht="14.25" customHeight="1"/>
    <row r="1617" ht="13.5" customHeight="1"/>
    <row r="1640" ht="13.5" customHeight="1"/>
    <row r="1643" ht="13.5" customHeight="1"/>
    <row r="1646" ht="13.5" customHeight="1"/>
    <row r="1649" ht="13.5" customHeight="1"/>
    <row r="1652" ht="13.5" customHeight="1"/>
    <row r="1655" ht="13.5" customHeight="1"/>
    <row r="1660" ht="20.25" customHeight="1"/>
    <row r="1686" ht="39" customHeight="1"/>
    <row r="1697" ht="22.5" customHeight="1"/>
    <row r="1698" ht="13.5" customHeight="1"/>
    <row r="1700" ht="19.5" customHeight="1"/>
    <row r="1703" ht="14.25" customHeight="1"/>
    <row r="1705" ht="13.5" customHeight="1"/>
    <row r="1765" ht="13.5" customHeight="1"/>
    <row r="1766" ht="14.25" customHeight="1"/>
    <row r="1778" ht="13.5" customHeight="1"/>
    <row r="1779" ht="14.25" customHeight="1"/>
    <row r="1846" ht="19.5" customHeight="1"/>
    <row r="1847" ht="14.25" customHeight="1"/>
    <row r="1867" ht="20.25" customHeight="1"/>
    <row r="1883" ht="20.25" customHeight="1"/>
    <row r="1891" ht="21" customHeight="1"/>
    <row r="1893" ht="14.25" customHeight="1"/>
    <row r="1894" ht="14.25" customHeight="1"/>
    <row r="1895" ht="14.25" customHeight="1"/>
    <row r="1896" ht="14.25" customHeight="1"/>
    <row r="1897" ht="14.25" customHeight="1"/>
    <row r="1898" ht="14.25" customHeight="1"/>
    <row r="1910" ht="20.25" customHeight="1"/>
    <row r="1926" ht="20.25" customHeight="1"/>
    <row r="1936" ht="14.25" customHeight="1"/>
    <row r="1937" ht="14.25" customHeight="1"/>
    <row r="1946" ht="13.5" customHeight="1"/>
    <row r="1971" ht="14.25" customHeight="1"/>
    <row r="1972" ht="14.25" customHeight="1"/>
    <row r="1973" ht="14.25" customHeight="1"/>
    <row r="2015" ht="13.5" customHeight="1"/>
    <row r="2019" ht="13.5" customHeight="1"/>
    <row r="2042" ht="20.25" customHeight="1"/>
    <row r="2055" ht="20.25" customHeight="1"/>
    <row r="2056" ht="20.25" customHeight="1"/>
    <row r="2057" ht="20.25" customHeight="1"/>
    <row r="2059" ht="20.25" customHeight="1"/>
    <row r="2061" ht="20.25" customHeight="1"/>
    <row r="2062" ht="20.25" customHeight="1"/>
    <row r="2076" ht="20.25" customHeight="1"/>
    <row r="2080" ht="20.25" customHeight="1"/>
    <row r="2092" ht="20.25" customHeight="1"/>
    <row r="2093" ht="20.25" customHeight="1"/>
    <row r="2098" ht="20.25" customHeight="1"/>
    <row r="2114" ht="20.25" customHeight="1"/>
    <row r="2129" ht="20.25" customHeight="1"/>
    <row r="2154" ht="13.5" customHeight="1"/>
    <row r="2248" ht="13.5" customHeight="1"/>
    <row r="2256" ht="19.5" customHeight="1"/>
    <row r="2282" ht="19.5" customHeight="1"/>
    <row r="2283" ht="13.5" customHeight="1"/>
  </sheetData>
  <mergeCells count="7">
    <mergeCell ref="B15:C15"/>
    <mergeCell ref="A8:C10"/>
    <mergeCell ref="D9:F9"/>
    <mergeCell ref="G9:I9"/>
    <mergeCell ref="J9:J10"/>
    <mergeCell ref="B11:C11"/>
    <mergeCell ref="B12:B14"/>
  </mergeCells>
  <phoneticPr fontId="6" type="noConversion"/>
  <pageMargins left="0.15748031496062992" right="0.15748031496062992" top="0.51181102362204722" bottom="0.47244094488188981" header="0.51181102362204722" footer="0.51181102362204722"/>
  <pageSetup paperSize="9" orientation="portrait" horizontalDpi="4294967292" r:id="rId1"/>
  <headerFooter alignWithMargins="0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508E21-AEBB-480E-A894-7EF3E4403793}">
  <sheetPr codeName="Sheet19">
    <tabColor rgb="FFFFFF00"/>
    <pageSetUpPr fitToPage="1"/>
  </sheetPr>
  <dimension ref="A1:Y2284"/>
  <sheetViews>
    <sheetView showGridLines="0" view="pageBreakPreview" zoomScale="85" zoomScaleNormal="100" zoomScaleSheetLayoutView="85" workbookViewId="0"/>
  </sheetViews>
  <sheetFormatPr defaultColWidth="8.8984375" defaultRowHeight="14.4"/>
  <cols>
    <col min="1" max="1" width="5.19921875" style="14" customWidth="1"/>
    <col min="2" max="2" width="7.09765625" style="14" customWidth="1"/>
    <col min="3" max="3" width="7.69921875" style="14" customWidth="1"/>
    <col min="4" max="6" width="7" style="46" customWidth="1"/>
    <col min="7" max="24" width="7" style="14" customWidth="1"/>
    <col min="25" max="16384" width="8.8984375" style="14"/>
  </cols>
  <sheetData>
    <row r="1" spans="1:25">
      <c r="B1" s="392"/>
      <c r="C1" s="392"/>
      <c r="D1" s="405"/>
      <c r="E1" s="405"/>
      <c r="F1" s="405"/>
      <c r="G1" s="392"/>
      <c r="H1" s="392"/>
      <c r="I1" s="392"/>
      <c r="J1" s="392"/>
      <c r="K1" s="392"/>
      <c r="L1" s="392"/>
      <c r="M1" s="392"/>
      <c r="N1" s="392"/>
      <c r="O1" s="392"/>
      <c r="P1" s="392"/>
      <c r="Q1" s="392"/>
      <c r="R1" s="392"/>
      <c r="S1" s="392"/>
      <c r="T1" s="392"/>
      <c r="U1" s="392"/>
      <c r="V1" s="392"/>
      <c r="Y1" s="520"/>
    </row>
    <row r="2" spans="1:25">
      <c r="B2" s="392"/>
      <c r="C2" s="392"/>
      <c r="D2" s="405"/>
      <c r="E2" s="405"/>
      <c r="F2" s="405"/>
      <c r="G2" s="392"/>
      <c r="H2" s="392"/>
      <c r="I2" s="392"/>
      <c r="J2" s="392"/>
      <c r="K2" s="392"/>
      <c r="L2" s="392"/>
      <c r="M2" s="392"/>
      <c r="N2" s="392"/>
      <c r="O2" s="392"/>
      <c r="P2" s="392"/>
      <c r="Q2" s="392"/>
      <c r="R2" s="392"/>
      <c r="S2" s="392"/>
      <c r="T2" s="392"/>
      <c r="U2" s="392"/>
      <c r="V2" s="392"/>
    </row>
    <row r="3" spans="1:25">
      <c r="B3" s="392"/>
      <c r="C3" s="392"/>
      <c r="D3" s="405"/>
      <c r="E3" s="405"/>
      <c r="F3" s="405"/>
      <c r="G3" s="392"/>
      <c r="H3" s="392"/>
      <c r="I3" s="392"/>
      <c r="J3" s="392"/>
      <c r="K3" s="392"/>
      <c r="L3" s="392"/>
      <c r="M3" s="392"/>
      <c r="N3" s="392"/>
      <c r="O3" s="392"/>
      <c r="P3" s="392"/>
      <c r="Q3" s="392"/>
      <c r="R3" s="392"/>
      <c r="S3" s="392"/>
      <c r="T3" s="392"/>
      <c r="U3" s="392"/>
      <c r="V3" s="392"/>
    </row>
    <row r="4" spans="1:25">
      <c r="B4" s="392"/>
      <c r="C4" s="392"/>
      <c r="D4" s="405"/>
      <c r="E4" s="405"/>
      <c r="F4" s="405"/>
      <c r="G4" s="392"/>
      <c r="H4" s="392"/>
      <c r="I4" s="392"/>
      <c r="J4" s="392"/>
      <c r="K4" s="392"/>
      <c r="L4" s="392"/>
      <c r="M4" s="392"/>
      <c r="N4" s="392"/>
      <c r="O4" s="392"/>
      <c r="P4" s="392"/>
      <c r="Q4" s="392"/>
      <c r="R4" s="392"/>
      <c r="S4" s="392"/>
      <c r="T4" s="392"/>
      <c r="U4" s="392"/>
      <c r="V4" s="392"/>
    </row>
    <row r="5" spans="1:25" ht="20.399999999999999">
      <c r="A5" s="406" t="s">
        <v>1476</v>
      </c>
      <c r="B5" s="406"/>
      <c r="C5" s="406"/>
      <c r="D5" s="405"/>
      <c r="E5" s="405"/>
      <c r="F5" s="405"/>
      <c r="G5" s="392"/>
      <c r="H5" s="392"/>
      <c r="I5" s="392"/>
      <c r="J5" s="392"/>
      <c r="K5" s="392"/>
      <c r="L5" s="392"/>
      <c r="M5" s="392"/>
      <c r="N5" s="392"/>
      <c r="O5" s="392"/>
      <c r="P5" s="392"/>
      <c r="Q5" s="392"/>
      <c r="R5" s="392"/>
      <c r="S5" s="392"/>
      <c r="T5" s="392"/>
      <c r="U5" s="392"/>
      <c r="V5" s="392"/>
    </row>
    <row r="7" spans="1:25">
      <c r="A7" s="44" t="s">
        <v>1477</v>
      </c>
      <c r="B7" s="44"/>
      <c r="V7" s="45"/>
    </row>
    <row r="8" spans="1:25">
      <c r="A8" s="810" t="s">
        <v>555</v>
      </c>
      <c r="B8" s="811"/>
      <c r="C8" s="812"/>
      <c r="D8" s="421" t="s">
        <v>83</v>
      </c>
      <c r="E8" s="411" t="s">
        <v>1225</v>
      </c>
      <c r="F8" s="411" t="s">
        <v>1227</v>
      </c>
      <c r="G8" s="421" t="s">
        <v>85</v>
      </c>
      <c r="H8" s="411" t="s">
        <v>1703</v>
      </c>
      <c r="I8" s="411" t="s">
        <v>1704</v>
      </c>
      <c r="J8" s="421" t="s">
        <v>55</v>
      </c>
      <c r="K8" s="411" t="s">
        <v>87</v>
      </c>
      <c r="L8" s="411" t="s">
        <v>88</v>
      </c>
      <c r="M8" s="393" t="s">
        <v>629</v>
      </c>
      <c r="N8" s="411" t="s">
        <v>1705</v>
      </c>
      <c r="O8" s="411" t="s">
        <v>1706</v>
      </c>
      <c r="P8" s="393" t="s">
        <v>623</v>
      </c>
      <c r="Q8" s="411" t="s">
        <v>617</v>
      </c>
      <c r="R8" s="411" t="s">
        <v>619</v>
      </c>
      <c r="S8" s="393" t="s">
        <v>56</v>
      </c>
      <c r="T8" s="411" t="s">
        <v>624</v>
      </c>
      <c r="U8" s="411" t="s">
        <v>626</v>
      </c>
      <c r="V8" s="393" t="s">
        <v>63</v>
      </c>
      <c r="W8" s="411" t="s">
        <v>973</v>
      </c>
      <c r="X8" s="411" t="s">
        <v>1316</v>
      </c>
    </row>
    <row r="9" spans="1:25" s="391" customFormat="1" ht="18.75" customHeight="1">
      <c r="A9" s="813"/>
      <c r="B9" s="814"/>
      <c r="C9" s="815"/>
      <c r="D9" s="803" t="s">
        <v>1479</v>
      </c>
      <c r="E9" s="804"/>
      <c r="F9" s="804"/>
      <c r="G9" s="804"/>
      <c r="H9" s="804"/>
      <c r="I9" s="804"/>
      <c r="J9" s="804"/>
      <c r="K9" s="804"/>
      <c r="L9" s="805"/>
      <c r="M9" s="803" t="s">
        <v>1480</v>
      </c>
      <c r="N9" s="804"/>
      <c r="O9" s="804"/>
      <c r="P9" s="804"/>
      <c r="Q9" s="804"/>
      <c r="R9" s="804"/>
      <c r="S9" s="804"/>
      <c r="T9" s="804"/>
      <c r="U9" s="805"/>
      <c r="V9" s="803" t="s">
        <v>1481</v>
      </c>
      <c r="W9" s="804"/>
      <c r="X9" s="805"/>
    </row>
    <row r="10" spans="1:25" s="391" customFormat="1">
      <c r="A10" s="813"/>
      <c r="B10" s="814"/>
      <c r="C10" s="815"/>
      <c r="D10" s="803" t="s">
        <v>1482</v>
      </c>
      <c r="E10" s="804"/>
      <c r="F10" s="805"/>
      <c r="G10" s="658" t="s">
        <v>1483</v>
      </c>
      <c r="H10" s="806"/>
      <c r="I10" s="660"/>
      <c r="J10" s="658" t="s">
        <v>581</v>
      </c>
      <c r="K10" s="806"/>
      <c r="L10" s="660"/>
      <c r="M10" s="658" t="s">
        <v>1485</v>
      </c>
      <c r="N10" s="806"/>
      <c r="O10" s="660"/>
      <c r="P10" s="773" t="s">
        <v>1486</v>
      </c>
      <c r="Q10" s="773"/>
      <c r="R10" s="773"/>
      <c r="S10" s="658" t="s">
        <v>1509</v>
      </c>
      <c r="T10" s="806"/>
      <c r="U10" s="660"/>
      <c r="V10" s="798" t="s">
        <v>581</v>
      </c>
      <c r="W10" s="808" t="s">
        <v>1507</v>
      </c>
      <c r="X10" s="808" t="s">
        <v>1508</v>
      </c>
    </row>
    <row r="11" spans="1:25" s="391" customFormat="1">
      <c r="A11" s="816"/>
      <c r="B11" s="817"/>
      <c r="C11" s="818"/>
      <c r="D11" s="390" t="s">
        <v>599</v>
      </c>
      <c r="E11" s="431" t="s">
        <v>1507</v>
      </c>
      <c r="F11" s="431" t="s">
        <v>1508</v>
      </c>
      <c r="G11" s="424" t="s">
        <v>599</v>
      </c>
      <c r="H11" s="431" t="s">
        <v>1507</v>
      </c>
      <c r="I11" s="431" t="s">
        <v>1508</v>
      </c>
      <c r="J11" s="424" t="s">
        <v>599</v>
      </c>
      <c r="K11" s="431" t="s">
        <v>1507</v>
      </c>
      <c r="L11" s="431" t="s">
        <v>1508</v>
      </c>
      <c r="M11" s="424" t="s">
        <v>599</v>
      </c>
      <c r="N11" s="431" t="s">
        <v>1507</v>
      </c>
      <c r="O11" s="431" t="s">
        <v>1508</v>
      </c>
      <c r="P11" s="424" t="s">
        <v>599</v>
      </c>
      <c r="Q11" s="431" t="s">
        <v>1507</v>
      </c>
      <c r="R11" s="431" t="s">
        <v>1508</v>
      </c>
      <c r="S11" s="424" t="s">
        <v>599</v>
      </c>
      <c r="T11" s="431" t="s">
        <v>1507</v>
      </c>
      <c r="U11" s="431" t="s">
        <v>1508</v>
      </c>
      <c r="V11" s="807"/>
      <c r="W11" s="809"/>
      <c r="X11" s="809"/>
    </row>
    <row r="12" spans="1:25" s="391" customFormat="1">
      <c r="A12" s="407" t="s">
        <v>556</v>
      </c>
      <c r="B12" s="773" t="s">
        <v>1488</v>
      </c>
      <c r="C12" s="773"/>
      <c r="D12" s="408">
        <f>E12+F12</f>
        <v>0</v>
      </c>
      <c r="E12" s="449"/>
      <c r="F12" s="449"/>
      <c r="G12" s="408">
        <f>H12+I12</f>
        <v>0</v>
      </c>
      <c r="H12" s="449"/>
      <c r="I12" s="449"/>
      <c r="J12" s="408">
        <f>K12+L12</f>
        <v>0</v>
      </c>
      <c r="K12" s="449">
        <f t="shared" ref="K12:L16" si="0">E12+H12</f>
        <v>0</v>
      </c>
      <c r="L12" s="449">
        <f t="shared" si="0"/>
        <v>0</v>
      </c>
      <c r="M12" s="408">
        <f>N12+O12</f>
        <v>0</v>
      </c>
      <c r="N12" s="449"/>
      <c r="O12" s="449"/>
      <c r="P12" s="408">
        <f>Q12+R12</f>
        <v>0</v>
      </c>
      <c r="Q12" s="449"/>
      <c r="R12" s="449"/>
      <c r="S12" s="408">
        <f>T12+U12</f>
        <v>0</v>
      </c>
      <c r="T12" s="449">
        <f t="shared" ref="T12:U14" si="1">N12+Q12</f>
        <v>0</v>
      </c>
      <c r="U12" s="449">
        <f t="shared" si="1"/>
        <v>0</v>
      </c>
      <c r="V12" s="381">
        <f>J12+S12</f>
        <v>0</v>
      </c>
      <c r="W12" s="449">
        <f t="shared" ref="W12:X12" si="2">K12+T12</f>
        <v>0</v>
      </c>
      <c r="X12" s="449">
        <f t="shared" si="2"/>
        <v>0</v>
      </c>
    </row>
    <row r="13" spans="1:25" s="391" customFormat="1">
      <c r="A13" s="407" t="s">
        <v>695</v>
      </c>
      <c r="B13" s="773" t="s">
        <v>1489</v>
      </c>
      <c r="C13" s="409" t="s">
        <v>1490</v>
      </c>
      <c r="D13" s="408">
        <f>E13+F13</f>
        <v>0</v>
      </c>
      <c r="E13" s="449"/>
      <c r="F13" s="449"/>
      <c r="G13" s="408">
        <f>H13+I13</f>
        <v>0</v>
      </c>
      <c r="H13" s="449"/>
      <c r="I13" s="449"/>
      <c r="J13" s="408">
        <f>K13+L13</f>
        <v>0</v>
      </c>
      <c r="K13" s="449">
        <f t="shared" si="0"/>
        <v>0</v>
      </c>
      <c r="L13" s="449">
        <f t="shared" si="0"/>
        <v>0</v>
      </c>
      <c r="M13" s="408">
        <f>N13+O13</f>
        <v>0</v>
      </c>
      <c r="N13" s="449"/>
      <c r="O13" s="449"/>
      <c r="P13" s="408">
        <f t="shared" ref="P13:P16" si="3">Q13+R13</f>
        <v>0</v>
      </c>
      <c r="Q13" s="449"/>
      <c r="R13" s="449"/>
      <c r="S13" s="408">
        <f t="shared" ref="S13:S16" si="4">T13+U13</f>
        <v>0</v>
      </c>
      <c r="T13" s="449">
        <f t="shared" si="1"/>
        <v>0</v>
      </c>
      <c r="U13" s="449">
        <f t="shared" si="1"/>
        <v>0</v>
      </c>
      <c r="V13" s="381">
        <f t="shared" ref="V13:V16" si="5">J13+S13</f>
        <v>0</v>
      </c>
      <c r="W13" s="449">
        <f t="shared" ref="W13:W16" si="6">K13+T13</f>
        <v>0</v>
      </c>
      <c r="X13" s="449">
        <f t="shared" ref="X13:X16" si="7">L13+U13</f>
        <v>0</v>
      </c>
    </row>
    <row r="14" spans="1:25" s="391" customFormat="1">
      <c r="A14" s="407" t="s">
        <v>756</v>
      </c>
      <c r="B14" s="773"/>
      <c r="C14" s="409" t="s">
        <v>1491</v>
      </c>
      <c r="D14" s="408">
        <f>E14+F14</f>
        <v>0</v>
      </c>
      <c r="E14" s="449"/>
      <c r="F14" s="449"/>
      <c r="G14" s="408">
        <f>H14+I14</f>
        <v>0</v>
      </c>
      <c r="H14" s="449"/>
      <c r="I14" s="449"/>
      <c r="J14" s="408">
        <f t="shared" ref="J14:J16" si="8">K14+L14</f>
        <v>0</v>
      </c>
      <c r="K14" s="449">
        <f t="shared" si="0"/>
        <v>0</v>
      </c>
      <c r="L14" s="449">
        <f t="shared" si="0"/>
        <v>0</v>
      </c>
      <c r="M14" s="408">
        <f>N14+O14</f>
        <v>0</v>
      </c>
      <c r="N14" s="449"/>
      <c r="O14" s="449"/>
      <c r="P14" s="408">
        <f t="shared" si="3"/>
        <v>0</v>
      </c>
      <c r="Q14" s="449"/>
      <c r="R14" s="449"/>
      <c r="S14" s="408">
        <f t="shared" si="4"/>
        <v>0</v>
      </c>
      <c r="T14" s="449">
        <f t="shared" si="1"/>
        <v>0</v>
      </c>
      <c r="U14" s="449">
        <f t="shared" si="1"/>
        <v>0</v>
      </c>
      <c r="V14" s="381">
        <f t="shared" si="5"/>
        <v>0</v>
      </c>
      <c r="W14" s="449">
        <f t="shared" si="6"/>
        <v>0</v>
      </c>
      <c r="X14" s="449">
        <f t="shared" si="7"/>
        <v>0</v>
      </c>
    </row>
    <row r="15" spans="1:25" s="391" customFormat="1" ht="13.5" customHeight="1">
      <c r="A15" s="407" t="s">
        <v>557</v>
      </c>
      <c r="B15" s="773"/>
      <c r="C15" s="409" t="s">
        <v>67</v>
      </c>
      <c r="D15" s="410">
        <f t="shared" ref="D15:U15" si="9">D13+D14</f>
        <v>0</v>
      </c>
      <c r="E15" s="450">
        <f t="shared" si="9"/>
        <v>0</v>
      </c>
      <c r="F15" s="450">
        <f t="shared" si="9"/>
        <v>0</v>
      </c>
      <c r="G15" s="410">
        <f t="shared" si="9"/>
        <v>0</v>
      </c>
      <c r="H15" s="450">
        <f t="shared" si="9"/>
        <v>0</v>
      </c>
      <c r="I15" s="450">
        <f t="shared" si="9"/>
        <v>0</v>
      </c>
      <c r="J15" s="408">
        <f t="shared" si="8"/>
        <v>0</v>
      </c>
      <c r="K15" s="450">
        <f t="shared" si="9"/>
        <v>0</v>
      </c>
      <c r="L15" s="450">
        <f t="shared" si="9"/>
        <v>0</v>
      </c>
      <c r="M15" s="410">
        <f t="shared" si="9"/>
        <v>0</v>
      </c>
      <c r="N15" s="450">
        <f t="shared" si="9"/>
        <v>0</v>
      </c>
      <c r="O15" s="450">
        <f t="shared" si="9"/>
        <v>0</v>
      </c>
      <c r="P15" s="408">
        <f t="shared" si="3"/>
        <v>0</v>
      </c>
      <c r="Q15" s="450">
        <f t="shared" si="9"/>
        <v>0</v>
      </c>
      <c r="R15" s="450">
        <f t="shared" si="9"/>
        <v>0</v>
      </c>
      <c r="S15" s="408">
        <f t="shared" si="4"/>
        <v>0</v>
      </c>
      <c r="T15" s="450">
        <f t="shared" si="9"/>
        <v>0</v>
      </c>
      <c r="U15" s="450">
        <f t="shared" si="9"/>
        <v>0</v>
      </c>
      <c r="V15" s="381">
        <f t="shared" si="5"/>
        <v>0</v>
      </c>
      <c r="W15" s="449">
        <f t="shared" si="6"/>
        <v>0</v>
      </c>
      <c r="X15" s="449">
        <f t="shared" si="7"/>
        <v>0</v>
      </c>
    </row>
    <row r="16" spans="1:25" s="391" customFormat="1">
      <c r="A16" s="407" t="s">
        <v>558</v>
      </c>
      <c r="B16" s="773" t="s">
        <v>78</v>
      </c>
      <c r="C16" s="773"/>
      <c r="D16" s="410">
        <f t="shared" ref="D16:I16" si="10">SUM(D12+D15)</f>
        <v>0</v>
      </c>
      <c r="E16" s="450">
        <f t="shared" si="10"/>
        <v>0</v>
      </c>
      <c r="F16" s="450">
        <f t="shared" si="10"/>
        <v>0</v>
      </c>
      <c r="G16" s="410">
        <f t="shared" si="10"/>
        <v>0</v>
      </c>
      <c r="H16" s="450">
        <f t="shared" si="10"/>
        <v>0</v>
      </c>
      <c r="I16" s="450">
        <f t="shared" si="10"/>
        <v>0</v>
      </c>
      <c r="J16" s="408">
        <f t="shared" si="8"/>
        <v>0</v>
      </c>
      <c r="K16" s="449">
        <f t="shared" si="0"/>
        <v>0</v>
      </c>
      <c r="L16" s="449">
        <f t="shared" si="0"/>
        <v>0</v>
      </c>
      <c r="M16" s="410">
        <f t="shared" ref="M16:R16" si="11">SUM(M12+M15)</f>
        <v>0</v>
      </c>
      <c r="N16" s="450">
        <f t="shared" si="11"/>
        <v>0</v>
      </c>
      <c r="O16" s="450">
        <f t="shared" si="11"/>
        <v>0</v>
      </c>
      <c r="P16" s="408">
        <f t="shared" si="3"/>
        <v>0</v>
      </c>
      <c r="Q16" s="450">
        <f t="shared" si="11"/>
        <v>0</v>
      </c>
      <c r="R16" s="450">
        <f t="shared" si="11"/>
        <v>0</v>
      </c>
      <c r="S16" s="408">
        <f t="shared" si="4"/>
        <v>0</v>
      </c>
      <c r="T16" s="449">
        <f t="shared" ref="T16:U16" si="12">N16+Q16</f>
        <v>0</v>
      </c>
      <c r="U16" s="449">
        <f t="shared" si="12"/>
        <v>0</v>
      </c>
      <c r="V16" s="381">
        <f t="shared" si="5"/>
        <v>0</v>
      </c>
      <c r="W16" s="449">
        <f t="shared" si="6"/>
        <v>0</v>
      </c>
      <c r="X16" s="449">
        <f t="shared" si="7"/>
        <v>0</v>
      </c>
    </row>
    <row r="18" spans="1:22" ht="12" customHeight="1">
      <c r="A18" s="37" t="s">
        <v>777</v>
      </c>
    </row>
    <row r="19" spans="1:22" ht="12" customHeight="1"/>
    <row r="20" spans="1:22" ht="12" customHeight="1">
      <c r="A20" s="401" t="s">
        <v>59</v>
      </c>
      <c r="B20" s="58"/>
      <c r="C20" s="58"/>
      <c r="D20" s="58"/>
      <c r="E20" s="58"/>
      <c r="F20" s="58"/>
      <c r="G20" s="58"/>
      <c r="H20" s="58"/>
      <c r="I20" s="58"/>
      <c r="J20" s="58"/>
      <c r="K20" s="58"/>
      <c r="L20" s="58"/>
      <c r="M20" s="58"/>
      <c r="N20" s="58"/>
      <c r="O20" s="58"/>
      <c r="P20" s="58"/>
      <c r="Q20" s="58"/>
      <c r="R20" s="58"/>
      <c r="S20" s="58"/>
      <c r="T20" s="58"/>
      <c r="U20" s="58"/>
      <c r="V20" s="58"/>
    </row>
    <row r="21" spans="1:22" ht="12" customHeight="1">
      <c r="A21" s="58"/>
      <c r="B21" s="58"/>
      <c r="C21" s="58"/>
      <c r="D21" s="58"/>
      <c r="E21" s="58"/>
      <c r="F21" s="58"/>
      <c r="G21" s="58"/>
      <c r="H21" s="58"/>
      <c r="I21" s="58"/>
      <c r="J21" s="58"/>
      <c r="K21" s="58"/>
      <c r="L21" s="58"/>
      <c r="M21" s="58"/>
      <c r="N21" s="58"/>
      <c r="O21" s="58"/>
      <c r="P21" s="58"/>
      <c r="Q21" s="58"/>
      <c r="R21" s="58"/>
      <c r="S21" s="58"/>
      <c r="T21" s="58"/>
      <c r="U21" s="58"/>
      <c r="V21" s="58"/>
    </row>
    <row r="22" spans="1:22" ht="12" customHeight="1">
      <c r="A22" s="44" t="s">
        <v>1492</v>
      </c>
      <c r="B22" s="44"/>
      <c r="C22" s="44"/>
      <c r="D22" s="44"/>
      <c r="E22" s="44"/>
      <c r="F22" s="44"/>
      <c r="G22" s="44"/>
      <c r="H22" s="44"/>
      <c r="I22" s="44"/>
      <c r="J22" s="44"/>
      <c r="K22" s="44"/>
      <c r="L22" s="44"/>
      <c r="M22" s="44"/>
      <c r="N22" s="44"/>
      <c r="O22" s="44"/>
      <c r="P22" s="44"/>
      <c r="Q22" s="44"/>
      <c r="R22" s="44"/>
      <c r="S22" s="44"/>
      <c r="T22" s="44"/>
      <c r="U22" s="44"/>
      <c r="V22" s="44"/>
    </row>
    <row r="23" spans="1:22" ht="12" customHeight="1">
      <c r="A23" s="44"/>
      <c r="B23" s="44"/>
      <c r="C23" s="44"/>
      <c r="D23" s="44"/>
      <c r="E23" s="44"/>
      <c r="F23" s="44"/>
      <c r="G23" s="44"/>
      <c r="H23" s="44"/>
      <c r="I23" s="44"/>
      <c r="J23" s="44"/>
      <c r="K23" s="44"/>
      <c r="L23" s="44"/>
      <c r="M23" s="44"/>
      <c r="N23" s="44"/>
      <c r="O23" s="44"/>
      <c r="P23" s="44"/>
      <c r="Q23" s="44"/>
      <c r="R23" s="44"/>
      <c r="S23" s="44"/>
      <c r="T23" s="44"/>
      <c r="U23" s="44"/>
      <c r="V23" s="44"/>
    </row>
    <row r="24" spans="1:22" ht="12" customHeight="1">
      <c r="A24" s="44" t="s">
        <v>1493</v>
      </c>
      <c r="B24" s="44"/>
      <c r="C24" s="44"/>
      <c r="D24" s="44"/>
      <c r="E24" s="44"/>
      <c r="F24" s="44"/>
      <c r="G24" s="44"/>
      <c r="H24" s="44"/>
      <c r="I24" s="44"/>
      <c r="J24" s="44"/>
      <c r="K24" s="44"/>
      <c r="L24" s="44"/>
      <c r="M24" s="44"/>
      <c r="N24" s="44"/>
      <c r="O24" s="44"/>
      <c r="P24" s="44"/>
      <c r="Q24" s="44"/>
      <c r="R24" s="44"/>
      <c r="S24" s="44"/>
      <c r="T24" s="44"/>
      <c r="U24" s="44"/>
      <c r="V24" s="44"/>
    </row>
    <row r="25" spans="1:22" ht="12" customHeight="1">
      <c r="A25" s="44"/>
      <c r="B25" s="44"/>
      <c r="C25" s="44"/>
      <c r="D25" s="44"/>
      <c r="E25" s="44"/>
      <c r="F25" s="44"/>
      <c r="G25" s="44"/>
      <c r="H25" s="44"/>
      <c r="I25" s="44"/>
      <c r="J25" s="44"/>
      <c r="K25" s="44"/>
      <c r="L25" s="44"/>
      <c r="M25" s="44"/>
      <c r="N25" s="44"/>
      <c r="O25" s="44"/>
      <c r="P25" s="44"/>
      <c r="Q25" s="44"/>
      <c r="R25" s="44"/>
      <c r="S25" s="44"/>
      <c r="T25" s="44"/>
      <c r="U25" s="44"/>
      <c r="V25" s="44"/>
    </row>
    <row r="26" spans="1:22" ht="12" customHeight="1">
      <c r="A26" s="44" t="s">
        <v>1494</v>
      </c>
      <c r="B26" s="44"/>
      <c r="C26" s="44"/>
      <c r="D26" s="44"/>
      <c r="E26" s="44"/>
      <c r="F26" s="44"/>
      <c r="G26" s="44"/>
      <c r="H26" s="44"/>
      <c r="I26" s="44"/>
      <c r="J26" s="44"/>
      <c r="K26" s="44"/>
      <c r="L26" s="44"/>
      <c r="M26" s="44"/>
      <c r="N26" s="44"/>
      <c r="O26" s="44"/>
      <c r="P26" s="44"/>
      <c r="Q26" s="44"/>
      <c r="R26" s="44"/>
      <c r="S26" s="44"/>
      <c r="T26" s="44"/>
      <c r="U26" s="44"/>
      <c r="V26" s="44"/>
    </row>
    <row r="27" spans="1:22" ht="12" customHeight="1">
      <c r="A27" s="44"/>
      <c r="B27" s="44"/>
      <c r="C27" s="44"/>
      <c r="D27" s="44"/>
      <c r="E27" s="44"/>
      <c r="F27" s="44"/>
      <c r="G27" s="44"/>
      <c r="H27" s="44"/>
      <c r="I27" s="44"/>
      <c r="J27" s="44"/>
      <c r="K27" s="44"/>
      <c r="L27" s="44"/>
      <c r="M27" s="44"/>
      <c r="N27" s="44"/>
      <c r="O27" s="44"/>
      <c r="P27" s="44"/>
      <c r="Q27" s="44"/>
      <c r="R27" s="44"/>
      <c r="S27" s="44"/>
      <c r="T27" s="44"/>
      <c r="U27" s="44"/>
      <c r="V27" s="44"/>
    </row>
    <row r="28" spans="1:22" ht="12" customHeight="1">
      <c r="A28" s="44" t="s">
        <v>1495</v>
      </c>
      <c r="B28" s="44"/>
      <c r="C28" s="44"/>
      <c r="D28" s="44"/>
      <c r="E28" s="44"/>
      <c r="F28" s="44"/>
      <c r="G28" s="44"/>
      <c r="H28" s="44"/>
      <c r="I28" s="44"/>
      <c r="J28" s="44"/>
      <c r="K28" s="44"/>
      <c r="L28" s="44"/>
      <c r="M28" s="44"/>
      <c r="N28" s="44"/>
      <c r="O28" s="44"/>
      <c r="P28" s="44"/>
      <c r="Q28" s="44"/>
      <c r="R28" s="44"/>
      <c r="S28" s="44"/>
      <c r="T28" s="44"/>
      <c r="U28" s="44"/>
      <c r="V28" s="44"/>
    </row>
    <row r="29" spans="1:22" ht="12" customHeight="1">
      <c r="A29" s="44" t="s">
        <v>1496</v>
      </c>
      <c r="B29" s="44"/>
      <c r="C29" s="44"/>
      <c r="D29" s="44"/>
      <c r="E29" s="44"/>
      <c r="F29" s="44"/>
      <c r="G29" s="44"/>
      <c r="H29" s="44"/>
      <c r="I29" s="44"/>
      <c r="J29" s="44"/>
      <c r="K29" s="44"/>
      <c r="L29" s="44"/>
      <c r="M29" s="44"/>
      <c r="N29" s="44"/>
      <c r="O29" s="44"/>
      <c r="P29" s="44"/>
      <c r="Q29" s="44"/>
      <c r="R29" s="44"/>
      <c r="S29" s="44"/>
      <c r="T29" s="44"/>
      <c r="U29" s="44"/>
      <c r="V29" s="44"/>
    </row>
    <row r="30" spans="1:22" ht="12" customHeight="1">
      <c r="A30" s="44"/>
      <c r="B30" s="44"/>
      <c r="C30" s="44"/>
      <c r="D30" s="44"/>
      <c r="E30" s="44"/>
      <c r="F30" s="44"/>
      <c r="G30" s="44"/>
      <c r="H30" s="44"/>
      <c r="I30" s="44"/>
      <c r="J30" s="44"/>
      <c r="K30" s="44" t="s">
        <v>1645</v>
      </c>
      <c r="L30" s="44"/>
      <c r="M30" s="44"/>
      <c r="N30" s="44"/>
      <c r="O30" s="44"/>
      <c r="P30" s="44"/>
      <c r="Q30" s="44"/>
      <c r="R30" s="44"/>
      <c r="S30" s="44"/>
      <c r="T30" s="44"/>
      <c r="U30" s="44"/>
      <c r="V30" s="44"/>
    </row>
    <row r="31" spans="1:22">
      <c r="A31" s="14" t="s">
        <v>1497</v>
      </c>
    </row>
    <row r="32" spans="1:22">
      <c r="A32" s="44"/>
    </row>
    <row r="33" spans="1:11">
      <c r="A33" s="44"/>
    </row>
    <row r="34" spans="1:11">
      <c r="A34" s="109" t="s">
        <v>1498</v>
      </c>
      <c r="B34" s="37"/>
    </row>
    <row r="35" spans="1:11">
      <c r="A35" s="44" t="s">
        <v>1499</v>
      </c>
    </row>
    <row r="36" spans="1:11">
      <c r="A36" s="446" t="s">
        <v>1758</v>
      </c>
      <c r="B36" s="280"/>
      <c r="C36" s="280"/>
      <c r="D36" s="423"/>
      <c r="E36" s="423"/>
      <c r="F36" s="423"/>
      <c r="G36" s="423"/>
      <c r="H36" s="423"/>
      <c r="I36" s="423"/>
      <c r="J36" s="423"/>
      <c r="K36" s="423"/>
    </row>
    <row r="37" spans="1:11">
      <c r="A37" s="44"/>
    </row>
    <row r="38" spans="1:11">
      <c r="A38" s="44"/>
    </row>
    <row r="39" spans="1:11">
      <c r="A39" s="44"/>
    </row>
    <row r="40" spans="1:11">
      <c r="A40" s="44"/>
    </row>
    <row r="41" spans="1:11">
      <c r="A41" s="44"/>
    </row>
    <row r="42" spans="1:11">
      <c r="A42" s="44"/>
    </row>
    <row r="43" spans="1:11">
      <c r="A43" s="44"/>
    </row>
    <row r="44" spans="1:11">
      <c r="A44" s="44"/>
    </row>
    <row r="45" spans="1:11">
      <c r="A45" s="44"/>
    </row>
    <row r="46" spans="1:11">
      <c r="A46" s="44"/>
    </row>
    <row r="47" spans="1:11">
      <c r="A47" s="44"/>
    </row>
    <row r="48" spans="1:11">
      <c r="A48" s="44"/>
    </row>
    <row r="49" spans="1:1">
      <c r="A49" s="44"/>
    </row>
    <row r="50" spans="1:1">
      <c r="A50" s="44"/>
    </row>
    <row r="51" spans="1:1">
      <c r="A51" s="44"/>
    </row>
    <row r="52" spans="1:1">
      <c r="A52" s="44"/>
    </row>
    <row r="53" spans="1:1">
      <c r="A53" s="44"/>
    </row>
    <row r="54" spans="1:1">
      <c r="A54" s="44"/>
    </row>
    <row r="55" spans="1:1">
      <c r="A55" s="44"/>
    </row>
    <row r="56" spans="1:1">
      <c r="A56" s="44"/>
    </row>
    <row r="57" spans="1:1">
      <c r="A57" s="44"/>
    </row>
    <row r="58" spans="1:1">
      <c r="A58" s="44"/>
    </row>
    <row r="59" spans="1:1">
      <c r="A59" s="44"/>
    </row>
    <row r="60" spans="1:1">
      <c r="A60" s="44"/>
    </row>
    <row r="61" spans="1:1">
      <c r="A61" s="44"/>
    </row>
    <row r="62" spans="1:1">
      <c r="A62" s="44"/>
    </row>
    <row r="63" spans="1:1">
      <c r="A63" s="44"/>
    </row>
    <row r="64" spans="1:1">
      <c r="A64" s="44"/>
    </row>
    <row r="65" spans="1:1">
      <c r="A65" s="44"/>
    </row>
    <row r="66" spans="1:1">
      <c r="A66" s="44"/>
    </row>
    <row r="67" spans="1:1">
      <c r="A67" s="44"/>
    </row>
    <row r="68" spans="1:1">
      <c r="A68" s="44"/>
    </row>
    <row r="69" spans="1:1">
      <c r="A69" s="44"/>
    </row>
    <row r="70" spans="1:1">
      <c r="A70" s="44"/>
    </row>
    <row r="71" spans="1:1">
      <c r="A71" s="44"/>
    </row>
    <row r="72" spans="1:1" ht="14.25" customHeight="1">
      <c r="A72" s="44"/>
    </row>
    <row r="73" spans="1:1" ht="14.25" customHeight="1">
      <c r="A73" s="44"/>
    </row>
    <row r="74" spans="1:1" ht="14.25" customHeight="1">
      <c r="A74" s="44"/>
    </row>
    <row r="75" spans="1:1" ht="14.25" customHeight="1">
      <c r="A75" s="44"/>
    </row>
    <row r="76" spans="1:1" ht="14.25" customHeight="1">
      <c r="A76" s="44"/>
    </row>
    <row r="77" spans="1:1" ht="14.25" customHeight="1">
      <c r="A77" s="44"/>
    </row>
    <row r="78" spans="1:1" ht="14.25" customHeight="1">
      <c r="A78" s="44"/>
    </row>
    <row r="79" spans="1:1">
      <c r="A79" s="44"/>
    </row>
    <row r="80" spans="1:1">
      <c r="A80" s="44"/>
    </row>
    <row r="81" spans="1:1">
      <c r="A81" s="44"/>
    </row>
    <row r="82" spans="1:1">
      <c r="A82" s="44"/>
    </row>
    <row r="83" spans="1:1">
      <c r="A83" s="44"/>
    </row>
    <row r="84" spans="1:1">
      <c r="A84" s="44"/>
    </row>
    <row r="85" spans="1:1">
      <c r="A85" s="44"/>
    </row>
    <row r="86" spans="1:1">
      <c r="A86" s="44"/>
    </row>
    <row r="87" spans="1:1">
      <c r="A87" s="44"/>
    </row>
    <row r="88" spans="1:1">
      <c r="A88" s="44"/>
    </row>
    <row r="89" spans="1:1" ht="20.25" customHeight="1">
      <c r="A89" s="44"/>
    </row>
    <row r="90" spans="1:1">
      <c r="A90" s="44"/>
    </row>
    <row r="91" spans="1:1">
      <c r="A91" s="44"/>
    </row>
    <row r="92" spans="1:1">
      <c r="A92" s="44"/>
    </row>
    <row r="93" spans="1:1">
      <c r="A93" s="44"/>
    </row>
    <row r="94" spans="1:1">
      <c r="A94" s="44"/>
    </row>
    <row r="95" spans="1:1">
      <c r="A95" s="44"/>
    </row>
    <row r="96" spans="1:1">
      <c r="A96" s="44"/>
    </row>
    <row r="97" spans="1:1">
      <c r="A97" s="44"/>
    </row>
    <row r="98" spans="1:1">
      <c r="A98" s="44"/>
    </row>
    <row r="99" spans="1:1">
      <c r="A99" s="44"/>
    </row>
    <row r="100" spans="1:1">
      <c r="A100" s="44"/>
    </row>
    <row r="101" spans="1:1">
      <c r="A101" s="44"/>
    </row>
    <row r="198" ht="13.5" customHeight="1"/>
    <row r="201" ht="14.25" customHeight="1"/>
    <row r="202" ht="14.25" customHeight="1"/>
    <row r="204" ht="14.25" customHeight="1"/>
    <row r="206" ht="14.25" customHeight="1"/>
    <row r="211" ht="14.25" customHeight="1"/>
    <row r="213" ht="14.25" customHeight="1"/>
    <row r="214" ht="14.25" customHeight="1"/>
    <row r="215" ht="27.75" customHeight="1"/>
    <row r="217" ht="14.25" customHeight="1"/>
    <row r="219" ht="14.25" customHeight="1"/>
    <row r="220" ht="14.25" customHeight="1"/>
    <row r="221" ht="14.25" customHeight="1"/>
    <row r="223" ht="14.25" customHeight="1"/>
    <row r="521" ht="20.25" customHeight="1"/>
    <row r="523" ht="13.5" customHeight="1"/>
    <row r="525" ht="22.5" customHeight="1"/>
    <row r="529" ht="19.5" customHeight="1"/>
    <row r="531" ht="20.25" customHeight="1"/>
    <row r="532" ht="19.5" customHeight="1"/>
    <row r="534" ht="19.5" customHeight="1"/>
    <row r="538" ht="19.5" customHeight="1"/>
    <row r="544" ht="19.5" customHeight="1"/>
    <row r="548" ht="13.5" customHeight="1"/>
    <row r="551" ht="22.5" customHeight="1"/>
    <row r="555" ht="19.5" customHeight="1"/>
    <row r="557" ht="19.5" customHeight="1"/>
    <row r="559" ht="20.25" customHeight="1"/>
    <row r="560" ht="20.25" customHeight="1"/>
    <row r="566" ht="20.25" customHeight="1"/>
    <row r="615" ht="20.25" customHeight="1"/>
    <row r="631" ht="20.25" customHeight="1"/>
    <row r="647" ht="20.25" customHeight="1"/>
    <row r="648" ht="20.25" customHeight="1"/>
    <row r="652" ht="20.25" customHeight="1"/>
    <row r="658" ht="20.25" customHeight="1"/>
    <row r="659" ht="19.5" customHeight="1"/>
    <row r="661" ht="20.25" customHeight="1"/>
    <row r="662" ht="20.25" customHeight="1"/>
    <row r="663" ht="20.25" customHeight="1"/>
    <row r="664" ht="20.25" customHeight="1"/>
    <row r="677" ht="19.5" customHeight="1"/>
    <row r="680" ht="14.25" customHeight="1"/>
    <row r="682" ht="19.5" customHeight="1"/>
    <row r="684" ht="19.5" customHeight="1"/>
    <row r="686" ht="19.5" customHeight="1"/>
    <row r="688" ht="19.5" customHeight="1"/>
    <row r="690" ht="19.5" customHeight="1"/>
    <row r="692" ht="19.5" customHeight="1"/>
    <row r="694" ht="19.5" customHeight="1"/>
    <row r="696" ht="19.5" customHeight="1"/>
    <row r="698" ht="22.5" customHeight="1"/>
    <row r="700" ht="19.5" customHeight="1"/>
    <row r="702" ht="19.5" customHeight="1"/>
    <row r="704" ht="19.5" customHeight="1"/>
    <row r="706" ht="19.5" customHeight="1"/>
    <row r="712" ht="20.25" customHeight="1"/>
    <row r="713" ht="22.5" customHeight="1"/>
    <row r="734" ht="20.25" customHeight="1"/>
    <row r="740" ht="20.25" customHeight="1"/>
    <row r="744" ht="14.25" customHeight="1"/>
    <row r="747" ht="24.75" customHeight="1"/>
    <row r="752" ht="19.5" customHeight="1"/>
    <row r="760" ht="20.25" customHeight="1"/>
    <row r="768" ht="39" customHeight="1"/>
    <row r="790" ht="22.5" customHeight="1"/>
    <row r="791" ht="14.25" customHeight="1"/>
    <row r="793" ht="20.25" customHeight="1"/>
    <row r="801" ht="20.25" customHeight="1"/>
    <row r="804" ht="19.5" customHeight="1"/>
    <row r="805" ht="13.5" customHeight="1"/>
    <row r="809" ht="19.5" customHeight="1"/>
    <row r="812" ht="20.25" customHeight="1"/>
    <row r="813" ht="20.25" customHeight="1"/>
    <row r="833" ht="20.25" customHeight="1"/>
    <row r="841" ht="20.25" customHeight="1"/>
    <row r="847" ht="20.25" customHeight="1"/>
    <row r="867" ht="20.25" customHeight="1"/>
    <row r="903" ht="22.5" customHeight="1"/>
    <row r="908" ht="20.25" customHeight="1"/>
    <row r="962" ht="20.25" customHeight="1"/>
    <row r="964" ht="13.5" customHeight="1"/>
    <row r="981" ht="20.25" customHeight="1"/>
    <row r="983" ht="20.25" customHeight="1"/>
    <row r="984" ht="20.25" customHeight="1"/>
    <row r="986" ht="20.25" customHeight="1"/>
    <row r="988" ht="20.25" customHeight="1"/>
    <row r="1001" ht="20.25" customHeight="1"/>
    <row r="1018" ht="20.25" customHeight="1"/>
    <row r="1020" ht="20.25" customHeight="1"/>
    <row r="1021" ht="20.25" customHeight="1"/>
    <row r="1023" ht="22.5" customHeight="1"/>
    <row r="1036" ht="19.5" customHeight="1"/>
    <row r="1037" ht="14.25" customHeight="1"/>
    <row r="1072" ht="14.25" customHeight="1"/>
    <row r="1086" ht="19.5" customHeight="1"/>
    <row r="1122" ht="20.25" customHeight="1"/>
    <row r="1130" ht="20.25" customHeight="1"/>
    <row r="1136" ht="20.25" customHeight="1"/>
    <row r="1155" ht="19.5" customHeight="1"/>
    <row r="1156" ht="13.5" customHeight="1"/>
    <row r="1158" ht="14.25" customHeight="1"/>
    <row r="1160" ht="13.5" customHeight="1"/>
    <row r="1180" ht="19.5" customHeight="1"/>
    <row r="1181" ht="14.25" customHeight="1"/>
    <row r="1183" ht="13.5" customHeight="1"/>
    <row r="1204" ht="19.5" customHeight="1"/>
    <row r="1205" ht="14.25" customHeight="1"/>
    <row r="1222" ht="19.5" customHeight="1"/>
    <row r="1230" ht="19.5" customHeight="1"/>
    <row r="1261" ht="20.25" customHeight="1"/>
    <row r="1263" ht="19.5" customHeight="1"/>
    <row r="1264" ht="14.25" customHeight="1"/>
    <row r="1272" ht="19.5" customHeight="1"/>
    <row r="1273" ht="14.25" customHeight="1"/>
    <row r="1284" ht="19.5" customHeight="1"/>
    <row r="1287" ht="14.25" customHeight="1"/>
    <row r="1316" ht="24" customHeight="1"/>
    <row r="1319" ht="13.5" customHeight="1"/>
    <row r="1322" ht="20.25" customHeight="1"/>
    <row r="1323" ht="22.5" customHeight="1"/>
    <row r="1357" ht="19.5" customHeight="1"/>
    <row r="1358" ht="14.25" customHeight="1"/>
    <row r="1368" ht="39" customHeight="1"/>
    <row r="1376" ht="19.5" customHeight="1"/>
    <row r="1377" ht="13.5" customHeight="1"/>
    <row r="1379" ht="14.25" customHeight="1"/>
    <row r="1398" ht="19.5" customHeight="1"/>
    <row r="1411" ht="19.5" customHeight="1"/>
    <row r="1419" ht="13.5" customHeight="1"/>
    <row r="1425" ht="20.25" customHeight="1"/>
    <row r="1480" ht="14.25" customHeight="1"/>
    <row r="1481" ht="13.5" customHeight="1"/>
    <row r="1519" ht="14.25" customHeight="1"/>
    <row r="1554" ht="14.25" customHeight="1"/>
    <row r="1556" ht="13.5" customHeight="1"/>
    <row r="1573" ht="19.5" customHeight="1"/>
    <row r="1574" ht="14.25" customHeight="1"/>
    <row r="1576" ht="13.5" customHeight="1"/>
    <row r="1596" ht="14.25" customHeight="1"/>
    <row r="1598" ht="13.5" customHeight="1"/>
    <row r="1615" ht="19.5" customHeight="1"/>
    <row r="1616" ht="14.25" customHeight="1"/>
    <row r="1618" ht="13.5" customHeight="1"/>
    <row r="1641" ht="13.5" customHeight="1"/>
    <row r="1644" ht="13.5" customHeight="1"/>
    <row r="1647" ht="13.5" customHeight="1"/>
    <row r="1650" ht="13.5" customHeight="1"/>
    <row r="1653" ht="13.5" customHeight="1"/>
    <row r="1656" ht="13.5" customHeight="1"/>
    <row r="1661" ht="20.25" customHeight="1"/>
    <row r="1687" ht="39" customHeight="1"/>
    <row r="1698" ht="22.5" customHeight="1"/>
    <row r="1699" ht="13.5" customHeight="1"/>
    <row r="1701" ht="19.5" customHeight="1"/>
    <row r="1704" ht="14.25" customHeight="1"/>
    <row r="1706" ht="13.5" customHeight="1"/>
    <row r="1766" ht="13.5" customHeight="1"/>
    <row r="1767" ht="14.25" customHeight="1"/>
    <row r="1779" ht="13.5" customHeight="1"/>
    <row r="1780" ht="14.25" customHeight="1"/>
    <row r="1847" ht="19.5" customHeight="1"/>
    <row r="1848" ht="14.25" customHeight="1"/>
    <row r="1868" ht="20.25" customHeight="1"/>
    <row r="1884" ht="20.25" customHeight="1"/>
    <row r="1892" ht="21" customHeight="1"/>
    <row r="1894" ht="14.25" customHeight="1"/>
    <row r="1895" ht="14.25" customHeight="1"/>
    <row r="1896" ht="14.25" customHeight="1"/>
    <row r="1897" ht="14.25" customHeight="1"/>
    <row r="1898" ht="14.25" customHeight="1"/>
    <row r="1899" ht="14.25" customHeight="1"/>
    <row r="1911" ht="20.25" customHeight="1"/>
    <row r="1927" ht="20.25" customHeight="1"/>
    <row r="1937" ht="14.25" customHeight="1"/>
    <row r="1938" ht="14.25" customHeight="1"/>
    <row r="1947" ht="13.5" customHeight="1"/>
    <row r="1972" ht="14.25" customHeight="1"/>
    <row r="1973" ht="14.25" customHeight="1"/>
    <row r="1974" ht="14.25" customHeight="1"/>
    <row r="2016" ht="13.5" customHeight="1"/>
    <row r="2020" ht="13.5" customHeight="1"/>
    <row r="2043" ht="20.25" customHeight="1"/>
    <row r="2056" ht="20.25" customHeight="1"/>
    <row r="2057" ht="20.25" customHeight="1"/>
    <row r="2058" ht="20.25" customHeight="1"/>
    <row r="2060" ht="20.25" customHeight="1"/>
    <row r="2062" ht="20.25" customHeight="1"/>
    <row r="2063" ht="20.25" customHeight="1"/>
    <row r="2077" ht="20.25" customHeight="1"/>
    <row r="2081" ht="20.25" customHeight="1"/>
    <row r="2093" ht="20.25" customHeight="1"/>
    <row r="2094" ht="20.25" customHeight="1"/>
    <row r="2099" ht="20.25" customHeight="1"/>
    <row r="2115" ht="20.25" customHeight="1"/>
    <row r="2130" ht="20.25" customHeight="1"/>
    <row r="2155" ht="13.5" customHeight="1"/>
    <row r="2249" ht="13.5" customHeight="1"/>
    <row r="2257" ht="19.5" customHeight="1"/>
    <row r="2283" ht="19.5" customHeight="1"/>
    <row r="2284" ht="13.5" customHeight="1"/>
  </sheetData>
  <mergeCells count="16">
    <mergeCell ref="B16:C16"/>
    <mergeCell ref="D9:L9"/>
    <mergeCell ref="M9:U9"/>
    <mergeCell ref="B12:C12"/>
    <mergeCell ref="B13:B15"/>
    <mergeCell ref="P10:R10"/>
    <mergeCell ref="S10:U10"/>
    <mergeCell ref="A8:C11"/>
    <mergeCell ref="V9:X9"/>
    <mergeCell ref="D10:F10"/>
    <mergeCell ref="G10:I10"/>
    <mergeCell ref="J10:L10"/>
    <mergeCell ref="M10:O10"/>
    <mergeCell ref="V10:V11"/>
    <mergeCell ref="W10:W11"/>
    <mergeCell ref="X10:X11"/>
  </mergeCells>
  <phoneticPr fontId="6" type="noConversion"/>
  <pageMargins left="0.15748031496062992" right="0.15748031496062992" top="0.51181102362204722" bottom="0.47244094488188981" header="0.51181102362204722" footer="0.51181102362204722"/>
  <pageSetup paperSize="9" scale="52" orientation="portrait" horizontalDpi="4294967292" r:id="rId1"/>
  <headerFooter alignWithMargins="0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EE68F0-EB26-4B5C-8085-B0167EF3F2BA}">
  <sheetPr codeName="Sheet20">
    <tabColor theme="0" tint="-0.249977111117893"/>
  </sheetPr>
  <dimension ref="A5:H39"/>
  <sheetViews>
    <sheetView view="pageBreakPreview" zoomScaleNormal="100" zoomScaleSheetLayoutView="100" workbookViewId="0">
      <pane xSplit="2" ySplit="10" topLeftCell="C11" activePane="bottomRight" state="frozen"/>
      <selection pane="topRight" activeCell="C1" sqref="C1"/>
      <selection pane="bottomLeft" activeCell="A11" sqref="A11"/>
      <selection pane="bottomRight" activeCell="A7" sqref="A7"/>
    </sheetView>
  </sheetViews>
  <sheetFormatPr defaultColWidth="8.8984375" defaultRowHeight="14.4"/>
  <cols>
    <col min="1" max="1" width="5.19921875" style="5" customWidth="1"/>
    <col min="2" max="2" width="15.69921875" style="5" customWidth="1"/>
    <col min="3" max="8" width="12.8984375" style="5" customWidth="1"/>
    <col min="9" max="16384" width="8.8984375" style="5"/>
  </cols>
  <sheetData>
    <row r="5" spans="1:8" ht="20.399999999999999">
      <c r="A5" s="273" t="s">
        <v>1183</v>
      </c>
    </row>
    <row r="7" spans="1:8">
      <c r="A7" s="5" t="s">
        <v>1184</v>
      </c>
    </row>
    <row r="8" spans="1:8">
      <c r="A8" s="776" t="s">
        <v>555</v>
      </c>
      <c r="B8" s="777"/>
      <c r="C8" s="230" t="s">
        <v>556</v>
      </c>
      <c r="D8" s="230" t="s">
        <v>557</v>
      </c>
      <c r="E8" s="230" t="s">
        <v>558</v>
      </c>
      <c r="F8" s="230" t="s">
        <v>559</v>
      </c>
      <c r="G8" s="230" t="s">
        <v>561</v>
      </c>
      <c r="H8" s="230" t="s">
        <v>560</v>
      </c>
    </row>
    <row r="9" spans="1:8">
      <c r="A9" s="778"/>
      <c r="B9" s="779"/>
      <c r="C9" s="821" t="s">
        <v>1185</v>
      </c>
      <c r="D9" s="821" t="s">
        <v>1186</v>
      </c>
      <c r="E9" s="274" t="s">
        <v>1187</v>
      </c>
      <c r="F9" s="275"/>
      <c r="G9" s="274" t="s">
        <v>1188</v>
      </c>
      <c r="H9" s="276"/>
    </row>
    <row r="10" spans="1:8">
      <c r="A10" s="819"/>
      <c r="B10" s="820"/>
      <c r="C10" s="822"/>
      <c r="D10" s="822"/>
      <c r="E10" s="277" t="s">
        <v>1189</v>
      </c>
      <c r="F10" s="68" t="s">
        <v>1190</v>
      </c>
      <c r="G10" s="68" t="s">
        <v>1189</v>
      </c>
      <c r="H10" s="68" t="s">
        <v>1190</v>
      </c>
    </row>
    <row r="11" spans="1:8">
      <c r="A11" s="278" t="s">
        <v>83</v>
      </c>
      <c r="B11" s="230" t="s">
        <v>1191</v>
      </c>
      <c r="C11" s="278"/>
      <c r="D11" s="278"/>
      <c r="E11" s="278"/>
      <c r="F11" s="278"/>
      <c r="G11" s="278"/>
      <c r="H11" s="278"/>
    </row>
    <row r="12" spans="1:8">
      <c r="A12" s="278" t="s">
        <v>85</v>
      </c>
      <c r="B12" s="230" t="s">
        <v>1192</v>
      </c>
      <c r="C12" s="278"/>
      <c r="D12" s="278"/>
      <c r="E12" s="278"/>
      <c r="F12" s="278"/>
      <c r="G12" s="278"/>
      <c r="H12" s="278"/>
    </row>
    <row r="13" spans="1:8">
      <c r="A13" s="278" t="s">
        <v>87</v>
      </c>
      <c r="B13" s="230" t="s">
        <v>1193</v>
      </c>
      <c r="C13" s="278"/>
      <c r="D13" s="278"/>
      <c r="E13" s="278"/>
      <c r="F13" s="278"/>
      <c r="G13" s="278"/>
      <c r="H13" s="278"/>
    </row>
    <row r="14" spans="1:8">
      <c r="A14" s="278" t="s">
        <v>88</v>
      </c>
      <c r="B14" s="230" t="s">
        <v>1194</v>
      </c>
      <c r="C14" s="278"/>
      <c r="D14" s="278"/>
      <c r="E14" s="278"/>
      <c r="F14" s="278"/>
      <c r="G14" s="278"/>
      <c r="H14" s="278"/>
    </row>
    <row r="15" spans="1:8">
      <c r="A15" s="278" t="s">
        <v>93</v>
      </c>
      <c r="B15" s="230" t="s">
        <v>1195</v>
      </c>
      <c r="C15" s="278"/>
      <c r="D15" s="278"/>
      <c r="E15" s="278"/>
      <c r="F15" s="278"/>
      <c r="G15" s="278"/>
      <c r="H15" s="278"/>
    </row>
    <row r="16" spans="1:8">
      <c r="A16" s="278" t="s">
        <v>221</v>
      </c>
      <c r="B16" s="230" t="s">
        <v>1196</v>
      </c>
      <c r="C16" s="278"/>
      <c r="D16" s="278"/>
      <c r="E16" s="278"/>
      <c r="F16" s="278"/>
      <c r="G16" s="278"/>
      <c r="H16" s="278"/>
    </row>
    <row r="17" spans="1:8">
      <c r="A17" s="278" t="s">
        <v>55</v>
      </c>
      <c r="B17" s="230" t="s">
        <v>1197</v>
      </c>
      <c r="C17" s="279">
        <f t="shared" ref="C17:H17" si="0">SUM(C11:C16)</f>
        <v>0</v>
      </c>
      <c r="D17" s="279">
        <f t="shared" si="0"/>
        <v>0</v>
      </c>
      <c r="E17" s="279">
        <f t="shared" si="0"/>
        <v>0</v>
      </c>
      <c r="F17" s="279">
        <f t="shared" si="0"/>
        <v>0</v>
      </c>
      <c r="G17" s="279">
        <f t="shared" si="0"/>
        <v>0</v>
      </c>
      <c r="H17" s="279">
        <f t="shared" si="0"/>
        <v>0</v>
      </c>
    </row>
    <row r="19" spans="1:8">
      <c r="A19" s="130" t="s">
        <v>547</v>
      </c>
    </row>
    <row r="21" spans="1:8">
      <c r="A21" s="130" t="s">
        <v>59</v>
      </c>
    </row>
    <row r="22" spans="1:8">
      <c r="A22" s="2"/>
    </row>
    <row r="23" spans="1:8">
      <c r="A23" s="2" t="s">
        <v>1198</v>
      </c>
    </row>
    <row r="24" spans="1:8">
      <c r="A24" s="2"/>
    </row>
    <row r="25" spans="1:8">
      <c r="A25" s="2" t="s">
        <v>1199</v>
      </c>
    </row>
    <row r="26" spans="1:8">
      <c r="A26" s="2"/>
    </row>
    <row r="27" spans="1:8">
      <c r="A27" s="2" t="s">
        <v>1200</v>
      </c>
    </row>
    <row r="28" spans="1:8">
      <c r="A28" s="5" t="s">
        <v>1201</v>
      </c>
    </row>
    <row r="29" spans="1:8">
      <c r="A29" s="5" t="s">
        <v>1202</v>
      </c>
    </row>
    <row r="30" spans="1:8">
      <c r="A30" s="5" t="s">
        <v>1203</v>
      </c>
    </row>
    <row r="31" spans="1:8">
      <c r="A31" s="5" t="s">
        <v>1204</v>
      </c>
    </row>
    <row r="32" spans="1:8">
      <c r="A32" s="5" t="s">
        <v>1205</v>
      </c>
    </row>
    <row r="33" spans="1:6">
      <c r="A33" s="5" t="s">
        <v>1206</v>
      </c>
    </row>
    <row r="35" spans="1:6">
      <c r="A35" s="235"/>
      <c r="B35" s="235"/>
      <c r="C35" s="235"/>
      <c r="D35" s="235"/>
      <c r="E35" s="235"/>
      <c r="F35" s="235"/>
    </row>
    <row r="36" spans="1:6">
      <c r="A36" s="235"/>
      <c r="B36" s="235"/>
      <c r="C36" s="235"/>
      <c r="D36" s="235"/>
      <c r="E36" s="235"/>
      <c r="F36" s="235"/>
    </row>
    <row r="38" spans="1:6">
      <c r="A38" s="5" t="s">
        <v>1207</v>
      </c>
    </row>
    <row r="39" spans="1:6">
      <c r="A39" s="5" t="s">
        <v>1208</v>
      </c>
    </row>
  </sheetData>
  <mergeCells count="3">
    <mergeCell ref="A8:B10"/>
    <mergeCell ref="C9:C10"/>
    <mergeCell ref="D9:D10"/>
  </mergeCells>
  <phoneticPr fontId="6" type="noConversion"/>
  <pageMargins left="0.75" right="0.75" top="1" bottom="1" header="0.5" footer="0.5"/>
  <pageSetup paperSize="9" scale="83" orientation="landscape" r:id="rId1"/>
  <headerFooter alignWithMargins="0"/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DE9E94-9ED9-4CD4-A200-6A03DA0C97A8}">
  <sheetPr codeName="Sheet21">
    <tabColor rgb="FFFFFF00"/>
    <pageSetUpPr fitToPage="1"/>
  </sheetPr>
  <dimension ref="A2:I43"/>
  <sheetViews>
    <sheetView view="pageBreakPreview" zoomScale="85" zoomScaleNormal="100" zoomScaleSheetLayoutView="85" workbookViewId="0"/>
  </sheetViews>
  <sheetFormatPr defaultColWidth="8.8984375" defaultRowHeight="14.4"/>
  <cols>
    <col min="1" max="1" width="5.19921875" style="5" customWidth="1"/>
    <col min="2" max="2" width="15.69921875" style="5" customWidth="1"/>
    <col min="3" max="8" width="12.8984375" style="5" customWidth="1"/>
    <col min="9" max="16384" width="8.8984375" style="5"/>
  </cols>
  <sheetData>
    <row r="2" spans="1:9">
      <c r="I2" s="521"/>
    </row>
    <row r="5" spans="1:9" ht="20.399999999999999">
      <c r="A5" s="273" t="s">
        <v>1183</v>
      </c>
    </row>
    <row r="7" spans="1:9">
      <c r="A7" s="5" t="s">
        <v>1184</v>
      </c>
    </row>
    <row r="8" spans="1:9">
      <c r="A8" s="776" t="s">
        <v>555</v>
      </c>
      <c r="B8" s="777"/>
      <c r="C8" s="230" t="s">
        <v>556</v>
      </c>
      <c r="D8" s="230" t="s">
        <v>557</v>
      </c>
      <c r="E8" s="230" t="s">
        <v>558</v>
      </c>
      <c r="F8" s="230" t="s">
        <v>559</v>
      </c>
      <c r="G8" s="230" t="s">
        <v>561</v>
      </c>
      <c r="H8" s="230" t="s">
        <v>560</v>
      </c>
    </row>
    <row r="9" spans="1:9">
      <c r="A9" s="778"/>
      <c r="B9" s="779"/>
      <c r="C9" s="821" t="s">
        <v>1185</v>
      </c>
      <c r="D9" s="821" t="s">
        <v>1186</v>
      </c>
      <c r="E9" s="274" t="s">
        <v>1187</v>
      </c>
      <c r="F9" s="275"/>
      <c r="G9" s="274" t="s">
        <v>1188</v>
      </c>
      <c r="H9" s="276"/>
    </row>
    <row r="10" spans="1:9">
      <c r="A10" s="819"/>
      <c r="B10" s="820"/>
      <c r="C10" s="822"/>
      <c r="D10" s="822"/>
      <c r="E10" s="277" t="s">
        <v>1189</v>
      </c>
      <c r="F10" s="68" t="s">
        <v>1190</v>
      </c>
      <c r="G10" s="68" t="s">
        <v>1189</v>
      </c>
      <c r="H10" s="68" t="s">
        <v>1190</v>
      </c>
    </row>
    <row r="11" spans="1:9">
      <c r="A11" s="278" t="s">
        <v>83</v>
      </c>
      <c r="B11" s="230" t="s">
        <v>1191</v>
      </c>
      <c r="C11" s="278"/>
      <c r="D11" s="278"/>
      <c r="E11" s="278"/>
      <c r="F11" s="278"/>
      <c r="G11" s="278"/>
      <c r="H11" s="278"/>
    </row>
    <row r="12" spans="1:9">
      <c r="A12" s="278" t="s">
        <v>85</v>
      </c>
      <c r="B12" s="230" t="s">
        <v>1192</v>
      </c>
      <c r="C12" s="278"/>
      <c r="D12" s="278"/>
      <c r="E12" s="278"/>
      <c r="F12" s="278"/>
      <c r="G12" s="278"/>
      <c r="H12" s="278"/>
    </row>
    <row r="13" spans="1:9">
      <c r="A13" s="278" t="s">
        <v>87</v>
      </c>
      <c r="B13" s="230" t="s">
        <v>1193</v>
      </c>
      <c r="C13" s="278"/>
      <c r="D13" s="278"/>
      <c r="E13" s="278"/>
      <c r="F13" s="278"/>
      <c r="G13" s="278"/>
      <c r="H13" s="278"/>
    </row>
    <row r="14" spans="1:9">
      <c r="A14" s="278" t="s">
        <v>88</v>
      </c>
      <c r="B14" s="230" t="s">
        <v>1194</v>
      </c>
      <c r="C14" s="278"/>
      <c r="D14" s="278"/>
      <c r="E14" s="278"/>
      <c r="F14" s="278"/>
      <c r="G14" s="278"/>
      <c r="H14" s="278"/>
    </row>
    <row r="15" spans="1:9">
      <c r="A15" s="278" t="s">
        <v>93</v>
      </c>
      <c r="B15" s="230" t="s">
        <v>1195</v>
      </c>
      <c r="C15" s="278"/>
      <c r="D15" s="278"/>
      <c r="E15" s="278"/>
      <c r="F15" s="278"/>
      <c r="G15" s="278"/>
      <c r="H15" s="278"/>
    </row>
    <row r="16" spans="1:9">
      <c r="A16" s="278" t="s">
        <v>221</v>
      </c>
      <c r="B16" s="230" t="s">
        <v>1196</v>
      </c>
      <c r="C16" s="278"/>
      <c r="D16" s="278"/>
      <c r="E16" s="278"/>
      <c r="F16" s="278"/>
      <c r="G16" s="278"/>
      <c r="H16" s="278"/>
    </row>
    <row r="17" spans="1:8">
      <c r="A17" s="278" t="s">
        <v>55</v>
      </c>
      <c r="B17" s="230" t="s">
        <v>1197</v>
      </c>
      <c r="C17" s="279">
        <f t="shared" ref="C17:H17" si="0">SUM(C11:C16)</f>
        <v>0</v>
      </c>
      <c r="D17" s="279">
        <f t="shared" si="0"/>
        <v>0</v>
      </c>
      <c r="E17" s="279">
        <f t="shared" si="0"/>
        <v>0</v>
      </c>
      <c r="F17" s="279">
        <f t="shared" si="0"/>
        <v>0</v>
      </c>
      <c r="G17" s="279">
        <f t="shared" si="0"/>
        <v>0</v>
      </c>
      <c r="H17" s="279">
        <f t="shared" si="0"/>
        <v>0</v>
      </c>
    </row>
    <row r="19" spans="1:8">
      <c r="A19" s="130" t="s">
        <v>547</v>
      </c>
    </row>
    <row r="21" spans="1:8">
      <c r="A21" s="130" t="s">
        <v>59</v>
      </c>
    </row>
    <row r="22" spans="1:8">
      <c r="A22" s="2"/>
    </row>
    <row r="23" spans="1:8">
      <c r="A23" s="2" t="s">
        <v>1198</v>
      </c>
    </row>
    <row r="24" spans="1:8">
      <c r="A24" s="2"/>
    </row>
    <row r="25" spans="1:8">
      <c r="A25" s="2" t="s">
        <v>1199</v>
      </c>
    </row>
    <row r="26" spans="1:8">
      <c r="A26" s="2"/>
    </row>
    <row r="27" spans="1:8">
      <c r="A27" s="2" t="s">
        <v>1200</v>
      </c>
    </row>
    <row r="28" spans="1:8">
      <c r="A28" s="5" t="s">
        <v>1201</v>
      </c>
    </row>
    <row r="29" spans="1:8">
      <c r="A29" s="5" t="s">
        <v>1202</v>
      </c>
    </row>
    <row r="30" spans="1:8">
      <c r="A30" s="5" t="s">
        <v>1203</v>
      </c>
    </row>
    <row r="31" spans="1:8">
      <c r="A31" s="5" t="s">
        <v>1204</v>
      </c>
    </row>
    <row r="32" spans="1:8">
      <c r="A32" s="5" t="s">
        <v>1205</v>
      </c>
    </row>
    <row r="33" spans="1:8">
      <c r="A33" s="5" t="s">
        <v>1206</v>
      </c>
    </row>
    <row r="34" spans="1:8" ht="6.75" customHeight="1"/>
    <row r="35" spans="1:8" s="281" customFormat="1">
      <c r="A35" s="351" t="s">
        <v>1209</v>
      </c>
      <c r="B35" s="351"/>
      <c r="C35" s="280"/>
      <c r="D35" s="280"/>
      <c r="E35" s="280"/>
      <c r="F35" s="280"/>
      <c r="G35" s="280"/>
      <c r="H35" s="5"/>
    </row>
    <row r="36" spans="1:8" s="281" customFormat="1">
      <c r="A36" s="351" t="s">
        <v>1210</v>
      </c>
      <c r="B36" s="351"/>
      <c r="C36" s="280"/>
      <c r="D36" s="280"/>
      <c r="E36" s="280"/>
      <c r="F36" s="280"/>
      <c r="G36" s="280"/>
      <c r="H36" s="5"/>
    </row>
    <row r="38" spans="1:8">
      <c r="A38" s="5" t="s">
        <v>1207</v>
      </c>
    </row>
    <row r="39" spans="1:8">
      <c r="A39" s="5" t="s">
        <v>1208</v>
      </c>
    </row>
    <row r="41" spans="1:8">
      <c r="A41" s="149" t="s">
        <v>1245</v>
      </c>
    </row>
    <row r="42" spans="1:8">
      <c r="A42" s="138"/>
    </row>
    <row r="43" spans="1:8">
      <c r="A43" s="442" t="s">
        <v>1757</v>
      </c>
      <c r="B43" s="442"/>
      <c r="C43" s="442"/>
      <c r="D43" s="442"/>
      <c r="E43" s="442"/>
      <c r="F43" s="442"/>
      <c r="G43" s="442"/>
    </row>
  </sheetData>
  <mergeCells count="3">
    <mergeCell ref="A8:B10"/>
    <mergeCell ref="C9:C10"/>
    <mergeCell ref="D9:D10"/>
  </mergeCells>
  <phoneticPr fontId="6" type="noConversion"/>
  <pageMargins left="0.75" right="0.75" top="1" bottom="1" header="0.5" footer="0.5"/>
  <pageSetup paperSize="9" scale="77" orientation="landscape" r:id="rId1"/>
  <headerFooter alignWithMargins="0"/>
  <rowBreaks count="1" manualBreakCount="1">
    <brk id="39" max="7" man="1"/>
  </rowBreaks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CC28E9-68B3-41EA-8E12-D4DE35731771}">
  <sheetPr codeName="Sheet22">
    <tabColor theme="0" tint="-0.249977111117893"/>
  </sheetPr>
  <dimension ref="A1:Q54"/>
  <sheetViews>
    <sheetView view="pageBreakPreview" zoomScale="85" zoomScaleNormal="85" zoomScaleSheetLayoutView="85" workbookViewId="0">
      <pane xSplit="2" ySplit="10" topLeftCell="C11" activePane="bottomRight" state="frozen"/>
      <selection sqref="A1:L67"/>
      <selection pane="topRight" sqref="A1:L67"/>
      <selection pane="bottomLeft" sqref="A1:L67"/>
      <selection pane="bottomRight" activeCell="A8" sqref="A8:Q14"/>
    </sheetView>
  </sheetViews>
  <sheetFormatPr defaultColWidth="8.8984375" defaultRowHeight="14.4"/>
  <cols>
    <col min="1" max="1" width="4.8984375" style="2" customWidth="1"/>
    <col min="2" max="2" width="11.8984375" style="2" customWidth="1"/>
    <col min="3" max="5" width="9.3984375" style="2" customWidth="1"/>
    <col min="6" max="12" width="9.3984375" style="5" customWidth="1"/>
    <col min="13" max="13" width="13" style="5" customWidth="1"/>
    <col min="14" max="17" width="9.3984375" style="5" customWidth="1"/>
    <col min="18" max="16384" width="8.8984375" style="5"/>
  </cols>
  <sheetData>
    <row r="1" spans="1:17" ht="18" customHeight="1">
      <c r="C1" s="283"/>
      <c r="D1" s="283"/>
      <c r="E1" s="283"/>
      <c r="F1" s="284"/>
      <c r="G1" s="284"/>
      <c r="H1" s="284"/>
    </row>
    <row r="2" spans="1:17" s="285" customFormat="1" ht="18" customHeight="1">
      <c r="B2" s="286"/>
      <c r="C2" s="286"/>
      <c r="D2" s="286"/>
      <c r="E2" s="286"/>
    </row>
    <row r="3" spans="1:17" s="285" customFormat="1" ht="18" customHeight="1">
      <c r="A3" s="287"/>
      <c r="B3" s="286"/>
      <c r="C3" s="286"/>
      <c r="D3" s="286"/>
      <c r="E3" s="286"/>
    </row>
    <row r="4" spans="1:17" s="285" customFormat="1" ht="15.6">
      <c r="A4" s="286"/>
      <c r="B4" s="286"/>
      <c r="C4" s="286"/>
      <c r="D4" s="286"/>
      <c r="E4" s="286"/>
    </row>
    <row r="5" spans="1:17" ht="20.399999999999999">
      <c r="A5" s="273" t="s">
        <v>1247</v>
      </c>
    </row>
    <row r="7" spans="1:17" ht="15" thickBot="1">
      <c r="A7" s="9" t="s">
        <v>1248</v>
      </c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</row>
    <row r="8" spans="1:17">
      <c r="A8" s="823" t="s">
        <v>172</v>
      </c>
      <c r="B8" s="288" t="s">
        <v>265</v>
      </c>
      <c r="C8" s="288" t="s">
        <v>229</v>
      </c>
      <c r="D8" s="288" t="s">
        <v>230</v>
      </c>
      <c r="E8" s="288" t="s">
        <v>231</v>
      </c>
      <c r="F8" s="288" t="s">
        <v>1249</v>
      </c>
      <c r="G8" s="288" t="s">
        <v>1250</v>
      </c>
      <c r="H8" s="288" t="s">
        <v>1251</v>
      </c>
      <c r="I8" s="288" t="s">
        <v>237</v>
      </c>
      <c r="J8" s="288" t="s">
        <v>238</v>
      </c>
      <c r="K8" s="289" t="s">
        <v>1252</v>
      </c>
      <c r="L8" s="288" t="s">
        <v>1263</v>
      </c>
      <c r="M8" s="288" t="s">
        <v>1264</v>
      </c>
      <c r="N8" s="309" t="s">
        <v>1265</v>
      </c>
      <c r="O8" s="288" t="s">
        <v>1266</v>
      </c>
      <c r="P8" s="288" t="s">
        <v>1267</v>
      </c>
      <c r="Q8" s="289" t="s">
        <v>1268</v>
      </c>
    </row>
    <row r="9" spans="1:17">
      <c r="A9" s="824"/>
      <c r="B9" s="825" t="s">
        <v>1253</v>
      </c>
      <c r="C9" s="776" t="s">
        <v>1186</v>
      </c>
      <c r="D9" s="290"/>
      <c r="E9" s="291"/>
      <c r="F9" s="275" t="s">
        <v>1254</v>
      </c>
      <c r="G9" s="275"/>
      <c r="H9" s="275"/>
      <c r="I9" s="275" t="s">
        <v>1255</v>
      </c>
      <c r="J9" s="275"/>
      <c r="K9" s="292"/>
      <c r="L9" s="275" t="s">
        <v>1269</v>
      </c>
      <c r="M9" s="275"/>
      <c r="N9" s="310"/>
      <c r="O9" s="275" t="s">
        <v>1270</v>
      </c>
      <c r="P9" s="275"/>
      <c r="Q9" s="292"/>
    </row>
    <row r="10" spans="1:17" ht="29.4" thickBot="1">
      <c r="A10" s="824"/>
      <c r="B10" s="826"/>
      <c r="C10" s="826"/>
      <c r="D10" s="293" t="s">
        <v>1256</v>
      </c>
      <c r="E10" s="293" t="s">
        <v>1257</v>
      </c>
      <c r="F10" s="72" t="s">
        <v>1258</v>
      </c>
      <c r="G10" s="72" t="s">
        <v>1188</v>
      </c>
      <c r="H10" s="72" t="s">
        <v>68</v>
      </c>
      <c r="I10" s="294" t="s">
        <v>1258</v>
      </c>
      <c r="J10" s="294" t="s">
        <v>1188</v>
      </c>
      <c r="K10" s="295" t="s">
        <v>68</v>
      </c>
      <c r="L10" s="294" t="s">
        <v>1258</v>
      </c>
      <c r="M10" s="294" t="s">
        <v>1188</v>
      </c>
      <c r="N10" s="65" t="s">
        <v>68</v>
      </c>
      <c r="O10" s="294" t="s">
        <v>1258</v>
      </c>
      <c r="P10" s="294" t="s">
        <v>1188</v>
      </c>
      <c r="Q10" s="295" t="s">
        <v>68</v>
      </c>
    </row>
    <row r="11" spans="1:17">
      <c r="A11" s="296" t="s">
        <v>693</v>
      </c>
      <c r="B11" s="297" t="s">
        <v>1259</v>
      </c>
      <c r="C11" s="298"/>
      <c r="D11" s="299"/>
      <c r="E11" s="299"/>
      <c r="F11" s="298"/>
      <c r="G11" s="298"/>
      <c r="H11" s="298"/>
      <c r="I11" s="298"/>
      <c r="J11" s="298"/>
      <c r="K11" s="300"/>
      <c r="L11" s="557"/>
      <c r="M11" s="298"/>
      <c r="N11" s="311"/>
      <c r="O11" s="298"/>
      <c r="P11" s="298"/>
      <c r="Q11" s="300"/>
    </row>
    <row r="12" spans="1:17">
      <c r="A12" s="301" t="s">
        <v>694</v>
      </c>
      <c r="B12" s="302" t="s">
        <v>1260</v>
      </c>
      <c r="C12" s="303"/>
      <c r="D12" s="303"/>
      <c r="E12" s="303"/>
      <c r="F12" s="303"/>
      <c r="G12" s="303"/>
      <c r="H12" s="303"/>
      <c r="I12" s="303"/>
      <c r="J12" s="303"/>
      <c r="K12" s="304"/>
      <c r="L12" s="558"/>
      <c r="M12" s="303"/>
      <c r="N12" s="312"/>
      <c r="O12" s="303"/>
      <c r="P12" s="303"/>
      <c r="Q12" s="304"/>
    </row>
    <row r="13" spans="1:17">
      <c r="A13" s="301" t="s">
        <v>1261</v>
      </c>
      <c r="B13" s="302" t="s">
        <v>1262</v>
      </c>
      <c r="C13" s="303"/>
      <c r="D13" s="303"/>
      <c r="E13" s="303"/>
      <c r="F13" s="303"/>
      <c r="G13" s="303"/>
      <c r="H13" s="303"/>
      <c r="I13" s="303"/>
      <c r="J13" s="303"/>
      <c r="K13" s="304"/>
      <c r="L13" s="558"/>
      <c r="M13" s="303"/>
      <c r="N13" s="312"/>
      <c r="O13" s="303"/>
      <c r="P13" s="303"/>
      <c r="Q13" s="304"/>
    </row>
    <row r="14" spans="1:17" ht="15" thickBot="1">
      <c r="A14" s="305" t="s">
        <v>556</v>
      </c>
      <c r="B14" s="306" t="s">
        <v>581</v>
      </c>
      <c r="C14" s="307"/>
      <c r="D14" s="307"/>
      <c r="E14" s="307"/>
      <c r="F14" s="307"/>
      <c r="G14" s="307"/>
      <c r="H14" s="307"/>
      <c r="I14" s="307"/>
      <c r="J14" s="307"/>
      <c r="K14" s="308"/>
      <c r="L14" s="559"/>
      <c r="M14" s="307"/>
      <c r="N14" s="313"/>
      <c r="O14" s="307"/>
      <c r="P14" s="307"/>
      <c r="Q14" s="308"/>
    </row>
    <row r="15" spans="1:17" ht="20.399999999999999">
      <c r="A15" s="8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314"/>
    </row>
    <row r="16" spans="1:17">
      <c r="A16" s="130" t="s">
        <v>547</v>
      </c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314"/>
    </row>
    <row r="17" spans="1:17">
      <c r="A17" s="5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314"/>
    </row>
    <row r="18" spans="1:17">
      <c r="A18" s="130" t="s">
        <v>59</v>
      </c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</row>
    <row r="19" spans="1:17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</row>
    <row r="20" spans="1:17">
      <c r="A20" s="7" t="s">
        <v>1271</v>
      </c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</row>
    <row r="21" spans="1:17">
      <c r="A21" s="7" t="s">
        <v>1272</v>
      </c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</row>
    <row r="22" spans="1:17">
      <c r="A22" s="7" t="s">
        <v>1273</v>
      </c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</row>
    <row r="23" spans="1:17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</row>
    <row r="24" spans="1:17">
      <c r="A24" s="315" t="s">
        <v>1274</v>
      </c>
      <c r="B24" s="315"/>
      <c r="C24" s="315"/>
      <c r="D24" s="315"/>
      <c r="E24" s="315"/>
      <c r="F24" s="315"/>
      <c r="G24" s="315"/>
      <c r="H24" s="315"/>
      <c r="I24" s="315"/>
      <c r="J24" s="7"/>
      <c r="K24" s="7"/>
      <c r="L24" s="7"/>
      <c r="M24" s="7"/>
      <c r="N24" s="7"/>
      <c r="O24" s="7"/>
      <c r="P24" s="7"/>
      <c r="Q24" s="7"/>
    </row>
    <row r="25" spans="1:17">
      <c r="A25" s="315" t="s">
        <v>1275</v>
      </c>
      <c r="B25" s="315"/>
      <c r="C25" s="315"/>
      <c r="D25" s="315"/>
      <c r="E25" s="315"/>
      <c r="F25" s="315"/>
      <c r="G25" s="315"/>
      <c r="H25" s="315"/>
      <c r="I25" s="315"/>
      <c r="J25" s="7"/>
      <c r="K25" s="7"/>
      <c r="L25" s="7"/>
      <c r="M25" s="7"/>
      <c r="N25" s="7"/>
      <c r="O25" s="7"/>
      <c r="P25" s="7"/>
      <c r="Q25" s="7"/>
    </row>
    <row r="26" spans="1:17">
      <c r="A26" s="315" t="s">
        <v>1276</v>
      </c>
      <c r="B26" s="315"/>
      <c r="C26" s="315"/>
      <c r="D26" s="315"/>
      <c r="E26" s="315"/>
      <c r="F26" s="315"/>
      <c r="G26" s="315"/>
      <c r="H26" s="315"/>
      <c r="I26" s="315"/>
      <c r="J26" s="7"/>
      <c r="K26" s="7"/>
      <c r="L26" s="7"/>
      <c r="M26" s="7"/>
      <c r="N26" s="7"/>
      <c r="O26" s="7"/>
      <c r="P26" s="7"/>
      <c r="Q26" s="7"/>
    </row>
    <row r="27" spans="1:17">
      <c r="A27" s="315" t="s">
        <v>1277</v>
      </c>
      <c r="B27" s="315"/>
      <c r="C27" s="315"/>
      <c r="D27" s="315"/>
      <c r="E27" s="315"/>
      <c r="F27" s="315"/>
      <c r="G27" s="315"/>
      <c r="H27" s="315"/>
      <c r="I27" s="315"/>
      <c r="J27" s="7"/>
      <c r="K27" s="7"/>
      <c r="L27" s="7"/>
      <c r="M27" s="7"/>
      <c r="N27" s="7"/>
      <c r="O27" s="7"/>
      <c r="P27" s="7"/>
      <c r="Q27" s="7"/>
    </row>
    <row r="28" spans="1:17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</row>
    <row r="29" spans="1:17">
      <c r="A29" s="2" t="s">
        <v>1278</v>
      </c>
    </row>
    <row r="30" spans="1:17">
      <c r="A30" s="2" t="s">
        <v>1279</v>
      </c>
    </row>
    <row r="32" spans="1:17">
      <c r="A32" s="2" t="s">
        <v>1280</v>
      </c>
    </row>
    <row r="33" spans="1:1">
      <c r="A33" s="2" t="s">
        <v>1281</v>
      </c>
    </row>
    <row r="34" spans="1:1">
      <c r="A34" s="2" t="s">
        <v>1282</v>
      </c>
    </row>
    <row r="35" spans="1:1">
      <c r="A35" s="2" t="s">
        <v>1283</v>
      </c>
    </row>
    <row r="37" spans="1:1">
      <c r="A37" s="2" t="s">
        <v>1284</v>
      </c>
    </row>
    <row r="38" spans="1:1">
      <c r="A38" s="7" t="s">
        <v>1285</v>
      </c>
    </row>
    <row r="39" spans="1:1">
      <c r="A39" s="7"/>
    </row>
    <row r="40" spans="1:1">
      <c r="A40" s="7" t="s">
        <v>1286</v>
      </c>
    </row>
    <row r="41" spans="1:1">
      <c r="A41" s="7"/>
    </row>
    <row r="42" spans="1:1">
      <c r="A42" s="2" t="s">
        <v>1287</v>
      </c>
    </row>
    <row r="46" spans="1:1">
      <c r="A46" s="5"/>
    </row>
    <row r="47" spans="1:1">
      <c r="A47" s="5"/>
    </row>
    <row r="48" spans="1:1">
      <c r="A48" s="5"/>
    </row>
    <row r="49" spans="1:1">
      <c r="A49" s="5"/>
    </row>
    <row r="50" spans="1:1">
      <c r="A50" s="5"/>
    </row>
    <row r="51" spans="1:1">
      <c r="A51" s="5"/>
    </row>
    <row r="52" spans="1:1">
      <c r="A52" s="5"/>
    </row>
    <row r="53" spans="1:1">
      <c r="A53" s="5"/>
    </row>
    <row r="54" spans="1:1">
      <c r="A54" s="5"/>
    </row>
  </sheetData>
  <mergeCells count="3">
    <mergeCell ref="A8:A10"/>
    <mergeCell ref="B9:B10"/>
    <mergeCell ref="C9:C10"/>
  </mergeCells>
  <phoneticPr fontId="6" type="noConversion"/>
  <pageMargins left="0.19685039370078741" right="0.19685039370078741" top="0.47244094488188981" bottom="0.23622047244094491" header="0.31496062992125984" footer="0.15748031496062992"/>
  <pageSetup paperSize="9" scale="76" orientation="landscape" r:id="rId1"/>
  <headerFooter alignWithMargins="0"/>
  <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B1DAD6-73ED-430F-8B82-5C80C392F389}">
  <sheetPr codeName="Sheet23">
    <tabColor rgb="FFFFFF00"/>
  </sheetPr>
  <dimension ref="A1:Q62"/>
  <sheetViews>
    <sheetView view="pageBreakPreview" zoomScale="85" zoomScaleNormal="85" zoomScaleSheetLayoutView="85" workbookViewId="0"/>
  </sheetViews>
  <sheetFormatPr defaultColWidth="8.8984375" defaultRowHeight="14.4"/>
  <cols>
    <col min="1" max="1" width="4.8984375" style="2" customWidth="1"/>
    <col min="2" max="2" width="23.19921875" style="2" customWidth="1"/>
    <col min="3" max="5" width="9.3984375" style="2" customWidth="1"/>
    <col min="6" max="12" width="9.3984375" style="5" customWidth="1"/>
    <col min="13" max="13" width="10.796875" style="5" customWidth="1"/>
    <col min="14" max="17" width="9.3984375" style="5" customWidth="1"/>
    <col min="18" max="16384" width="8.8984375" style="5"/>
  </cols>
  <sheetData>
    <row r="1" spans="1:17" ht="18" customHeight="1">
      <c r="C1" s="283"/>
      <c r="D1" s="283"/>
      <c r="E1" s="283"/>
      <c r="F1" s="284"/>
      <c r="G1" s="284"/>
      <c r="H1" s="284"/>
    </row>
    <row r="2" spans="1:17" s="285" customFormat="1" ht="18" customHeight="1">
      <c r="B2" s="286"/>
      <c r="C2" s="286"/>
      <c r="D2" s="286"/>
      <c r="E2" s="286"/>
      <c r="M2" s="530"/>
    </row>
    <row r="3" spans="1:17" s="285" customFormat="1" ht="18" customHeight="1">
      <c r="A3" s="287"/>
      <c r="B3" s="286"/>
      <c r="C3" s="286"/>
      <c r="D3" s="286"/>
      <c r="E3" s="286"/>
    </row>
    <row r="4" spans="1:17" s="285" customFormat="1" ht="15.6">
      <c r="A4" s="286"/>
      <c r="B4" s="286"/>
      <c r="C4" s="286"/>
      <c r="D4" s="286"/>
      <c r="E4" s="286"/>
    </row>
    <row r="5" spans="1:17" ht="20.399999999999999">
      <c r="A5" s="273" t="s">
        <v>1247</v>
      </c>
    </row>
    <row r="7" spans="1:17" ht="15" thickBot="1">
      <c r="A7" s="9" t="s">
        <v>1248</v>
      </c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</row>
    <row r="8" spans="1:17">
      <c r="A8" s="823" t="s">
        <v>172</v>
      </c>
      <c r="B8" s="288" t="s">
        <v>265</v>
      </c>
      <c r="C8" s="288" t="s">
        <v>229</v>
      </c>
      <c r="D8" s="288" t="s">
        <v>230</v>
      </c>
      <c r="E8" s="288" t="s">
        <v>231</v>
      </c>
      <c r="F8" s="288" t="s">
        <v>1249</v>
      </c>
      <c r="G8" s="288" t="s">
        <v>1250</v>
      </c>
      <c r="H8" s="288" t="s">
        <v>1251</v>
      </c>
      <c r="I8" s="288" t="s">
        <v>237</v>
      </c>
      <c r="J8" s="288" t="s">
        <v>238</v>
      </c>
      <c r="K8" s="289" t="s">
        <v>1252</v>
      </c>
      <c r="L8" s="288" t="s">
        <v>1263</v>
      </c>
      <c r="M8" s="288" t="s">
        <v>1264</v>
      </c>
      <c r="N8" s="309" t="s">
        <v>1265</v>
      </c>
      <c r="O8" s="288" t="s">
        <v>1266</v>
      </c>
      <c r="P8" s="288" t="s">
        <v>1267</v>
      </c>
      <c r="Q8" s="289" t="s">
        <v>1268</v>
      </c>
    </row>
    <row r="9" spans="1:17">
      <c r="A9" s="824"/>
      <c r="B9" s="825" t="s">
        <v>1253</v>
      </c>
      <c r="C9" s="776" t="s">
        <v>1186</v>
      </c>
      <c r="D9" s="290"/>
      <c r="E9" s="291"/>
      <c r="F9" s="275" t="s">
        <v>1254</v>
      </c>
      <c r="G9" s="275"/>
      <c r="H9" s="275"/>
      <c r="I9" s="275" t="s">
        <v>1255</v>
      </c>
      <c r="J9" s="275"/>
      <c r="K9" s="292"/>
      <c r="L9" s="275" t="s">
        <v>1269</v>
      </c>
      <c r="M9" s="275"/>
      <c r="N9" s="310"/>
      <c r="O9" s="275" t="s">
        <v>1270</v>
      </c>
      <c r="P9" s="275"/>
      <c r="Q9" s="292"/>
    </row>
    <row r="10" spans="1:17" ht="29.4" thickBot="1">
      <c r="A10" s="824"/>
      <c r="B10" s="826"/>
      <c r="C10" s="826"/>
      <c r="D10" s="293" t="s">
        <v>1256</v>
      </c>
      <c r="E10" s="293" t="s">
        <v>1257</v>
      </c>
      <c r="F10" s="72" t="s">
        <v>1258</v>
      </c>
      <c r="G10" s="72" t="s">
        <v>1188</v>
      </c>
      <c r="H10" s="72" t="s">
        <v>68</v>
      </c>
      <c r="I10" s="294" t="s">
        <v>1258</v>
      </c>
      <c r="J10" s="294" t="s">
        <v>1188</v>
      </c>
      <c r="K10" s="295" t="s">
        <v>68</v>
      </c>
      <c r="L10" s="294" t="s">
        <v>1258</v>
      </c>
      <c r="M10" s="294" t="s">
        <v>1188</v>
      </c>
      <c r="N10" s="65" t="s">
        <v>68</v>
      </c>
      <c r="O10" s="294" t="s">
        <v>1258</v>
      </c>
      <c r="P10" s="294" t="s">
        <v>1188</v>
      </c>
      <c r="Q10" s="295" t="s">
        <v>68</v>
      </c>
    </row>
    <row r="11" spans="1:17" s="281" customFormat="1">
      <c r="A11" s="453" t="s">
        <v>693</v>
      </c>
      <c r="B11" s="454" t="s">
        <v>1288</v>
      </c>
      <c r="C11" s="316"/>
      <c r="D11" s="317"/>
      <c r="E11" s="317"/>
      <c r="F11" s="316"/>
      <c r="G11" s="316"/>
      <c r="H11" s="316"/>
      <c r="I11" s="316"/>
      <c r="J11" s="316"/>
      <c r="K11" s="318"/>
      <c r="L11" s="553"/>
      <c r="M11" s="316"/>
      <c r="N11" s="311"/>
      <c r="O11" s="298"/>
      <c r="P11" s="316"/>
      <c r="Q11" s="316"/>
    </row>
    <row r="12" spans="1:17" s="281" customFormat="1">
      <c r="A12" s="455" t="s">
        <v>694</v>
      </c>
      <c r="B12" s="456" t="s">
        <v>1289</v>
      </c>
      <c r="C12" s="317"/>
      <c r="D12" s="317"/>
      <c r="E12" s="317"/>
      <c r="F12" s="317"/>
      <c r="G12" s="317"/>
      <c r="H12" s="317"/>
      <c r="I12" s="317"/>
      <c r="J12" s="317"/>
      <c r="K12" s="319"/>
      <c r="L12" s="554"/>
      <c r="M12" s="317"/>
      <c r="N12" s="317"/>
      <c r="O12" s="317"/>
      <c r="P12" s="317"/>
      <c r="Q12" s="317"/>
    </row>
    <row r="13" spans="1:17" s="281" customFormat="1">
      <c r="A13" s="455" t="s">
        <v>87</v>
      </c>
      <c r="B13" s="456" t="s">
        <v>1290</v>
      </c>
      <c r="C13" s="317"/>
      <c r="D13" s="317"/>
      <c r="E13" s="317"/>
      <c r="F13" s="317"/>
      <c r="G13" s="317"/>
      <c r="H13" s="317"/>
      <c r="I13" s="317"/>
      <c r="J13" s="317"/>
      <c r="K13" s="319"/>
      <c r="L13" s="554"/>
      <c r="M13" s="317"/>
      <c r="N13" s="317"/>
      <c r="O13" s="317"/>
      <c r="P13" s="317"/>
      <c r="Q13" s="317"/>
    </row>
    <row r="14" spans="1:17" s="281" customFormat="1">
      <c r="A14" s="455" t="s">
        <v>753</v>
      </c>
      <c r="B14" s="456" t="s">
        <v>1291</v>
      </c>
      <c r="C14" s="317"/>
      <c r="D14" s="317"/>
      <c r="E14" s="317"/>
      <c r="F14" s="317"/>
      <c r="G14" s="317"/>
      <c r="H14" s="317"/>
      <c r="I14" s="317"/>
      <c r="J14" s="317"/>
      <c r="K14" s="319"/>
      <c r="L14" s="554"/>
      <c r="M14" s="317"/>
      <c r="N14" s="317"/>
      <c r="O14" s="317"/>
      <c r="P14" s="317"/>
      <c r="Q14" s="317"/>
    </row>
    <row r="15" spans="1:17" s="281" customFormat="1">
      <c r="A15" s="455" t="s">
        <v>93</v>
      </c>
      <c r="B15" s="456" t="s">
        <v>1292</v>
      </c>
      <c r="C15" s="317"/>
      <c r="D15" s="317"/>
      <c r="E15" s="317"/>
      <c r="F15" s="317"/>
      <c r="G15" s="317"/>
      <c r="H15" s="317"/>
      <c r="I15" s="317"/>
      <c r="J15" s="317"/>
      <c r="K15" s="319"/>
      <c r="L15" s="554"/>
      <c r="M15" s="317"/>
      <c r="N15" s="317"/>
      <c r="O15" s="317"/>
      <c r="P15" s="317"/>
      <c r="Q15" s="317"/>
    </row>
    <row r="16" spans="1:17" s="281" customFormat="1">
      <c r="A16" s="455" t="s">
        <v>755</v>
      </c>
      <c r="B16" s="456" t="s">
        <v>1293</v>
      </c>
      <c r="C16" s="317"/>
      <c r="D16" s="317"/>
      <c r="E16" s="317"/>
      <c r="F16" s="317"/>
      <c r="G16" s="317"/>
      <c r="H16" s="317"/>
      <c r="I16" s="317"/>
      <c r="J16" s="317"/>
      <c r="K16" s="319"/>
      <c r="L16" s="554"/>
      <c r="M16" s="317"/>
      <c r="N16" s="317"/>
      <c r="O16" s="317"/>
      <c r="P16" s="317"/>
      <c r="Q16" s="317"/>
    </row>
    <row r="17" spans="1:17" s="281" customFormat="1">
      <c r="A17" s="455" t="s">
        <v>1217</v>
      </c>
      <c r="B17" s="456" t="s">
        <v>1294</v>
      </c>
      <c r="C17" s="317"/>
      <c r="D17" s="317"/>
      <c r="E17" s="317"/>
      <c r="F17" s="317"/>
      <c r="G17" s="317"/>
      <c r="H17" s="317"/>
      <c r="I17" s="317"/>
      <c r="J17" s="317"/>
      <c r="K17" s="319"/>
      <c r="L17" s="554"/>
      <c r="M17" s="317"/>
      <c r="N17" s="317"/>
      <c r="O17" s="317"/>
      <c r="P17" s="317"/>
      <c r="Q17" s="317"/>
    </row>
    <row r="18" spans="1:17" s="281" customFormat="1">
      <c r="A18" s="455" t="s">
        <v>223</v>
      </c>
      <c r="B18" s="456" t="s">
        <v>1295</v>
      </c>
      <c r="C18" s="317"/>
      <c r="D18" s="317"/>
      <c r="E18" s="317"/>
      <c r="F18" s="317"/>
      <c r="G18" s="317"/>
      <c r="H18" s="317"/>
      <c r="I18" s="317"/>
      <c r="J18" s="317"/>
      <c r="K18" s="319"/>
      <c r="L18" s="554"/>
      <c r="M18" s="317"/>
      <c r="N18" s="317"/>
      <c r="O18" s="317"/>
      <c r="P18" s="317"/>
      <c r="Q18" s="317"/>
    </row>
    <row r="19" spans="1:17" s="281" customFormat="1">
      <c r="A19" s="455" t="s">
        <v>1221</v>
      </c>
      <c r="B19" s="456" t="s">
        <v>1296</v>
      </c>
      <c r="C19" s="317"/>
      <c r="D19" s="317"/>
      <c r="E19" s="317"/>
      <c r="F19" s="317"/>
      <c r="G19" s="317"/>
      <c r="H19" s="317"/>
      <c r="I19" s="317"/>
      <c r="J19" s="317"/>
      <c r="K19" s="319"/>
      <c r="L19" s="554"/>
      <c r="M19" s="317"/>
      <c r="N19" s="317"/>
      <c r="O19" s="317"/>
      <c r="P19" s="317"/>
      <c r="Q19" s="317"/>
    </row>
    <row r="20" spans="1:17" s="281" customFormat="1">
      <c r="A20" s="455" t="s">
        <v>1297</v>
      </c>
      <c r="B20" s="456" t="s">
        <v>1298</v>
      </c>
      <c r="C20" s="317"/>
      <c r="D20" s="317"/>
      <c r="E20" s="317"/>
      <c r="F20" s="317"/>
      <c r="G20" s="317"/>
      <c r="H20" s="317"/>
      <c r="I20" s="317"/>
      <c r="J20" s="317"/>
      <c r="K20" s="319"/>
      <c r="L20" s="554"/>
      <c r="M20" s="317"/>
      <c r="N20" s="317"/>
      <c r="O20" s="317"/>
      <c r="P20" s="317"/>
      <c r="Q20" s="317"/>
    </row>
    <row r="21" spans="1:17" s="281" customFormat="1">
      <c r="A21" s="457" t="s">
        <v>1225</v>
      </c>
      <c r="B21" s="458" t="s">
        <v>1299</v>
      </c>
      <c r="C21" s="317"/>
      <c r="D21" s="317"/>
      <c r="E21" s="317"/>
      <c r="F21" s="317"/>
      <c r="G21" s="317"/>
      <c r="H21" s="317"/>
      <c r="I21" s="317"/>
      <c r="J21" s="317"/>
      <c r="K21" s="319"/>
      <c r="L21" s="555"/>
      <c r="M21" s="317"/>
      <c r="N21" s="317"/>
      <c r="O21" s="317"/>
      <c r="P21" s="317"/>
      <c r="Q21" s="317"/>
    </row>
    <row r="22" spans="1:17" s="281" customFormat="1" ht="15" thickBot="1">
      <c r="A22" s="387" t="s">
        <v>556</v>
      </c>
      <c r="B22" s="459" t="s">
        <v>581</v>
      </c>
      <c r="C22" s="320"/>
      <c r="D22" s="320"/>
      <c r="E22" s="320"/>
      <c r="F22" s="320"/>
      <c r="G22" s="320"/>
      <c r="H22" s="320"/>
      <c r="I22" s="320"/>
      <c r="J22" s="320"/>
      <c r="K22" s="321"/>
      <c r="L22" s="556"/>
      <c r="M22" s="320"/>
      <c r="N22" s="320"/>
      <c r="O22" s="320"/>
      <c r="P22" s="320"/>
      <c r="Q22" s="320"/>
    </row>
    <row r="25" spans="1:17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314"/>
    </row>
    <row r="26" spans="1:17">
      <c r="A26" s="130" t="s">
        <v>547</v>
      </c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314"/>
    </row>
    <row r="27" spans="1:17">
      <c r="A27" s="5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314"/>
    </row>
    <row r="28" spans="1:17">
      <c r="A28" s="130" t="s">
        <v>59</v>
      </c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</row>
    <row r="29" spans="1:17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</row>
    <row r="30" spans="1:17">
      <c r="A30" s="7" t="s">
        <v>1271</v>
      </c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</row>
    <row r="31" spans="1:17">
      <c r="A31" s="7" t="s">
        <v>1272</v>
      </c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</row>
    <row r="32" spans="1:17">
      <c r="A32" s="7" t="s">
        <v>1273</v>
      </c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</row>
    <row r="33" spans="1:17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</row>
    <row r="34" spans="1:17">
      <c r="A34" s="442" t="s">
        <v>1300</v>
      </c>
      <c r="B34" s="322"/>
      <c r="C34" s="322"/>
      <c r="D34" s="322"/>
      <c r="E34" s="322"/>
      <c r="F34" s="322"/>
      <c r="G34" s="322"/>
      <c r="H34" s="322"/>
      <c r="I34" s="7"/>
      <c r="J34" s="7"/>
      <c r="K34" s="7"/>
      <c r="L34" s="7"/>
      <c r="M34" s="7"/>
      <c r="N34" s="7"/>
      <c r="O34" s="7"/>
      <c r="P34" s="7"/>
      <c r="Q34" s="7"/>
    </row>
    <row r="35" spans="1:17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</row>
    <row r="36" spans="1:17">
      <c r="A36" s="2" t="s">
        <v>1278</v>
      </c>
    </row>
    <row r="37" spans="1:17">
      <c r="A37" s="2" t="s">
        <v>1279</v>
      </c>
    </row>
    <row r="39" spans="1:17">
      <c r="A39" s="2" t="s">
        <v>1280</v>
      </c>
    </row>
    <row r="40" spans="1:17">
      <c r="A40" s="2" t="s">
        <v>1281</v>
      </c>
    </row>
    <row r="41" spans="1:17">
      <c r="A41" s="2" t="s">
        <v>1282</v>
      </c>
    </row>
    <row r="42" spans="1:17">
      <c r="A42" s="2" t="s">
        <v>1283</v>
      </c>
    </row>
    <row r="44" spans="1:17">
      <c r="A44" s="2" t="s">
        <v>1284</v>
      </c>
    </row>
    <row r="45" spans="1:17">
      <c r="A45" s="7" t="s">
        <v>1285</v>
      </c>
    </row>
    <row r="46" spans="1:17">
      <c r="A46" s="7"/>
    </row>
    <row r="47" spans="1:17">
      <c r="A47" s="7" t="s">
        <v>1286</v>
      </c>
    </row>
    <row r="48" spans="1:17">
      <c r="A48" s="7"/>
    </row>
    <row r="49" spans="1:17" s="2" customFormat="1">
      <c r="A49" s="2" t="s">
        <v>1287</v>
      </c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</row>
    <row r="50" spans="1:17" s="2" customFormat="1"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</row>
    <row r="51" spans="1:17">
      <c r="A51" s="149" t="s">
        <v>1245</v>
      </c>
    </row>
    <row r="52" spans="1:17">
      <c r="A52" s="138"/>
    </row>
    <row r="53" spans="1:17">
      <c r="A53" s="442" t="s">
        <v>1756</v>
      </c>
      <c r="B53" s="322"/>
      <c r="C53" s="322"/>
      <c r="D53" s="322"/>
      <c r="E53" s="322"/>
      <c r="F53" s="322"/>
      <c r="G53" s="322"/>
      <c r="H53" s="322"/>
    </row>
    <row r="54" spans="1:17" s="2" customFormat="1">
      <c r="A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</row>
    <row r="55" spans="1:17" s="2" customFormat="1">
      <c r="A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</row>
    <row r="56" spans="1:17" s="2" customFormat="1">
      <c r="A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</row>
    <row r="57" spans="1:17" s="2" customFormat="1">
      <c r="A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</row>
    <row r="58" spans="1:17" s="2" customFormat="1">
      <c r="A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</row>
    <row r="59" spans="1:17" s="2" customFormat="1">
      <c r="A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</row>
    <row r="60" spans="1:17" s="2" customFormat="1">
      <c r="A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</row>
    <row r="61" spans="1:17" s="2" customFormat="1">
      <c r="A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</row>
    <row r="62" spans="1:17" s="2" customFormat="1">
      <c r="A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</row>
  </sheetData>
  <mergeCells count="3">
    <mergeCell ref="A8:A10"/>
    <mergeCell ref="B9:B10"/>
    <mergeCell ref="C9:C10"/>
  </mergeCells>
  <phoneticPr fontId="6" type="noConversion"/>
  <pageMargins left="0.19685039370078741" right="0.19685039370078741" top="0.47244094488188981" bottom="0.23622047244094491" header="0.31496062992125984" footer="0.15748031496062992"/>
  <pageSetup paperSize="9" scale="57" orientation="landscape" r:id="rId1"/>
  <headerFooter alignWithMargins="0"/>
  <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DC9586-F99B-4B17-A2BD-B272F4D7C76D}">
  <sheetPr codeName="Sheet24">
    <tabColor theme="0" tint="-0.249977111117893"/>
    <pageSetUpPr fitToPage="1"/>
  </sheetPr>
  <dimension ref="A1:AB53"/>
  <sheetViews>
    <sheetView view="pageBreakPreview" zoomScale="85" zoomScaleNormal="100" zoomScaleSheetLayoutView="85" workbookViewId="0">
      <pane xSplit="2" ySplit="14" topLeftCell="C15" activePane="bottomRight" state="frozen"/>
      <selection sqref="A1:Z38"/>
      <selection pane="topRight" sqref="A1:Z38"/>
      <selection pane="bottomLeft" sqref="A1:Z38"/>
      <selection pane="bottomRight" activeCell="A10" sqref="A10:A14"/>
    </sheetView>
  </sheetViews>
  <sheetFormatPr defaultColWidth="8.8984375" defaultRowHeight="14.4"/>
  <cols>
    <col min="1" max="1" width="8.8984375" style="323"/>
    <col min="2" max="2" width="26.8984375" style="323" customWidth="1"/>
    <col min="3" max="18" width="9.09765625" style="323" customWidth="1"/>
    <col min="19" max="16384" width="8.8984375" style="323"/>
  </cols>
  <sheetData>
    <row r="1" spans="1:28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</row>
    <row r="2" spans="1:28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</row>
    <row r="3" spans="1:28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</row>
    <row r="4" spans="1:28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</row>
    <row r="6" spans="1:28" ht="25.8">
      <c r="A6" s="324" t="s">
        <v>1651</v>
      </c>
      <c r="B6" s="325"/>
      <c r="C6" s="324"/>
      <c r="D6" s="325"/>
      <c r="E6" s="325"/>
      <c r="F6" s="325"/>
      <c r="G6" s="325"/>
      <c r="H6" s="325"/>
      <c r="I6" s="325"/>
      <c r="J6" s="325"/>
      <c r="K6" s="325"/>
      <c r="L6" s="325"/>
      <c r="M6" s="325"/>
      <c r="N6" s="325"/>
      <c r="O6" s="325"/>
      <c r="P6" s="325"/>
      <c r="Q6" s="325"/>
      <c r="R6" s="326"/>
    </row>
    <row r="7" spans="1:28" ht="25.8">
      <c r="A7" s="324"/>
      <c r="B7" s="325"/>
      <c r="C7" s="324"/>
      <c r="D7" s="325"/>
      <c r="E7" s="325"/>
      <c r="F7" s="325"/>
      <c r="G7" s="325"/>
      <c r="H7" s="325"/>
      <c r="I7" s="325"/>
      <c r="J7" s="325"/>
      <c r="K7" s="325"/>
      <c r="L7" s="325"/>
      <c r="M7" s="325"/>
      <c r="N7" s="325"/>
      <c r="O7" s="325"/>
      <c r="P7" s="325"/>
      <c r="Q7" s="325"/>
      <c r="R7" s="325"/>
    </row>
    <row r="8" spans="1:28">
      <c r="A8" s="327" t="s">
        <v>1301</v>
      </c>
      <c r="B8" s="325"/>
      <c r="C8" s="325"/>
      <c r="D8" s="325"/>
      <c r="E8" s="325"/>
      <c r="F8" s="325"/>
      <c r="G8" s="325"/>
      <c r="H8" s="328"/>
      <c r="I8" s="328"/>
      <c r="J8" s="325"/>
      <c r="K8" s="328"/>
      <c r="L8" s="325"/>
      <c r="M8" s="328"/>
      <c r="N8" s="325"/>
      <c r="O8" s="325"/>
      <c r="P8" s="325"/>
      <c r="Q8" s="325"/>
      <c r="R8" s="325"/>
    </row>
    <row r="9" spans="1:28">
      <c r="A9" s="325"/>
      <c r="B9" s="329"/>
      <c r="C9" s="329"/>
      <c r="D9" s="329"/>
      <c r="E9" s="329"/>
      <c r="F9" s="329"/>
      <c r="G9" s="329"/>
      <c r="H9" s="329"/>
      <c r="I9" s="329"/>
      <c r="J9" s="329"/>
      <c r="K9" s="329"/>
      <c r="L9" s="329"/>
      <c r="M9" s="329"/>
      <c r="N9" s="325"/>
      <c r="O9" s="329"/>
      <c r="P9" s="329"/>
      <c r="Q9" s="329"/>
      <c r="R9" s="328"/>
    </row>
    <row r="10" spans="1:28" ht="17.399999999999999">
      <c r="A10" s="828" t="s">
        <v>172</v>
      </c>
      <c r="B10" s="828" t="s">
        <v>1652</v>
      </c>
      <c r="C10" s="830" t="s">
        <v>1304</v>
      </c>
      <c r="D10" s="832"/>
      <c r="E10" s="832"/>
      <c r="F10" s="832"/>
      <c r="G10" s="832"/>
      <c r="H10" s="832"/>
      <c r="I10" s="832"/>
      <c r="J10" s="831"/>
      <c r="K10" s="827" t="s">
        <v>1305</v>
      </c>
      <c r="L10" s="827"/>
      <c r="M10" s="827"/>
      <c r="N10" s="827"/>
      <c r="O10" s="827"/>
      <c r="P10" s="827"/>
      <c r="Q10" s="827"/>
      <c r="R10" s="827"/>
    </row>
    <row r="11" spans="1:28" ht="17.399999999999999">
      <c r="A11" s="834"/>
      <c r="B11" s="834"/>
      <c r="C11" s="830" t="s">
        <v>1188</v>
      </c>
      <c r="D11" s="831"/>
      <c r="E11" s="830" t="s">
        <v>1306</v>
      </c>
      <c r="F11" s="831"/>
      <c r="G11" s="830" t="s">
        <v>187</v>
      </c>
      <c r="H11" s="832"/>
      <c r="I11" s="832"/>
      <c r="J11" s="831"/>
      <c r="K11" s="830" t="s">
        <v>1188</v>
      </c>
      <c r="L11" s="831"/>
      <c r="M11" s="830" t="s">
        <v>1306</v>
      </c>
      <c r="N11" s="831"/>
      <c r="O11" s="830" t="s">
        <v>187</v>
      </c>
      <c r="P11" s="832"/>
      <c r="Q11" s="832"/>
      <c r="R11" s="831"/>
    </row>
    <row r="12" spans="1:28" ht="17.399999999999999">
      <c r="A12" s="834"/>
      <c r="B12" s="834"/>
      <c r="C12" s="828" t="s">
        <v>1307</v>
      </c>
      <c r="D12" s="827" t="s">
        <v>1308</v>
      </c>
      <c r="E12" s="828" t="s">
        <v>1309</v>
      </c>
      <c r="F12" s="827" t="s">
        <v>1310</v>
      </c>
      <c r="G12" s="827" t="s">
        <v>1311</v>
      </c>
      <c r="H12" s="827"/>
      <c r="I12" s="827" t="s">
        <v>1312</v>
      </c>
      <c r="J12" s="827"/>
      <c r="K12" s="828" t="s">
        <v>1307</v>
      </c>
      <c r="L12" s="827" t="s">
        <v>1308</v>
      </c>
      <c r="M12" s="828" t="s">
        <v>1307</v>
      </c>
      <c r="N12" s="827" t="s">
        <v>1310</v>
      </c>
      <c r="O12" s="827" t="s">
        <v>1311</v>
      </c>
      <c r="P12" s="827"/>
      <c r="Q12" s="827" t="s">
        <v>1312</v>
      </c>
      <c r="R12" s="827"/>
    </row>
    <row r="13" spans="1:28" ht="17.399999999999999">
      <c r="A13" s="834"/>
      <c r="B13" s="834"/>
      <c r="C13" s="829"/>
      <c r="D13" s="827"/>
      <c r="E13" s="829"/>
      <c r="F13" s="827"/>
      <c r="G13" s="330" t="s">
        <v>1309</v>
      </c>
      <c r="H13" s="330" t="s">
        <v>1313</v>
      </c>
      <c r="I13" s="330" t="s">
        <v>1309</v>
      </c>
      <c r="J13" s="330" t="s">
        <v>1313</v>
      </c>
      <c r="K13" s="829"/>
      <c r="L13" s="827"/>
      <c r="M13" s="829"/>
      <c r="N13" s="827"/>
      <c r="O13" s="330" t="s">
        <v>1307</v>
      </c>
      <c r="P13" s="330" t="s">
        <v>1313</v>
      </c>
      <c r="Q13" s="330" t="s">
        <v>1307</v>
      </c>
      <c r="R13" s="330" t="s">
        <v>1313</v>
      </c>
    </row>
    <row r="14" spans="1:28" ht="17.399999999999999">
      <c r="A14" s="829"/>
      <c r="B14" s="829"/>
      <c r="C14" s="331" t="s">
        <v>693</v>
      </c>
      <c r="D14" s="330" t="s">
        <v>694</v>
      </c>
      <c r="E14" s="331" t="s">
        <v>695</v>
      </c>
      <c r="F14" s="330" t="s">
        <v>696</v>
      </c>
      <c r="G14" s="330" t="s">
        <v>657</v>
      </c>
      <c r="H14" s="330" t="s">
        <v>697</v>
      </c>
      <c r="I14" s="330" t="s">
        <v>1314</v>
      </c>
      <c r="J14" s="330" t="s">
        <v>1315</v>
      </c>
      <c r="K14" s="331" t="s">
        <v>671</v>
      </c>
      <c r="L14" s="330" t="s">
        <v>829</v>
      </c>
      <c r="M14" s="331" t="s">
        <v>673</v>
      </c>
      <c r="N14" s="330" t="s">
        <v>1146</v>
      </c>
      <c r="O14" s="330" t="s">
        <v>674</v>
      </c>
      <c r="P14" s="330" t="s">
        <v>1316</v>
      </c>
      <c r="Q14" s="330" t="s">
        <v>1317</v>
      </c>
      <c r="R14" s="330" t="s">
        <v>1318</v>
      </c>
    </row>
    <row r="15" spans="1:28" ht="17.399999999999999">
      <c r="A15" s="833" t="s">
        <v>1684</v>
      </c>
      <c r="B15" s="552" t="s">
        <v>1686</v>
      </c>
      <c r="C15" s="330"/>
      <c r="D15" s="332"/>
      <c r="E15" s="332"/>
      <c r="F15" s="332"/>
      <c r="G15" s="332"/>
      <c r="H15" s="332"/>
      <c r="I15" s="332"/>
      <c r="J15" s="332"/>
      <c r="K15" s="332"/>
      <c r="L15" s="332"/>
      <c r="M15" s="332"/>
      <c r="N15" s="332"/>
      <c r="O15" s="333"/>
      <c r="P15" s="333"/>
      <c r="Q15" s="333"/>
      <c r="R15" s="333"/>
    </row>
    <row r="16" spans="1:28" ht="17.399999999999999">
      <c r="A16" s="834"/>
      <c r="B16" s="552" t="s">
        <v>1664</v>
      </c>
      <c r="C16" s="330"/>
      <c r="D16" s="332"/>
      <c r="E16" s="332"/>
      <c r="F16" s="332"/>
      <c r="G16" s="332"/>
      <c r="H16" s="332"/>
      <c r="I16" s="332"/>
      <c r="J16" s="332"/>
      <c r="K16" s="332"/>
      <c r="L16" s="332"/>
      <c r="M16" s="332"/>
      <c r="N16" s="332"/>
      <c r="O16" s="333"/>
      <c r="P16" s="333"/>
      <c r="Q16" s="333"/>
      <c r="R16" s="333"/>
    </row>
    <row r="17" spans="1:18" ht="17.399999999999999">
      <c r="A17" s="834"/>
      <c r="B17" s="552" t="s">
        <v>1665</v>
      </c>
      <c r="C17" s="330"/>
      <c r="D17" s="332"/>
      <c r="E17" s="332"/>
      <c r="F17" s="332"/>
      <c r="G17" s="332"/>
      <c r="H17" s="332"/>
      <c r="I17" s="332"/>
      <c r="J17" s="332"/>
      <c r="K17" s="332"/>
      <c r="L17" s="332"/>
      <c r="M17" s="332"/>
      <c r="N17" s="332"/>
      <c r="O17" s="333"/>
      <c r="P17" s="333"/>
      <c r="Q17" s="333"/>
      <c r="R17" s="333"/>
    </row>
    <row r="18" spans="1:18" ht="17.399999999999999">
      <c r="A18" s="834"/>
      <c r="B18" s="552" t="s">
        <v>1666</v>
      </c>
      <c r="C18" s="330"/>
      <c r="D18" s="332"/>
      <c r="E18" s="332"/>
      <c r="F18" s="332"/>
      <c r="G18" s="332"/>
      <c r="H18" s="332"/>
      <c r="I18" s="332"/>
      <c r="J18" s="332"/>
      <c r="K18" s="332"/>
      <c r="L18" s="332"/>
      <c r="M18" s="332"/>
      <c r="N18" s="332"/>
      <c r="O18" s="333"/>
      <c r="P18" s="333"/>
      <c r="Q18" s="333"/>
      <c r="R18" s="333"/>
    </row>
    <row r="19" spans="1:18" ht="17.399999999999999">
      <c r="A19" s="834"/>
      <c r="B19" s="552" t="s">
        <v>1667</v>
      </c>
      <c r="C19" s="330"/>
      <c r="D19" s="332"/>
      <c r="E19" s="332"/>
      <c r="F19" s="332"/>
      <c r="G19" s="332"/>
      <c r="H19" s="332"/>
      <c r="I19" s="332"/>
      <c r="J19" s="332"/>
      <c r="K19" s="332"/>
      <c r="L19" s="332"/>
      <c r="M19" s="332"/>
      <c r="N19" s="332"/>
      <c r="O19" s="333"/>
      <c r="P19" s="333"/>
      <c r="Q19" s="333"/>
      <c r="R19" s="333"/>
    </row>
    <row r="20" spans="1:18" ht="17.399999999999999">
      <c r="A20" s="834"/>
      <c r="B20" s="552" t="s">
        <v>1668</v>
      </c>
      <c r="C20" s="330"/>
      <c r="D20" s="332"/>
      <c r="E20" s="332"/>
      <c r="F20" s="332"/>
      <c r="G20" s="332"/>
      <c r="H20" s="332"/>
      <c r="I20" s="332"/>
      <c r="J20" s="332"/>
      <c r="K20" s="332"/>
      <c r="L20" s="332"/>
      <c r="M20" s="332"/>
      <c r="N20" s="332"/>
      <c r="O20" s="333"/>
      <c r="P20" s="333"/>
      <c r="Q20" s="333"/>
      <c r="R20" s="333"/>
    </row>
    <row r="21" spans="1:18" ht="17.399999999999999">
      <c r="A21" s="834"/>
      <c r="B21" s="552" t="s">
        <v>1669</v>
      </c>
      <c r="C21" s="330"/>
      <c r="D21" s="332"/>
      <c r="E21" s="332"/>
      <c r="F21" s="332"/>
      <c r="G21" s="332"/>
      <c r="H21" s="332"/>
      <c r="I21" s="332"/>
      <c r="J21" s="332"/>
      <c r="K21" s="332"/>
      <c r="L21" s="332"/>
      <c r="M21" s="332"/>
      <c r="N21" s="332"/>
      <c r="O21" s="333"/>
      <c r="P21" s="333"/>
      <c r="Q21" s="333"/>
      <c r="R21" s="333"/>
    </row>
    <row r="22" spans="1:18" ht="17.399999999999999">
      <c r="A22" s="834"/>
      <c r="B22" s="552" t="s">
        <v>1670</v>
      </c>
      <c r="C22" s="330"/>
      <c r="D22" s="332"/>
      <c r="E22" s="332"/>
      <c r="F22" s="332"/>
      <c r="G22" s="332"/>
      <c r="H22" s="332"/>
      <c r="I22" s="332"/>
      <c r="J22" s="332"/>
      <c r="K22" s="332"/>
      <c r="L22" s="332"/>
      <c r="M22" s="332"/>
      <c r="N22" s="332"/>
      <c r="O22" s="333"/>
      <c r="P22" s="333"/>
      <c r="Q22" s="333"/>
      <c r="R22" s="333"/>
    </row>
    <row r="23" spans="1:18" ht="17.399999999999999">
      <c r="A23" s="834"/>
      <c r="B23" s="552" t="s">
        <v>1671</v>
      </c>
      <c r="C23" s="330"/>
      <c r="D23" s="332"/>
      <c r="E23" s="332"/>
      <c r="F23" s="332"/>
      <c r="G23" s="332"/>
      <c r="H23" s="332"/>
      <c r="I23" s="332"/>
      <c r="J23" s="332"/>
      <c r="K23" s="332"/>
      <c r="L23" s="332"/>
      <c r="M23" s="332"/>
      <c r="N23" s="332"/>
      <c r="O23" s="333"/>
      <c r="P23" s="333"/>
      <c r="Q23" s="333"/>
      <c r="R23" s="333"/>
    </row>
    <row r="24" spans="1:18" ht="17.399999999999999">
      <c r="A24" s="834"/>
      <c r="B24" s="552" t="s">
        <v>1672</v>
      </c>
      <c r="C24" s="552"/>
      <c r="D24" s="332"/>
      <c r="E24" s="332"/>
      <c r="F24" s="332"/>
      <c r="G24" s="332"/>
      <c r="H24" s="332"/>
      <c r="I24" s="332"/>
      <c r="J24" s="332"/>
      <c r="K24" s="332"/>
      <c r="L24" s="332"/>
      <c r="M24" s="332"/>
      <c r="N24" s="332"/>
      <c r="O24" s="333"/>
      <c r="P24" s="333"/>
      <c r="Q24" s="333"/>
      <c r="R24" s="333"/>
    </row>
    <row r="25" spans="1:18" ht="17.399999999999999">
      <c r="A25" s="834"/>
      <c r="B25" s="552" t="s">
        <v>1673</v>
      </c>
      <c r="C25" s="552"/>
      <c r="D25" s="332"/>
      <c r="E25" s="332"/>
      <c r="F25" s="332"/>
      <c r="G25" s="332"/>
      <c r="H25" s="332"/>
      <c r="I25" s="332"/>
      <c r="J25" s="332"/>
      <c r="K25" s="332"/>
      <c r="L25" s="332"/>
      <c r="M25" s="332"/>
      <c r="N25" s="332"/>
      <c r="O25" s="333"/>
      <c r="P25" s="333"/>
      <c r="Q25" s="333"/>
      <c r="R25" s="333"/>
    </row>
    <row r="26" spans="1:18" ht="17.399999999999999">
      <c r="A26" s="829"/>
      <c r="B26" s="552" t="s">
        <v>1340</v>
      </c>
      <c r="C26" s="552"/>
      <c r="D26" s="332"/>
      <c r="E26" s="332"/>
      <c r="F26" s="332"/>
      <c r="G26" s="332"/>
      <c r="H26" s="332"/>
      <c r="I26" s="332"/>
      <c r="J26" s="332"/>
      <c r="K26" s="332"/>
      <c r="L26" s="332"/>
      <c r="M26" s="332"/>
      <c r="N26" s="332"/>
      <c r="O26" s="333"/>
      <c r="P26" s="333"/>
      <c r="Q26" s="333"/>
      <c r="R26" s="333"/>
    </row>
    <row r="27" spans="1:18" ht="17.399999999999999">
      <c r="A27" s="833" t="s">
        <v>1685</v>
      </c>
      <c r="B27" s="552" t="s">
        <v>1674</v>
      </c>
      <c r="C27" s="552"/>
      <c r="D27" s="332"/>
      <c r="E27" s="332"/>
      <c r="F27" s="332"/>
      <c r="G27" s="332"/>
      <c r="H27" s="332"/>
      <c r="I27" s="332"/>
      <c r="J27" s="332"/>
      <c r="K27" s="332"/>
      <c r="L27" s="332"/>
      <c r="M27" s="332"/>
      <c r="N27" s="332"/>
      <c r="O27" s="333"/>
      <c r="P27" s="333"/>
      <c r="Q27" s="333"/>
      <c r="R27" s="333"/>
    </row>
    <row r="28" spans="1:18" ht="17.399999999999999">
      <c r="A28" s="834"/>
      <c r="B28" s="552" t="s">
        <v>1675</v>
      </c>
      <c r="C28" s="552"/>
      <c r="D28" s="332"/>
      <c r="E28" s="332"/>
      <c r="F28" s="332"/>
      <c r="G28" s="332"/>
      <c r="H28" s="332"/>
      <c r="I28" s="332"/>
      <c r="J28" s="332"/>
      <c r="K28" s="332"/>
      <c r="L28" s="332"/>
      <c r="M28" s="332"/>
      <c r="N28" s="332"/>
      <c r="O28" s="333"/>
      <c r="P28" s="333"/>
      <c r="Q28" s="333"/>
      <c r="R28" s="333"/>
    </row>
    <row r="29" spans="1:18" ht="17.399999999999999">
      <c r="A29" s="834"/>
      <c r="B29" s="552" t="s">
        <v>1676</v>
      </c>
      <c r="C29" s="552"/>
      <c r="D29" s="332"/>
      <c r="E29" s="332"/>
      <c r="F29" s="332"/>
      <c r="G29" s="332"/>
      <c r="H29" s="332"/>
      <c r="I29" s="332"/>
      <c r="J29" s="332"/>
      <c r="K29" s="332"/>
      <c r="L29" s="332"/>
      <c r="M29" s="332"/>
      <c r="N29" s="332"/>
      <c r="O29" s="333"/>
      <c r="P29" s="333"/>
      <c r="Q29" s="333"/>
      <c r="R29" s="333"/>
    </row>
    <row r="30" spans="1:18" ht="17.399999999999999">
      <c r="A30" s="834"/>
      <c r="B30" s="552" t="s">
        <v>1677</v>
      </c>
      <c r="C30" s="552"/>
      <c r="D30" s="332"/>
      <c r="E30" s="332"/>
      <c r="F30" s="332"/>
      <c r="G30" s="332"/>
      <c r="H30" s="332"/>
      <c r="I30" s="332"/>
      <c r="J30" s="332"/>
      <c r="K30" s="332"/>
      <c r="L30" s="332"/>
      <c r="M30" s="332"/>
      <c r="N30" s="332"/>
      <c r="O30" s="333"/>
      <c r="P30" s="333"/>
      <c r="Q30" s="333"/>
      <c r="R30" s="333"/>
    </row>
    <row r="31" spans="1:18" ht="17.399999999999999">
      <c r="A31" s="834"/>
      <c r="B31" s="552" t="s">
        <v>1678</v>
      </c>
      <c r="C31" s="552"/>
      <c r="D31" s="332"/>
      <c r="E31" s="332"/>
      <c r="F31" s="332"/>
      <c r="G31" s="332"/>
      <c r="H31" s="332"/>
      <c r="I31" s="332"/>
      <c r="J31" s="332"/>
      <c r="K31" s="332"/>
      <c r="L31" s="332"/>
      <c r="M31" s="332"/>
      <c r="N31" s="332"/>
      <c r="O31" s="333"/>
      <c r="P31" s="333"/>
      <c r="Q31" s="333"/>
      <c r="R31" s="333"/>
    </row>
    <row r="32" spans="1:18" ht="17.399999999999999">
      <c r="A32" s="834"/>
      <c r="B32" s="552" t="s">
        <v>1679</v>
      </c>
      <c r="C32" s="552"/>
      <c r="D32" s="332"/>
      <c r="E32" s="332"/>
      <c r="F32" s="332"/>
      <c r="G32" s="332"/>
      <c r="H32" s="332"/>
      <c r="I32" s="332"/>
      <c r="J32" s="332"/>
      <c r="K32" s="332"/>
      <c r="L32" s="332"/>
      <c r="M32" s="332"/>
      <c r="N32" s="332"/>
      <c r="O32" s="333"/>
      <c r="P32" s="333"/>
      <c r="Q32" s="333"/>
      <c r="R32" s="333"/>
    </row>
    <row r="33" spans="1:18" ht="17.399999999999999">
      <c r="A33" s="834"/>
      <c r="B33" s="552" t="s">
        <v>1680</v>
      </c>
      <c r="C33" s="552"/>
      <c r="D33" s="332"/>
      <c r="E33" s="332"/>
      <c r="F33" s="332"/>
      <c r="G33" s="332"/>
      <c r="H33" s="332"/>
      <c r="I33" s="332"/>
      <c r="J33" s="332"/>
      <c r="K33" s="332"/>
      <c r="L33" s="332"/>
      <c r="M33" s="332"/>
      <c r="N33" s="332"/>
      <c r="O33" s="333"/>
      <c r="P33" s="333"/>
      <c r="Q33" s="333"/>
      <c r="R33" s="333"/>
    </row>
    <row r="34" spans="1:18" ht="17.399999999999999">
      <c r="A34" s="834"/>
      <c r="B34" s="552" t="s">
        <v>1681</v>
      </c>
      <c r="C34" s="552"/>
      <c r="D34" s="332"/>
      <c r="E34" s="332"/>
      <c r="F34" s="332"/>
      <c r="G34" s="332"/>
      <c r="H34" s="332"/>
      <c r="I34" s="332"/>
      <c r="J34" s="332"/>
      <c r="K34" s="332"/>
      <c r="L34" s="332"/>
      <c r="M34" s="332"/>
      <c r="N34" s="332"/>
      <c r="O34" s="333"/>
      <c r="P34" s="333"/>
      <c r="Q34" s="333"/>
      <c r="R34" s="333"/>
    </row>
    <row r="35" spans="1:18" ht="17.399999999999999">
      <c r="A35" s="834"/>
      <c r="B35" s="552" t="s">
        <v>1682</v>
      </c>
      <c r="C35" s="552"/>
      <c r="D35" s="332"/>
      <c r="E35" s="332"/>
      <c r="F35" s="332"/>
      <c r="G35" s="332"/>
      <c r="H35" s="332"/>
      <c r="I35" s="332"/>
      <c r="J35" s="332"/>
      <c r="K35" s="332"/>
      <c r="L35" s="332"/>
      <c r="M35" s="332"/>
      <c r="N35" s="332"/>
      <c r="O35" s="333"/>
      <c r="P35" s="333"/>
      <c r="Q35" s="333"/>
      <c r="R35" s="333"/>
    </row>
    <row r="36" spans="1:18" ht="17.399999999999999">
      <c r="A36" s="834"/>
      <c r="B36" s="552" t="s">
        <v>1683</v>
      </c>
      <c r="C36" s="552"/>
      <c r="D36" s="332"/>
      <c r="E36" s="332"/>
      <c r="F36" s="332"/>
      <c r="G36" s="332"/>
      <c r="H36" s="332"/>
      <c r="I36" s="332"/>
      <c r="J36" s="332"/>
      <c r="K36" s="332"/>
      <c r="L36" s="332"/>
      <c r="M36" s="332"/>
      <c r="N36" s="332"/>
      <c r="O36" s="333"/>
      <c r="P36" s="333"/>
      <c r="Q36" s="333"/>
      <c r="R36" s="333"/>
    </row>
    <row r="37" spans="1:18" ht="17.399999999999999">
      <c r="A37" s="834"/>
      <c r="B37" s="552" t="s">
        <v>1673</v>
      </c>
      <c r="C37" s="330"/>
      <c r="D37" s="332"/>
      <c r="E37" s="332"/>
      <c r="F37" s="332"/>
      <c r="G37" s="332"/>
      <c r="H37" s="332"/>
      <c r="I37" s="332"/>
      <c r="J37" s="332"/>
      <c r="K37" s="332"/>
      <c r="L37" s="332"/>
      <c r="M37" s="332"/>
      <c r="N37" s="332"/>
      <c r="O37" s="333"/>
      <c r="P37" s="333"/>
      <c r="Q37" s="333"/>
      <c r="R37" s="333"/>
    </row>
    <row r="38" spans="1:18" ht="17.399999999999999">
      <c r="A38" s="829"/>
      <c r="B38" s="552" t="s">
        <v>1340</v>
      </c>
      <c r="C38" s="330"/>
      <c r="D38" s="332"/>
      <c r="E38" s="332"/>
      <c r="F38" s="332"/>
      <c r="G38" s="332"/>
      <c r="H38" s="332"/>
      <c r="I38" s="332"/>
      <c r="J38" s="332"/>
      <c r="K38" s="332"/>
      <c r="L38" s="332"/>
      <c r="M38" s="332"/>
      <c r="N38" s="332"/>
      <c r="O38" s="334"/>
      <c r="P38" s="334"/>
      <c r="Q38" s="334"/>
      <c r="R38" s="334"/>
    </row>
    <row r="39" spans="1:18" ht="17.399999999999999">
      <c r="A39" s="325"/>
      <c r="B39" s="325"/>
      <c r="C39" s="335"/>
      <c r="D39" s="325"/>
      <c r="E39" s="325"/>
      <c r="F39" s="325"/>
      <c r="G39" s="325"/>
      <c r="H39" s="325"/>
      <c r="I39" s="325"/>
      <c r="J39" s="325"/>
      <c r="K39" s="325"/>
      <c r="L39" s="325"/>
      <c r="M39" s="325"/>
      <c r="N39" s="325"/>
      <c r="O39" s="325"/>
      <c r="P39" s="325"/>
      <c r="Q39" s="325"/>
      <c r="R39" s="325"/>
    </row>
    <row r="40" spans="1:18">
      <c r="A40" s="336" t="s">
        <v>1319</v>
      </c>
      <c r="B40" s="325"/>
      <c r="C40" s="325"/>
      <c r="D40" s="325"/>
      <c r="E40" s="325"/>
      <c r="F40" s="325"/>
      <c r="G40" s="325"/>
      <c r="H40" s="325"/>
      <c r="I40" s="325"/>
      <c r="J40" s="325"/>
      <c r="K40" s="325"/>
      <c r="L40" s="325"/>
      <c r="M40" s="325"/>
      <c r="N40" s="325"/>
      <c r="O40" s="325"/>
      <c r="P40" s="325"/>
      <c r="Q40" s="325"/>
      <c r="R40" s="325"/>
    </row>
    <row r="41" spans="1:18">
      <c r="A41" s="325"/>
      <c r="B41" s="325"/>
      <c r="C41" s="325"/>
      <c r="D41" s="325"/>
      <c r="E41" s="325"/>
      <c r="F41" s="325"/>
      <c r="G41" s="325"/>
      <c r="H41" s="325"/>
      <c r="I41" s="325"/>
      <c r="J41" s="325"/>
      <c r="K41" s="325"/>
      <c r="L41" s="325"/>
      <c r="M41" s="325"/>
      <c r="N41" s="325"/>
      <c r="O41" s="325"/>
      <c r="P41" s="325"/>
      <c r="Q41" s="325"/>
      <c r="R41" s="325"/>
    </row>
    <row r="42" spans="1:18">
      <c r="A42" s="560" t="s">
        <v>1663</v>
      </c>
      <c r="B42" s="325"/>
      <c r="C42" s="337"/>
      <c r="D42" s="325"/>
      <c r="E42" s="325"/>
      <c r="F42" s="325"/>
      <c r="G42" s="325"/>
      <c r="H42" s="325"/>
      <c r="I42" s="325"/>
      <c r="J42" s="325"/>
      <c r="K42" s="325"/>
      <c r="L42" s="325"/>
      <c r="M42" s="325"/>
      <c r="N42" s="325"/>
      <c r="O42" s="325"/>
      <c r="P42" s="325"/>
      <c r="Q42" s="325"/>
      <c r="R42" s="325"/>
    </row>
    <row r="43" spans="1:18">
      <c r="A43" s="325"/>
      <c r="B43" s="325"/>
      <c r="C43" s="337"/>
      <c r="D43" s="325"/>
      <c r="E43" s="325"/>
      <c r="F43" s="325"/>
      <c r="G43" s="325"/>
      <c r="H43" s="325"/>
      <c r="I43" s="325"/>
      <c r="J43" s="325"/>
      <c r="K43" s="325"/>
      <c r="L43" s="325"/>
      <c r="M43" s="325"/>
      <c r="N43" s="325"/>
      <c r="O43" s="325"/>
      <c r="P43" s="325"/>
      <c r="Q43" s="325"/>
      <c r="R43" s="325"/>
    </row>
    <row r="44" spans="1:18">
      <c r="A44" s="338" t="s">
        <v>1653</v>
      </c>
      <c r="B44" s="325"/>
      <c r="C44" s="337"/>
      <c r="D44" s="325"/>
      <c r="E44" s="325"/>
      <c r="F44" s="325"/>
      <c r="G44" s="325"/>
      <c r="H44" s="325"/>
      <c r="I44" s="325"/>
      <c r="J44" s="325"/>
      <c r="K44" s="325"/>
      <c r="L44" s="325"/>
      <c r="M44" s="325"/>
      <c r="N44" s="325"/>
      <c r="O44" s="325"/>
      <c r="P44" s="325"/>
      <c r="Q44" s="325"/>
      <c r="R44" s="325"/>
    </row>
    <row r="45" spans="1:18">
      <c r="A45" s="338" t="s">
        <v>1654</v>
      </c>
      <c r="B45" s="337"/>
      <c r="C45" s="337"/>
      <c r="D45" s="325"/>
      <c r="E45" s="325"/>
      <c r="F45" s="325"/>
      <c r="G45" s="325"/>
      <c r="H45" s="325"/>
      <c r="I45" s="325"/>
      <c r="J45" s="325"/>
      <c r="K45" s="325"/>
      <c r="L45" s="325"/>
      <c r="M45" s="325"/>
      <c r="N45" s="325"/>
      <c r="O45" s="325"/>
      <c r="P45" s="325"/>
      <c r="Q45" s="325"/>
      <c r="R45" s="325"/>
    </row>
    <row r="46" spans="1:18">
      <c r="A46" s="338" t="s">
        <v>1655</v>
      </c>
      <c r="B46" s="325"/>
      <c r="C46" s="325"/>
      <c r="D46" s="325"/>
      <c r="E46" s="325"/>
      <c r="F46" s="325"/>
      <c r="G46" s="325"/>
      <c r="H46" s="325"/>
      <c r="I46" s="325"/>
      <c r="J46" s="325"/>
      <c r="K46" s="325"/>
      <c r="L46" s="325"/>
      <c r="M46" s="325"/>
      <c r="N46" s="325"/>
      <c r="O46" s="325"/>
      <c r="P46" s="325"/>
      <c r="Q46" s="325"/>
      <c r="R46" s="325"/>
    </row>
    <row r="47" spans="1:18">
      <c r="A47" s="338" t="s">
        <v>1656</v>
      </c>
    </row>
    <row r="48" spans="1:18">
      <c r="A48" s="338" t="s">
        <v>1657</v>
      </c>
    </row>
    <row r="49" spans="1:1">
      <c r="A49" s="338" t="s">
        <v>1658</v>
      </c>
    </row>
    <row r="50" spans="1:1">
      <c r="A50" s="338" t="s">
        <v>1659</v>
      </c>
    </row>
    <row r="51" spans="1:1">
      <c r="A51" s="338" t="s">
        <v>1660</v>
      </c>
    </row>
    <row r="52" spans="1:1">
      <c r="A52" s="560" t="s">
        <v>1661</v>
      </c>
    </row>
    <row r="53" spans="1:1">
      <c r="A53" s="338" t="s">
        <v>1662</v>
      </c>
    </row>
  </sheetData>
  <mergeCells count="24">
    <mergeCell ref="A15:A26"/>
    <mergeCell ref="A27:A38"/>
    <mergeCell ref="A10:A14"/>
    <mergeCell ref="B10:B14"/>
    <mergeCell ref="C10:J10"/>
    <mergeCell ref="K10:R10"/>
    <mergeCell ref="C11:D11"/>
    <mergeCell ref="E11:F11"/>
    <mergeCell ref="G11:J11"/>
    <mergeCell ref="K11:L11"/>
    <mergeCell ref="M11:N11"/>
    <mergeCell ref="O11:R11"/>
    <mergeCell ref="Q12:R12"/>
    <mergeCell ref="C12:C13"/>
    <mergeCell ref="D12:D13"/>
    <mergeCell ref="E12:E13"/>
    <mergeCell ref="F12:F13"/>
    <mergeCell ref="G12:H12"/>
    <mergeCell ref="O12:P12"/>
    <mergeCell ref="I12:J12"/>
    <mergeCell ref="K12:K13"/>
    <mergeCell ref="L12:L13"/>
    <mergeCell ref="M12:M13"/>
    <mergeCell ref="N12:N13"/>
  </mergeCells>
  <phoneticPr fontId="6" type="noConversion"/>
  <pageMargins left="0.7" right="0.7" top="0.75" bottom="0.75" header="0.3" footer="0.3"/>
  <pageSetup paperSize="9" scale="42" fitToHeight="0" orientation="portrait" r:id="rId1"/>
  <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4E473F-2EA0-4EA7-86C7-2B09EE90DF33}">
  <sheetPr codeName="Sheet25">
    <tabColor rgb="FFFFFF00"/>
    <pageSetUpPr fitToPage="1"/>
  </sheetPr>
  <dimension ref="A1:AF54"/>
  <sheetViews>
    <sheetView view="pageBreakPreview" zoomScale="85" zoomScaleNormal="100" zoomScaleSheetLayoutView="85" workbookViewId="0">
      <pane xSplit="2" ySplit="14" topLeftCell="C50" activePane="bottomRight" state="frozen"/>
      <selection sqref="A1:Z38"/>
      <selection pane="topRight" sqref="A1:Z38"/>
      <selection pane="bottomLeft" sqref="A1:Z38"/>
      <selection pane="bottomRight" activeCell="A6" sqref="A6"/>
    </sheetView>
  </sheetViews>
  <sheetFormatPr defaultColWidth="8.8984375" defaultRowHeight="14.4"/>
  <cols>
    <col min="1" max="2" width="8.8984375" style="323"/>
    <col min="3" max="26" width="6" style="323" customWidth="1"/>
    <col min="27" max="16384" width="8.8984375" style="323"/>
  </cols>
  <sheetData>
    <row r="1" spans="1:32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</row>
    <row r="2" spans="1:32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</row>
    <row r="3" spans="1:32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</row>
    <row r="4" spans="1:32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21"/>
      <c r="AB4" s="5"/>
      <c r="AC4" s="5"/>
      <c r="AD4" s="5"/>
      <c r="AE4" s="5"/>
      <c r="AF4" s="5"/>
    </row>
    <row r="6" spans="1:32" ht="25.8">
      <c r="A6" s="324" t="s">
        <v>1651</v>
      </c>
      <c r="B6" s="325"/>
      <c r="C6" s="324"/>
      <c r="D6" s="324"/>
      <c r="E6" s="325"/>
      <c r="F6" s="325"/>
      <c r="G6" s="325"/>
      <c r="H6" s="325"/>
      <c r="I6" s="325"/>
      <c r="J6" s="325"/>
      <c r="K6" s="325"/>
      <c r="L6" s="325"/>
      <c r="M6" s="325"/>
      <c r="N6" s="325"/>
      <c r="O6" s="325"/>
      <c r="P6" s="325"/>
      <c r="Q6" s="325"/>
      <c r="R6" s="325"/>
      <c r="S6" s="325"/>
      <c r="T6" s="325"/>
      <c r="U6" s="325"/>
      <c r="V6" s="326"/>
    </row>
    <row r="7" spans="1:32" ht="25.8">
      <c r="A7" s="324"/>
      <c r="B7" s="325"/>
      <c r="C7" s="324"/>
      <c r="D7" s="324"/>
      <c r="E7" s="325"/>
      <c r="F7" s="325"/>
      <c r="G7" s="325"/>
      <c r="H7" s="325"/>
      <c r="I7" s="325"/>
      <c r="J7" s="325"/>
      <c r="K7" s="325"/>
      <c r="L7" s="325"/>
      <c r="M7" s="325"/>
      <c r="N7" s="325"/>
      <c r="O7" s="325"/>
      <c r="P7" s="325"/>
      <c r="Q7" s="325"/>
      <c r="R7" s="325"/>
      <c r="S7" s="325"/>
      <c r="T7" s="325"/>
      <c r="U7" s="325"/>
      <c r="V7" s="325"/>
    </row>
    <row r="8" spans="1:32">
      <c r="A8" s="327" t="s">
        <v>1301</v>
      </c>
      <c r="B8" s="325"/>
      <c r="C8" s="325"/>
      <c r="D8" s="325"/>
      <c r="E8" s="325"/>
      <c r="F8" s="325"/>
      <c r="G8" s="325"/>
      <c r="H8" s="325"/>
      <c r="I8" s="325"/>
      <c r="J8" s="325"/>
      <c r="K8" s="328"/>
      <c r="L8" s="328"/>
      <c r="M8" s="328"/>
      <c r="N8" s="325"/>
      <c r="O8" s="328"/>
      <c r="P8" s="325"/>
      <c r="Q8" s="328"/>
      <c r="R8" s="325"/>
      <c r="S8" s="325"/>
      <c r="T8" s="325"/>
      <c r="U8" s="325"/>
      <c r="V8" s="325"/>
    </row>
    <row r="9" spans="1:32">
      <c r="A9" s="325"/>
      <c r="B9" s="329"/>
      <c r="C9" s="329"/>
      <c r="D9" s="329"/>
      <c r="E9" s="329"/>
      <c r="F9" s="329"/>
      <c r="G9" s="329"/>
      <c r="H9" s="329"/>
      <c r="I9" s="329"/>
      <c r="J9" s="329"/>
      <c r="K9" s="329"/>
      <c r="L9" s="329"/>
      <c r="M9" s="329"/>
      <c r="N9" s="329"/>
      <c r="O9" s="329"/>
      <c r="P9" s="329"/>
      <c r="Q9" s="329"/>
      <c r="R9" s="325"/>
      <c r="S9" s="329"/>
      <c r="T9" s="329"/>
      <c r="U9" s="329"/>
      <c r="V9" s="328"/>
    </row>
    <row r="10" spans="1:32" ht="17.399999999999999">
      <c r="A10" s="828" t="s">
        <v>1302</v>
      </c>
      <c r="B10" s="828" t="s">
        <v>1303</v>
      </c>
      <c r="C10" s="830" t="s">
        <v>1304</v>
      </c>
      <c r="D10" s="832"/>
      <c r="E10" s="832"/>
      <c r="F10" s="832"/>
      <c r="G10" s="832"/>
      <c r="H10" s="832"/>
      <c r="I10" s="832"/>
      <c r="J10" s="832"/>
      <c r="K10" s="832"/>
      <c r="L10" s="832"/>
      <c r="M10" s="832"/>
      <c r="N10" s="831"/>
      <c r="O10" s="830" t="s">
        <v>1320</v>
      </c>
      <c r="P10" s="832"/>
      <c r="Q10" s="832"/>
      <c r="R10" s="832"/>
      <c r="S10" s="832"/>
      <c r="T10" s="832"/>
      <c r="U10" s="832"/>
      <c r="V10" s="832"/>
      <c r="W10" s="832"/>
      <c r="X10" s="832"/>
      <c r="Y10" s="832"/>
      <c r="Z10" s="831"/>
    </row>
    <row r="11" spans="1:32" ht="17.399999999999999">
      <c r="A11" s="834"/>
      <c r="B11" s="834"/>
      <c r="C11" s="830" t="s">
        <v>1188</v>
      </c>
      <c r="D11" s="832"/>
      <c r="E11" s="831"/>
      <c r="F11" s="830" t="s">
        <v>1306</v>
      </c>
      <c r="G11" s="832"/>
      <c r="H11" s="831"/>
      <c r="I11" s="830" t="s">
        <v>187</v>
      </c>
      <c r="J11" s="832"/>
      <c r="K11" s="832"/>
      <c r="L11" s="832"/>
      <c r="M11" s="832"/>
      <c r="N11" s="831"/>
      <c r="O11" s="830" t="s">
        <v>1188</v>
      </c>
      <c r="P11" s="832"/>
      <c r="Q11" s="831"/>
      <c r="R11" s="830" t="s">
        <v>1306</v>
      </c>
      <c r="S11" s="832"/>
      <c r="T11" s="831"/>
      <c r="U11" s="830" t="s">
        <v>187</v>
      </c>
      <c r="V11" s="832"/>
      <c r="W11" s="832"/>
      <c r="X11" s="832"/>
      <c r="Y11" s="832"/>
      <c r="Z11" s="831"/>
    </row>
    <row r="12" spans="1:32" ht="17.399999999999999">
      <c r="A12" s="834"/>
      <c r="B12" s="834"/>
      <c r="C12" s="837" t="s">
        <v>1307</v>
      </c>
      <c r="D12" s="835" t="s">
        <v>1308</v>
      </c>
      <c r="E12" s="836" t="s">
        <v>1321</v>
      </c>
      <c r="F12" s="837" t="s">
        <v>1309</v>
      </c>
      <c r="G12" s="835" t="s">
        <v>1310</v>
      </c>
      <c r="H12" s="836" t="s">
        <v>1321</v>
      </c>
      <c r="I12" s="835" t="s">
        <v>1311</v>
      </c>
      <c r="J12" s="835"/>
      <c r="K12" s="835"/>
      <c r="L12" s="835" t="s">
        <v>1312</v>
      </c>
      <c r="M12" s="835"/>
      <c r="N12" s="835"/>
      <c r="O12" s="837" t="s">
        <v>1307</v>
      </c>
      <c r="P12" s="835" t="s">
        <v>1308</v>
      </c>
      <c r="Q12" s="836" t="s">
        <v>1321</v>
      </c>
      <c r="R12" s="837" t="s">
        <v>1309</v>
      </c>
      <c r="S12" s="835" t="s">
        <v>1310</v>
      </c>
      <c r="T12" s="836" t="s">
        <v>1321</v>
      </c>
      <c r="U12" s="835" t="s">
        <v>1311</v>
      </c>
      <c r="V12" s="835"/>
      <c r="W12" s="835"/>
      <c r="X12" s="835" t="s">
        <v>1312</v>
      </c>
      <c r="Y12" s="835"/>
      <c r="Z12" s="835"/>
      <c r="AA12" s="460"/>
    </row>
    <row r="13" spans="1:32" ht="52.2">
      <c r="A13" s="834"/>
      <c r="B13" s="834"/>
      <c r="C13" s="838"/>
      <c r="D13" s="835"/>
      <c r="E13" s="836"/>
      <c r="F13" s="838"/>
      <c r="G13" s="835"/>
      <c r="H13" s="836"/>
      <c r="I13" s="429" t="s">
        <v>1309</v>
      </c>
      <c r="J13" s="429" t="s">
        <v>1313</v>
      </c>
      <c r="K13" s="461" t="s">
        <v>1321</v>
      </c>
      <c r="L13" s="429" t="s">
        <v>1309</v>
      </c>
      <c r="M13" s="429" t="s">
        <v>1313</v>
      </c>
      <c r="N13" s="461" t="s">
        <v>1321</v>
      </c>
      <c r="O13" s="838"/>
      <c r="P13" s="835"/>
      <c r="Q13" s="836"/>
      <c r="R13" s="838"/>
      <c r="S13" s="835"/>
      <c r="T13" s="836"/>
      <c r="U13" s="429" t="s">
        <v>1309</v>
      </c>
      <c r="V13" s="429" t="s">
        <v>1313</v>
      </c>
      <c r="W13" s="461" t="s">
        <v>1321</v>
      </c>
      <c r="X13" s="429" t="s">
        <v>1309</v>
      </c>
      <c r="Y13" s="429" t="s">
        <v>1313</v>
      </c>
      <c r="Z13" s="461" t="s">
        <v>1321</v>
      </c>
      <c r="AA13" s="460"/>
    </row>
    <row r="14" spans="1:32" ht="17.399999999999999">
      <c r="A14" s="829"/>
      <c r="B14" s="829"/>
      <c r="C14" s="331" t="s">
        <v>693</v>
      </c>
      <c r="D14" s="427" t="s">
        <v>694</v>
      </c>
      <c r="E14" s="462" t="s">
        <v>752</v>
      </c>
      <c r="F14" s="428" t="s">
        <v>695</v>
      </c>
      <c r="G14" s="427" t="s">
        <v>696</v>
      </c>
      <c r="H14" s="462" t="s">
        <v>756</v>
      </c>
      <c r="I14" s="427" t="s">
        <v>657</v>
      </c>
      <c r="J14" s="427" t="s">
        <v>697</v>
      </c>
      <c r="K14" s="462" t="s">
        <v>1314</v>
      </c>
      <c r="L14" s="339" t="s">
        <v>1315</v>
      </c>
      <c r="M14" s="339" t="s">
        <v>1322</v>
      </c>
      <c r="N14" s="462" t="s">
        <v>1323</v>
      </c>
      <c r="O14" s="428" t="s">
        <v>234</v>
      </c>
      <c r="P14" s="427" t="s">
        <v>235</v>
      </c>
      <c r="Q14" s="462" t="s">
        <v>831</v>
      </c>
      <c r="R14" s="428" t="s">
        <v>112</v>
      </c>
      <c r="S14" s="427" t="s">
        <v>115</v>
      </c>
      <c r="T14" s="462" t="s">
        <v>1324</v>
      </c>
      <c r="U14" s="427" t="s">
        <v>973</v>
      </c>
      <c r="V14" s="427" t="s">
        <v>1325</v>
      </c>
      <c r="W14" s="462" t="s">
        <v>1326</v>
      </c>
      <c r="X14" s="339" t="s">
        <v>1327</v>
      </c>
      <c r="Y14" s="339" t="s">
        <v>1328</v>
      </c>
      <c r="Z14" s="462" t="s">
        <v>1329</v>
      </c>
      <c r="AA14" s="460"/>
    </row>
    <row r="15" spans="1:32" ht="17.399999999999999">
      <c r="A15" s="833" t="s">
        <v>1684</v>
      </c>
      <c r="B15" s="552" t="s">
        <v>1686</v>
      </c>
      <c r="C15" s="330"/>
      <c r="D15" s="332"/>
      <c r="E15" s="340"/>
      <c r="F15" s="332"/>
      <c r="G15" s="332"/>
      <c r="H15" s="332"/>
      <c r="I15" s="332"/>
      <c r="J15" s="332"/>
      <c r="K15" s="332"/>
      <c r="L15" s="332"/>
      <c r="M15" s="332"/>
      <c r="N15" s="332"/>
      <c r="O15" s="330"/>
      <c r="P15" s="332"/>
      <c r="Q15" s="340"/>
      <c r="R15" s="332"/>
      <c r="S15" s="332"/>
      <c r="T15" s="332"/>
      <c r="U15" s="332"/>
      <c r="V15" s="332"/>
      <c r="W15" s="332"/>
      <c r="X15" s="332"/>
      <c r="Y15" s="332"/>
      <c r="Z15" s="332"/>
    </row>
    <row r="16" spans="1:32" ht="17.399999999999999">
      <c r="A16" s="834"/>
      <c r="B16" s="552" t="s">
        <v>1664</v>
      </c>
      <c r="C16" s="330"/>
      <c r="D16" s="332"/>
      <c r="E16" s="340"/>
      <c r="F16" s="332"/>
      <c r="G16" s="332"/>
      <c r="H16" s="332"/>
      <c r="I16" s="332"/>
      <c r="J16" s="332"/>
      <c r="K16" s="332"/>
      <c r="L16" s="332"/>
      <c r="M16" s="332"/>
      <c r="N16" s="332"/>
      <c r="O16" s="330"/>
      <c r="P16" s="332"/>
      <c r="Q16" s="340"/>
      <c r="R16" s="332"/>
      <c r="S16" s="332"/>
      <c r="T16" s="332"/>
      <c r="U16" s="332"/>
      <c r="V16" s="332"/>
      <c r="W16" s="332"/>
      <c r="X16" s="332"/>
      <c r="Y16" s="332"/>
      <c r="Z16" s="332"/>
    </row>
    <row r="17" spans="1:26" ht="17.399999999999999">
      <c r="A17" s="834"/>
      <c r="B17" s="552" t="s">
        <v>1665</v>
      </c>
      <c r="C17" s="330"/>
      <c r="D17" s="332"/>
      <c r="E17" s="340"/>
      <c r="F17" s="332"/>
      <c r="G17" s="332"/>
      <c r="H17" s="332"/>
      <c r="I17" s="332"/>
      <c r="J17" s="332"/>
      <c r="K17" s="332"/>
      <c r="L17" s="332"/>
      <c r="M17" s="332"/>
      <c r="N17" s="332"/>
      <c r="O17" s="330"/>
      <c r="P17" s="332"/>
      <c r="Q17" s="340"/>
      <c r="R17" s="332"/>
      <c r="S17" s="332"/>
      <c r="T17" s="332"/>
      <c r="U17" s="332"/>
      <c r="V17" s="332"/>
      <c r="W17" s="332"/>
      <c r="X17" s="332"/>
      <c r="Y17" s="332"/>
      <c r="Z17" s="332"/>
    </row>
    <row r="18" spans="1:26" ht="17.399999999999999">
      <c r="A18" s="834"/>
      <c r="B18" s="552" t="s">
        <v>1666</v>
      </c>
      <c r="C18" s="330"/>
      <c r="D18" s="332"/>
      <c r="E18" s="340"/>
      <c r="F18" s="332"/>
      <c r="G18" s="332"/>
      <c r="H18" s="332"/>
      <c r="I18" s="332"/>
      <c r="J18" s="332"/>
      <c r="K18" s="332"/>
      <c r="L18" s="332"/>
      <c r="M18" s="332"/>
      <c r="N18" s="332"/>
      <c r="O18" s="330"/>
      <c r="P18" s="332"/>
      <c r="Q18" s="340"/>
      <c r="R18" s="332"/>
      <c r="S18" s="332"/>
      <c r="T18" s="332"/>
      <c r="U18" s="332"/>
      <c r="V18" s="332"/>
      <c r="W18" s="332"/>
      <c r="X18" s="332"/>
      <c r="Y18" s="332"/>
      <c r="Z18" s="332"/>
    </row>
    <row r="19" spans="1:26" ht="17.399999999999999">
      <c r="A19" s="834"/>
      <c r="B19" s="552" t="s">
        <v>1667</v>
      </c>
      <c r="C19" s="330"/>
      <c r="D19" s="332"/>
      <c r="E19" s="340"/>
      <c r="F19" s="332"/>
      <c r="G19" s="332"/>
      <c r="H19" s="332"/>
      <c r="I19" s="332"/>
      <c r="J19" s="332"/>
      <c r="K19" s="332"/>
      <c r="L19" s="332"/>
      <c r="M19" s="332"/>
      <c r="N19" s="332"/>
      <c r="O19" s="330"/>
      <c r="P19" s="332"/>
      <c r="Q19" s="340"/>
      <c r="R19" s="332"/>
      <c r="S19" s="332"/>
      <c r="T19" s="332"/>
      <c r="U19" s="332"/>
      <c r="V19" s="332"/>
      <c r="W19" s="332"/>
      <c r="X19" s="332"/>
      <c r="Y19" s="332"/>
      <c r="Z19" s="332"/>
    </row>
    <row r="20" spans="1:26" ht="17.399999999999999">
      <c r="A20" s="834"/>
      <c r="B20" s="552" t="s">
        <v>1668</v>
      </c>
      <c r="C20" s="330"/>
      <c r="D20" s="332"/>
      <c r="E20" s="340"/>
      <c r="F20" s="332"/>
      <c r="G20" s="332"/>
      <c r="H20" s="332"/>
      <c r="I20" s="332"/>
      <c r="J20" s="332"/>
      <c r="K20" s="332"/>
      <c r="L20" s="332"/>
      <c r="M20" s="332"/>
      <c r="N20" s="332"/>
      <c r="O20" s="330"/>
      <c r="P20" s="332"/>
      <c r="Q20" s="340"/>
      <c r="R20" s="332"/>
      <c r="S20" s="332"/>
      <c r="T20" s="332"/>
      <c r="U20" s="332"/>
      <c r="V20" s="332"/>
      <c r="W20" s="332"/>
      <c r="X20" s="332"/>
      <c r="Y20" s="332"/>
      <c r="Z20" s="332"/>
    </row>
    <row r="21" spans="1:26" ht="17.399999999999999">
      <c r="A21" s="834"/>
      <c r="B21" s="552" t="s">
        <v>1669</v>
      </c>
      <c r="C21" s="330"/>
      <c r="D21" s="332"/>
      <c r="E21" s="340"/>
      <c r="F21" s="332"/>
      <c r="G21" s="332"/>
      <c r="H21" s="332"/>
      <c r="I21" s="332"/>
      <c r="J21" s="332"/>
      <c r="K21" s="332"/>
      <c r="L21" s="332"/>
      <c r="M21" s="332"/>
      <c r="N21" s="332"/>
      <c r="O21" s="330"/>
      <c r="P21" s="332"/>
      <c r="Q21" s="340"/>
      <c r="R21" s="332"/>
      <c r="S21" s="332"/>
      <c r="T21" s="332"/>
      <c r="U21" s="332"/>
      <c r="V21" s="332"/>
      <c r="W21" s="332"/>
      <c r="X21" s="332"/>
      <c r="Y21" s="332"/>
      <c r="Z21" s="332"/>
    </row>
    <row r="22" spans="1:26" ht="17.399999999999999">
      <c r="A22" s="834"/>
      <c r="B22" s="552" t="s">
        <v>1670</v>
      </c>
      <c r="C22" s="552"/>
      <c r="D22" s="332"/>
      <c r="E22" s="340"/>
      <c r="F22" s="332"/>
      <c r="G22" s="332"/>
      <c r="H22" s="332"/>
      <c r="I22" s="332"/>
      <c r="J22" s="332"/>
      <c r="K22" s="332"/>
      <c r="L22" s="332"/>
      <c r="M22" s="332"/>
      <c r="N22" s="332"/>
      <c r="O22" s="552"/>
      <c r="P22" s="332"/>
      <c r="Q22" s="340"/>
      <c r="R22" s="332"/>
      <c r="S22" s="332"/>
      <c r="T22" s="332"/>
      <c r="U22" s="332"/>
      <c r="V22" s="332"/>
      <c r="W22" s="332"/>
      <c r="X22" s="332"/>
      <c r="Y22" s="332"/>
      <c r="Z22" s="332"/>
    </row>
    <row r="23" spans="1:26" ht="17.399999999999999">
      <c r="A23" s="834"/>
      <c r="B23" s="552" t="s">
        <v>1671</v>
      </c>
      <c r="C23" s="552"/>
      <c r="D23" s="332"/>
      <c r="E23" s="340"/>
      <c r="F23" s="332"/>
      <c r="G23" s="332"/>
      <c r="H23" s="332"/>
      <c r="I23" s="332"/>
      <c r="J23" s="332"/>
      <c r="K23" s="332"/>
      <c r="L23" s="332"/>
      <c r="M23" s="332"/>
      <c r="N23" s="332"/>
      <c r="O23" s="552"/>
      <c r="P23" s="332"/>
      <c r="Q23" s="340"/>
      <c r="R23" s="332"/>
      <c r="S23" s="332"/>
      <c r="T23" s="332"/>
      <c r="U23" s="332"/>
      <c r="V23" s="332"/>
      <c r="W23" s="332"/>
      <c r="X23" s="332"/>
      <c r="Y23" s="332"/>
      <c r="Z23" s="332"/>
    </row>
    <row r="24" spans="1:26" ht="17.399999999999999">
      <c r="A24" s="834"/>
      <c r="B24" s="552" t="s">
        <v>1672</v>
      </c>
      <c r="C24" s="552"/>
      <c r="D24" s="332"/>
      <c r="E24" s="340"/>
      <c r="F24" s="332"/>
      <c r="G24" s="332"/>
      <c r="H24" s="332"/>
      <c r="I24" s="332"/>
      <c r="J24" s="332"/>
      <c r="K24" s="332"/>
      <c r="L24" s="332"/>
      <c r="M24" s="332"/>
      <c r="N24" s="332"/>
      <c r="O24" s="552"/>
      <c r="P24" s="332"/>
      <c r="Q24" s="340"/>
      <c r="R24" s="332"/>
      <c r="S24" s="332"/>
      <c r="T24" s="332"/>
      <c r="U24" s="332"/>
      <c r="V24" s="332"/>
      <c r="W24" s="332"/>
      <c r="X24" s="332"/>
      <c r="Y24" s="332"/>
      <c r="Z24" s="332"/>
    </row>
    <row r="25" spans="1:26" ht="17.399999999999999">
      <c r="A25" s="834"/>
      <c r="B25" s="552" t="s">
        <v>1673</v>
      </c>
      <c r="C25" s="552"/>
      <c r="D25" s="332"/>
      <c r="E25" s="340"/>
      <c r="F25" s="332"/>
      <c r="G25" s="332"/>
      <c r="H25" s="332"/>
      <c r="I25" s="332"/>
      <c r="J25" s="332"/>
      <c r="K25" s="332"/>
      <c r="L25" s="332"/>
      <c r="M25" s="332"/>
      <c r="N25" s="332"/>
      <c r="O25" s="552"/>
      <c r="P25" s="332"/>
      <c r="Q25" s="340"/>
      <c r="R25" s="332"/>
      <c r="S25" s="332"/>
      <c r="T25" s="332"/>
      <c r="U25" s="332"/>
      <c r="V25" s="332"/>
      <c r="W25" s="332"/>
      <c r="X25" s="332"/>
      <c r="Y25" s="332"/>
      <c r="Z25" s="332"/>
    </row>
    <row r="26" spans="1:26" ht="17.399999999999999">
      <c r="A26" s="829"/>
      <c r="B26" s="552" t="s">
        <v>1340</v>
      </c>
      <c r="C26" s="552"/>
      <c r="D26" s="332"/>
      <c r="E26" s="340"/>
      <c r="F26" s="332"/>
      <c r="G26" s="332"/>
      <c r="H26" s="332"/>
      <c r="I26" s="332"/>
      <c r="J26" s="332"/>
      <c r="K26" s="332"/>
      <c r="L26" s="332"/>
      <c r="M26" s="332"/>
      <c r="N26" s="332"/>
      <c r="O26" s="552"/>
      <c r="P26" s="332"/>
      <c r="Q26" s="340"/>
      <c r="R26" s="332"/>
      <c r="S26" s="332"/>
      <c r="T26" s="332"/>
      <c r="U26" s="332"/>
      <c r="V26" s="332"/>
      <c r="W26" s="332"/>
      <c r="X26" s="332"/>
      <c r="Y26" s="332"/>
      <c r="Z26" s="332"/>
    </row>
    <row r="27" spans="1:26" ht="17.399999999999999">
      <c r="A27" s="833" t="s">
        <v>1685</v>
      </c>
      <c r="B27" s="552" t="s">
        <v>1674</v>
      </c>
      <c r="C27" s="552"/>
      <c r="D27" s="332"/>
      <c r="E27" s="340"/>
      <c r="F27" s="332"/>
      <c r="G27" s="332"/>
      <c r="H27" s="332"/>
      <c r="I27" s="332"/>
      <c r="J27" s="332"/>
      <c r="K27" s="332"/>
      <c r="L27" s="332"/>
      <c r="M27" s="332"/>
      <c r="N27" s="332"/>
      <c r="O27" s="552"/>
      <c r="P27" s="332"/>
      <c r="Q27" s="340"/>
      <c r="R27" s="332"/>
      <c r="S27" s="332"/>
      <c r="T27" s="332"/>
      <c r="U27" s="332"/>
      <c r="V27" s="332"/>
      <c r="W27" s="332"/>
      <c r="X27" s="332"/>
      <c r="Y27" s="332"/>
      <c r="Z27" s="332"/>
    </row>
    <row r="28" spans="1:26" ht="17.399999999999999">
      <c r="A28" s="834"/>
      <c r="B28" s="552" t="s">
        <v>1675</v>
      </c>
      <c r="C28" s="552"/>
      <c r="D28" s="332"/>
      <c r="E28" s="340"/>
      <c r="F28" s="332"/>
      <c r="G28" s="332"/>
      <c r="H28" s="332"/>
      <c r="I28" s="332"/>
      <c r="J28" s="332"/>
      <c r="K28" s="332"/>
      <c r="L28" s="332"/>
      <c r="M28" s="332"/>
      <c r="N28" s="332"/>
      <c r="O28" s="552"/>
      <c r="P28" s="332"/>
      <c r="Q28" s="340"/>
      <c r="R28" s="332"/>
      <c r="S28" s="332"/>
      <c r="T28" s="332"/>
      <c r="U28" s="332"/>
      <c r="V28" s="332"/>
      <c r="W28" s="332"/>
      <c r="X28" s="332"/>
      <c r="Y28" s="332"/>
      <c r="Z28" s="332"/>
    </row>
    <row r="29" spans="1:26" ht="17.399999999999999">
      <c r="A29" s="834"/>
      <c r="B29" s="552" t="s">
        <v>1676</v>
      </c>
      <c r="C29" s="552"/>
      <c r="D29" s="332"/>
      <c r="E29" s="340"/>
      <c r="F29" s="332"/>
      <c r="G29" s="332"/>
      <c r="H29" s="332"/>
      <c r="I29" s="332"/>
      <c r="J29" s="332"/>
      <c r="K29" s="332"/>
      <c r="L29" s="332"/>
      <c r="M29" s="332"/>
      <c r="N29" s="332"/>
      <c r="O29" s="552"/>
      <c r="P29" s="332"/>
      <c r="Q29" s="340"/>
      <c r="R29" s="332"/>
      <c r="S29" s="332"/>
      <c r="T29" s="332"/>
      <c r="U29" s="332"/>
      <c r="V29" s="332"/>
      <c r="W29" s="332"/>
      <c r="X29" s="332"/>
      <c r="Y29" s="332"/>
      <c r="Z29" s="332"/>
    </row>
    <row r="30" spans="1:26" ht="17.399999999999999">
      <c r="A30" s="834"/>
      <c r="B30" s="552" t="s">
        <v>1677</v>
      </c>
      <c r="C30" s="552"/>
      <c r="D30" s="332"/>
      <c r="E30" s="340"/>
      <c r="F30" s="332"/>
      <c r="G30" s="332"/>
      <c r="H30" s="332"/>
      <c r="I30" s="332"/>
      <c r="J30" s="332"/>
      <c r="K30" s="332"/>
      <c r="L30" s="332"/>
      <c r="M30" s="332"/>
      <c r="N30" s="332"/>
      <c r="O30" s="552"/>
      <c r="P30" s="332"/>
      <c r="Q30" s="340"/>
      <c r="R30" s="332"/>
      <c r="S30" s="332"/>
      <c r="T30" s="332"/>
      <c r="U30" s="332"/>
      <c r="V30" s="332"/>
      <c r="W30" s="332"/>
      <c r="X30" s="332"/>
      <c r="Y30" s="332"/>
      <c r="Z30" s="332"/>
    </row>
    <row r="31" spans="1:26" ht="17.399999999999999">
      <c r="A31" s="834"/>
      <c r="B31" s="552" t="s">
        <v>1678</v>
      </c>
      <c r="C31" s="552"/>
      <c r="D31" s="332"/>
      <c r="E31" s="340"/>
      <c r="F31" s="332"/>
      <c r="G31" s="332"/>
      <c r="H31" s="332"/>
      <c r="I31" s="332"/>
      <c r="J31" s="332"/>
      <c r="K31" s="332"/>
      <c r="L31" s="332"/>
      <c r="M31" s="332"/>
      <c r="N31" s="332"/>
      <c r="O31" s="552"/>
      <c r="P31" s="332"/>
      <c r="Q31" s="340"/>
      <c r="R31" s="332"/>
      <c r="S31" s="332"/>
      <c r="T31" s="332"/>
      <c r="U31" s="332"/>
      <c r="V31" s="332"/>
      <c r="W31" s="332"/>
      <c r="X31" s="332"/>
      <c r="Y31" s="332"/>
      <c r="Z31" s="332"/>
    </row>
    <row r="32" spans="1:26" ht="17.399999999999999">
      <c r="A32" s="834"/>
      <c r="B32" s="552" t="s">
        <v>1679</v>
      </c>
      <c r="C32" s="552"/>
      <c r="D32" s="332"/>
      <c r="E32" s="340"/>
      <c r="F32" s="332"/>
      <c r="G32" s="332"/>
      <c r="H32" s="332"/>
      <c r="I32" s="332"/>
      <c r="J32" s="332"/>
      <c r="K32" s="332"/>
      <c r="L32" s="332"/>
      <c r="M32" s="332"/>
      <c r="N32" s="332"/>
      <c r="O32" s="552"/>
      <c r="P32" s="332"/>
      <c r="Q32" s="340"/>
      <c r="R32" s="332"/>
      <c r="S32" s="332"/>
      <c r="T32" s="332"/>
      <c r="U32" s="332"/>
      <c r="V32" s="332"/>
      <c r="W32" s="332"/>
      <c r="X32" s="332"/>
      <c r="Y32" s="332"/>
      <c r="Z32" s="332"/>
    </row>
    <row r="33" spans="1:26" ht="17.399999999999999">
      <c r="A33" s="834"/>
      <c r="B33" s="552" t="s">
        <v>1680</v>
      </c>
      <c r="C33" s="552"/>
      <c r="D33" s="332"/>
      <c r="E33" s="340"/>
      <c r="F33" s="332"/>
      <c r="G33" s="332"/>
      <c r="H33" s="332"/>
      <c r="I33" s="332"/>
      <c r="J33" s="332"/>
      <c r="K33" s="332"/>
      <c r="L33" s="332"/>
      <c r="M33" s="332"/>
      <c r="N33" s="332"/>
      <c r="O33" s="552"/>
      <c r="P33" s="332"/>
      <c r="Q33" s="340"/>
      <c r="R33" s="332"/>
      <c r="S33" s="332"/>
      <c r="T33" s="332"/>
      <c r="U33" s="332"/>
      <c r="V33" s="332"/>
      <c r="W33" s="332"/>
      <c r="X33" s="332"/>
      <c r="Y33" s="332"/>
      <c r="Z33" s="332"/>
    </row>
    <row r="34" spans="1:26" ht="17.399999999999999">
      <c r="A34" s="834"/>
      <c r="B34" s="552" t="s">
        <v>1681</v>
      </c>
      <c r="C34" s="552"/>
      <c r="D34" s="332"/>
      <c r="E34" s="340"/>
      <c r="F34" s="332"/>
      <c r="G34" s="332"/>
      <c r="H34" s="332"/>
      <c r="I34" s="332"/>
      <c r="J34" s="332"/>
      <c r="K34" s="332"/>
      <c r="L34" s="332"/>
      <c r="M34" s="332"/>
      <c r="N34" s="332"/>
      <c r="O34" s="552"/>
      <c r="P34" s="332"/>
      <c r="Q34" s="340"/>
      <c r="R34" s="332"/>
      <c r="S34" s="332"/>
      <c r="T34" s="332"/>
      <c r="U34" s="332"/>
      <c r="V34" s="332"/>
      <c r="W34" s="332"/>
      <c r="X34" s="332"/>
      <c r="Y34" s="332"/>
      <c r="Z34" s="332"/>
    </row>
    <row r="35" spans="1:26" ht="17.399999999999999">
      <c r="A35" s="834"/>
      <c r="B35" s="552" t="s">
        <v>1682</v>
      </c>
      <c r="C35" s="330"/>
      <c r="D35" s="332"/>
      <c r="E35" s="340"/>
      <c r="F35" s="332"/>
      <c r="G35" s="332"/>
      <c r="H35" s="332"/>
      <c r="I35" s="332"/>
      <c r="J35" s="332"/>
      <c r="K35" s="332"/>
      <c r="L35" s="332"/>
      <c r="M35" s="332"/>
      <c r="N35" s="332"/>
      <c r="O35" s="330"/>
      <c r="P35" s="332"/>
      <c r="Q35" s="340"/>
      <c r="R35" s="332"/>
      <c r="S35" s="332"/>
      <c r="T35" s="332"/>
      <c r="U35" s="332"/>
      <c r="V35" s="332"/>
      <c r="W35" s="332"/>
      <c r="X35" s="332"/>
      <c r="Y35" s="332"/>
      <c r="Z35" s="332"/>
    </row>
    <row r="36" spans="1:26" ht="17.399999999999999">
      <c r="A36" s="834"/>
      <c r="B36" s="552" t="s">
        <v>1683</v>
      </c>
      <c r="C36" s="330"/>
      <c r="D36" s="332"/>
      <c r="E36" s="340"/>
      <c r="F36" s="332"/>
      <c r="G36" s="332"/>
      <c r="H36" s="332"/>
      <c r="I36" s="332"/>
      <c r="J36" s="332"/>
      <c r="K36" s="332"/>
      <c r="L36" s="332"/>
      <c r="M36" s="332"/>
      <c r="N36" s="332"/>
      <c r="O36" s="330"/>
      <c r="P36" s="332"/>
      <c r="Q36" s="340"/>
      <c r="R36" s="332"/>
      <c r="S36" s="332"/>
      <c r="T36" s="332"/>
      <c r="U36" s="332"/>
      <c r="V36" s="332"/>
      <c r="W36" s="332"/>
      <c r="X36" s="332"/>
      <c r="Y36" s="332"/>
      <c r="Z36" s="332"/>
    </row>
    <row r="37" spans="1:26" ht="17.399999999999999">
      <c r="A37" s="834"/>
      <c r="B37" s="552" t="s">
        <v>1673</v>
      </c>
      <c r="C37" s="330"/>
      <c r="D37" s="332"/>
      <c r="E37" s="340"/>
      <c r="F37" s="332"/>
      <c r="G37" s="332"/>
      <c r="H37" s="332"/>
      <c r="I37" s="332"/>
      <c r="J37" s="332"/>
      <c r="K37" s="332"/>
      <c r="L37" s="332"/>
      <c r="M37" s="332"/>
      <c r="N37" s="332"/>
      <c r="O37" s="330"/>
      <c r="P37" s="332"/>
      <c r="Q37" s="340"/>
      <c r="R37" s="332"/>
      <c r="S37" s="332"/>
      <c r="T37" s="332"/>
      <c r="U37" s="332"/>
      <c r="V37" s="332"/>
      <c r="W37" s="332"/>
      <c r="X37" s="332"/>
      <c r="Y37" s="332"/>
      <c r="Z37" s="332"/>
    </row>
    <row r="38" spans="1:26" ht="17.399999999999999">
      <c r="A38" s="829"/>
      <c r="B38" s="552" t="s">
        <v>1340</v>
      </c>
      <c r="C38" s="330"/>
      <c r="D38" s="332"/>
      <c r="E38" s="340"/>
      <c r="F38" s="332"/>
      <c r="G38" s="332"/>
      <c r="H38" s="332"/>
      <c r="I38" s="332"/>
      <c r="J38" s="332"/>
      <c r="K38" s="332"/>
      <c r="L38" s="332"/>
      <c r="M38" s="332"/>
      <c r="N38" s="332"/>
      <c r="O38" s="330"/>
      <c r="P38" s="332"/>
      <c r="Q38" s="340"/>
      <c r="R38" s="332"/>
      <c r="S38" s="332"/>
      <c r="T38" s="332"/>
      <c r="U38" s="332"/>
      <c r="V38" s="332"/>
      <c r="W38" s="332"/>
      <c r="X38" s="332"/>
      <c r="Y38" s="332"/>
      <c r="Z38" s="332"/>
    </row>
    <row r="39" spans="1:26" ht="17.399999999999999">
      <c r="A39" s="325"/>
      <c r="B39" s="325"/>
      <c r="C39" s="335"/>
      <c r="D39" s="335"/>
      <c r="E39" s="325"/>
      <c r="F39" s="325"/>
      <c r="G39" s="325"/>
      <c r="H39" s="325"/>
      <c r="I39" s="325"/>
      <c r="J39" s="325"/>
      <c r="K39" s="325"/>
      <c r="L39" s="325"/>
      <c r="M39" s="325"/>
      <c r="N39" s="325"/>
      <c r="O39" s="325"/>
      <c r="P39" s="325"/>
      <c r="Q39" s="325"/>
      <c r="R39" s="325"/>
      <c r="S39" s="325"/>
      <c r="T39" s="325"/>
      <c r="U39" s="325"/>
      <c r="V39" s="325"/>
    </row>
    <row r="40" spans="1:26">
      <c r="A40" s="336" t="s">
        <v>1319</v>
      </c>
      <c r="B40" s="325"/>
      <c r="C40" s="325"/>
      <c r="D40" s="325"/>
      <c r="E40" s="325"/>
      <c r="F40" s="325"/>
      <c r="G40" s="325"/>
      <c r="H40" s="325"/>
      <c r="I40" s="325"/>
      <c r="J40" s="325"/>
      <c r="K40" s="325"/>
      <c r="L40" s="325"/>
      <c r="M40" s="325"/>
      <c r="N40" s="325"/>
      <c r="O40" s="325"/>
      <c r="P40" s="325"/>
      <c r="Q40" s="325"/>
      <c r="S40" s="325"/>
      <c r="T40" s="325"/>
      <c r="U40" s="325"/>
      <c r="V40" s="325"/>
    </row>
    <row r="41" spans="1:26">
      <c r="A41" s="325"/>
      <c r="B41" s="325"/>
      <c r="C41" s="325"/>
      <c r="D41" s="325"/>
      <c r="E41" s="325"/>
      <c r="F41" s="325"/>
      <c r="G41" s="325"/>
      <c r="H41" s="325"/>
      <c r="I41" s="325"/>
      <c r="J41" s="325"/>
      <c r="K41" s="325"/>
      <c r="L41" s="325"/>
      <c r="M41" s="325"/>
      <c r="N41" s="325"/>
      <c r="O41" s="325"/>
      <c r="P41" s="325"/>
      <c r="Q41" s="325"/>
      <c r="S41" s="325"/>
      <c r="T41" s="325"/>
      <c r="U41" s="325"/>
      <c r="V41" s="325"/>
    </row>
    <row r="42" spans="1:26">
      <c r="A42" s="560" t="s">
        <v>1663</v>
      </c>
      <c r="B42" s="325"/>
      <c r="C42" s="337"/>
      <c r="D42" s="337"/>
      <c r="E42" s="325"/>
      <c r="F42" s="325"/>
      <c r="G42" s="325"/>
      <c r="H42" s="325"/>
      <c r="I42" s="325"/>
      <c r="J42" s="325"/>
      <c r="K42" s="325"/>
      <c r="L42" s="325"/>
      <c r="M42" s="325"/>
      <c r="N42" s="325"/>
      <c r="O42" s="325"/>
      <c r="P42" s="325"/>
      <c r="Q42" s="325"/>
      <c r="S42" s="325"/>
      <c r="T42" s="325"/>
      <c r="U42" s="325"/>
      <c r="V42" s="325"/>
    </row>
    <row r="43" spans="1:26">
      <c r="A43" s="325"/>
      <c r="B43" s="325"/>
      <c r="C43" s="337"/>
      <c r="D43" s="337"/>
      <c r="E43" s="325"/>
      <c r="F43" s="325"/>
      <c r="G43" s="325"/>
      <c r="H43" s="325"/>
      <c r="I43" s="325"/>
      <c r="J43" s="325"/>
      <c r="K43" s="325"/>
      <c r="L43" s="325"/>
      <c r="M43" s="325"/>
      <c r="N43" s="325"/>
      <c r="O43" s="325"/>
      <c r="P43" s="325"/>
      <c r="Q43" s="325"/>
      <c r="S43" s="325"/>
      <c r="T43" s="325"/>
      <c r="U43" s="325"/>
      <c r="V43" s="325"/>
    </row>
    <row r="44" spans="1:26">
      <c r="A44" s="338" t="s">
        <v>1653</v>
      </c>
      <c r="B44" s="325"/>
      <c r="C44" s="337"/>
      <c r="D44" s="337"/>
      <c r="E44" s="325"/>
      <c r="F44" s="325"/>
      <c r="G44" s="325"/>
      <c r="H44" s="325"/>
      <c r="I44" s="325"/>
      <c r="J44" s="325"/>
      <c r="K44" s="325"/>
      <c r="L44" s="325"/>
      <c r="M44" s="325"/>
      <c r="N44" s="325"/>
      <c r="O44" s="325"/>
      <c r="P44" s="325"/>
      <c r="Q44" s="325"/>
      <c r="S44" s="325"/>
      <c r="T44" s="325"/>
      <c r="U44" s="325"/>
      <c r="V44" s="325"/>
    </row>
    <row r="45" spans="1:26">
      <c r="A45" s="338" t="s">
        <v>1654</v>
      </c>
      <c r="B45" s="337"/>
      <c r="C45" s="337"/>
      <c r="D45" s="337"/>
      <c r="E45" s="325"/>
      <c r="F45" s="325"/>
      <c r="G45" s="325"/>
      <c r="H45" s="325"/>
      <c r="I45" s="325"/>
      <c r="J45" s="325"/>
      <c r="K45" s="325"/>
      <c r="L45" s="325"/>
      <c r="M45" s="325"/>
      <c r="N45" s="325"/>
      <c r="O45" s="325"/>
      <c r="P45" s="325"/>
      <c r="Q45" s="325"/>
      <c r="S45" s="325"/>
      <c r="T45" s="325"/>
      <c r="U45" s="325"/>
      <c r="V45" s="325"/>
    </row>
    <row r="46" spans="1:26">
      <c r="A46" s="338" t="s">
        <v>1655</v>
      </c>
      <c r="B46" s="325"/>
      <c r="C46" s="325"/>
      <c r="D46" s="325"/>
      <c r="E46" s="325"/>
      <c r="F46" s="325"/>
      <c r="G46" s="325"/>
      <c r="H46" s="325"/>
      <c r="I46" s="325"/>
      <c r="J46" s="325"/>
      <c r="K46" s="325"/>
      <c r="L46" s="325"/>
      <c r="M46" s="325"/>
      <c r="N46" s="325"/>
      <c r="O46" s="325"/>
      <c r="P46" s="325"/>
      <c r="Q46" s="325"/>
      <c r="S46" s="325"/>
      <c r="T46" s="325"/>
      <c r="U46" s="325"/>
      <c r="V46" s="325"/>
    </row>
    <row r="47" spans="1:26">
      <c r="A47" s="338" t="s">
        <v>1656</v>
      </c>
    </row>
    <row r="48" spans="1:26">
      <c r="A48" s="338" t="s">
        <v>1657</v>
      </c>
    </row>
    <row r="49" spans="1:3">
      <c r="A49" s="338" t="s">
        <v>1658</v>
      </c>
    </row>
    <row r="50" spans="1:3">
      <c r="A50" s="338" t="s">
        <v>1659</v>
      </c>
    </row>
    <row r="51" spans="1:3">
      <c r="A51" s="338" t="s">
        <v>1660</v>
      </c>
    </row>
    <row r="52" spans="1:3">
      <c r="A52" s="560" t="s">
        <v>1661</v>
      </c>
    </row>
    <row r="53" spans="1:3">
      <c r="A53" s="338" t="s">
        <v>1662</v>
      </c>
    </row>
    <row r="54" spans="1:3">
      <c r="A54" s="442" t="s">
        <v>1755</v>
      </c>
      <c r="B54" s="271"/>
      <c r="C54" s="271"/>
    </row>
  </sheetData>
  <mergeCells count="28">
    <mergeCell ref="A15:A26"/>
    <mergeCell ref="A27:A38"/>
    <mergeCell ref="H12:H13"/>
    <mergeCell ref="A10:A14"/>
    <mergeCell ref="B10:B14"/>
    <mergeCell ref="C10:N10"/>
    <mergeCell ref="C12:C13"/>
    <mergeCell ref="D12:D13"/>
    <mergeCell ref="E12:E13"/>
    <mergeCell ref="F12:F13"/>
    <mergeCell ref="G12:G13"/>
    <mergeCell ref="O10:Z10"/>
    <mergeCell ref="C11:E11"/>
    <mergeCell ref="F11:H11"/>
    <mergeCell ref="I11:N11"/>
    <mergeCell ref="O11:Q11"/>
    <mergeCell ref="R11:T11"/>
    <mergeCell ref="U11:Z11"/>
    <mergeCell ref="S12:S13"/>
    <mergeCell ref="T12:T13"/>
    <mergeCell ref="U12:W12"/>
    <mergeCell ref="X12:Z12"/>
    <mergeCell ref="I12:K12"/>
    <mergeCell ref="L12:N12"/>
    <mergeCell ref="O12:O13"/>
    <mergeCell ref="P12:P13"/>
    <mergeCell ref="Q12:Q13"/>
    <mergeCell ref="R12:R13"/>
  </mergeCells>
  <phoneticPr fontId="6" type="noConversion"/>
  <pageMargins left="0.7" right="0.7" top="0.75" bottom="0.75" header="0.3" footer="0.3"/>
  <pageSetup paperSize="9" scale="47" fitToHeight="0" orientation="portrait" r:id="rId1"/>
  <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5B6CED-BA3D-4C02-B64E-F267161C40BA}">
  <sheetPr codeName="Sheet26">
    <tabColor theme="0" tint="-0.249977111117893"/>
  </sheetPr>
  <dimension ref="A5:P111"/>
  <sheetViews>
    <sheetView showGridLines="0" view="pageBreakPreview" zoomScale="85" zoomScaleNormal="70" zoomScaleSheetLayoutView="85" workbookViewId="0">
      <pane xSplit="3" ySplit="12" topLeftCell="D84" activePane="bottomRight" state="frozen"/>
      <selection pane="topRight"/>
      <selection pane="bottomLeft"/>
      <selection pane="bottomRight" activeCell="A95" sqref="A95"/>
    </sheetView>
  </sheetViews>
  <sheetFormatPr defaultColWidth="8.8984375" defaultRowHeight="14.4"/>
  <cols>
    <col min="1" max="1" width="7.3984375" style="7" customWidth="1"/>
    <col min="2" max="2" width="10" style="7" customWidth="1"/>
    <col min="3" max="3" width="8.296875" style="7" customWidth="1"/>
    <col min="4" max="16" width="11.09765625" style="7" customWidth="1"/>
    <col min="17" max="16384" width="8.8984375" style="7"/>
  </cols>
  <sheetData>
    <row r="5" spans="1:16" s="8" customFormat="1" ht="20.399999999999999">
      <c r="A5" s="8" t="s">
        <v>1330</v>
      </c>
    </row>
    <row r="7" spans="1:16">
      <c r="A7" s="7" t="s">
        <v>171</v>
      </c>
    </row>
    <row r="8" spans="1:16">
      <c r="A8" s="776" t="s">
        <v>555</v>
      </c>
      <c r="B8" s="842"/>
      <c r="C8" s="777"/>
      <c r="D8" s="67" t="s">
        <v>556</v>
      </c>
      <c r="E8" s="67" t="s">
        <v>226</v>
      </c>
      <c r="F8" s="67" t="s">
        <v>227</v>
      </c>
      <c r="G8" s="67" t="s">
        <v>695</v>
      </c>
      <c r="H8" s="67" t="s">
        <v>1331</v>
      </c>
      <c r="I8" s="67" t="s">
        <v>1332</v>
      </c>
      <c r="J8" s="67" t="s">
        <v>1333</v>
      </c>
      <c r="K8" s="67" t="s">
        <v>696</v>
      </c>
      <c r="L8" s="67" t="s">
        <v>557</v>
      </c>
      <c r="M8" s="67" t="s">
        <v>989</v>
      </c>
      <c r="N8" s="67" t="s">
        <v>999</v>
      </c>
      <c r="O8" s="67" t="s">
        <v>1334</v>
      </c>
      <c r="P8" s="67" t="s">
        <v>170</v>
      </c>
    </row>
    <row r="9" spans="1:16" ht="13.5" customHeight="1">
      <c r="A9" s="778"/>
      <c r="B9" s="843"/>
      <c r="C9" s="779"/>
      <c r="D9" s="845" t="s">
        <v>1335</v>
      </c>
      <c r="E9" s="341" t="s">
        <v>1336</v>
      </c>
      <c r="F9" s="342"/>
      <c r="G9" s="342"/>
      <c r="H9" s="342"/>
      <c r="I9" s="342"/>
      <c r="J9" s="342"/>
      <c r="K9" s="342"/>
      <c r="L9" s="342"/>
      <c r="M9" s="342"/>
      <c r="N9" s="342"/>
      <c r="O9" s="342"/>
      <c r="P9" s="342"/>
    </row>
    <row r="10" spans="1:16">
      <c r="A10" s="778"/>
      <c r="B10" s="843"/>
      <c r="C10" s="779"/>
      <c r="D10" s="846"/>
      <c r="E10" s="275" t="s">
        <v>1337</v>
      </c>
      <c r="F10" s="275"/>
      <c r="G10" s="275"/>
      <c r="H10" s="275"/>
      <c r="I10" s="275"/>
      <c r="J10" s="275"/>
      <c r="K10" s="275"/>
      <c r="L10" s="275"/>
      <c r="M10" s="275" t="s">
        <v>1338</v>
      </c>
      <c r="N10" s="275"/>
      <c r="O10" s="275"/>
      <c r="P10" s="275"/>
    </row>
    <row r="11" spans="1:16">
      <c r="A11" s="778"/>
      <c r="B11" s="843"/>
      <c r="C11" s="779"/>
      <c r="D11" s="846"/>
      <c r="E11" s="776" t="s">
        <v>739</v>
      </c>
      <c r="F11" s="842"/>
      <c r="G11" s="777"/>
      <c r="H11" s="776" t="s">
        <v>1339</v>
      </c>
      <c r="I11" s="842"/>
      <c r="J11" s="842"/>
      <c r="K11" s="777"/>
      <c r="L11" s="848" t="s">
        <v>599</v>
      </c>
      <c r="M11" s="825" t="s">
        <v>739</v>
      </c>
      <c r="N11" s="839" t="s">
        <v>1339</v>
      </c>
      <c r="O11" s="840"/>
      <c r="P11" s="825" t="s">
        <v>1340</v>
      </c>
    </row>
    <row r="12" spans="1:16">
      <c r="A12" s="819"/>
      <c r="B12" s="844"/>
      <c r="C12" s="820"/>
      <c r="D12" s="847"/>
      <c r="E12" s="294" t="s">
        <v>1341</v>
      </c>
      <c r="F12" s="294" t="s">
        <v>1342</v>
      </c>
      <c r="G12" s="343" t="s">
        <v>1340</v>
      </c>
      <c r="H12" s="294" t="s">
        <v>1341</v>
      </c>
      <c r="I12" s="294" t="s">
        <v>1342</v>
      </c>
      <c r="J12" s="343" t="s">
        <v>1343</v>
      </c>
      <c r="K12" s="343" t="s">
        <v>1340</v>
      </c>
      <c r="L12" s="849"/>
      <c r="M12" s="841"/>
      <c r="N12" s="294" t="s">
        <v>1341</v>
      </c>
      <c r="O12" s="344" t="s">
        <v>1343</v>
      </c>
      <c r="P12" s="841"/>
    </row>
    <row r="13" spans="1:16" ht="13.5" customHeight="1">
      <c r="A13" s="67" t="s">
        <v>693</v>
      </c>
      <c r="B13" s="821" t="s">
        <v>1344</v>
      </c>
      <c r="C13" s="303" t="s">
        <v>1211</v>
      </c>
      <c r="D13" s="345"/>
      <c r="E13" s="346"/>
      <c r="F13" s="346"/>
      <c r="G13" s="346">
        <f t="shared" ref="G13:G22" si="0">E13+F13</f>
        <v>0</v>
      </c>
      <c r="H13" s="346"/>
      <c r="I13" s="346"/>
      <c r="J13" s="346"/>
      <c r="K13" s="346">
        <f t="shared" ref="K13:K75" si="1">H13+I13+J13</f>
        <v>0</v>
      </c>
      <c r="L13" s="346">
        <f t="shared" ref="L13:L75" si="2">G13+K13</f>
        <v>0</v>
      </c>
      <c r="M13" s="347"/>
      <c r="N13" s="347"/>
      <c r="O13" s="347"/>
      <c r="P13" s="347"/>
    </row>
    <row r="14" spans="1:16">
      <c r="A14" s="67" t="s">
        <v>694</v>
      </c>
      <c r="B14" s="826"/>
      <c r="C14" s="303" t="s">
        <v>1212</v>
      </c>
      <c r="D14" s="345"/>
      <c r="E14" s="346"/>
      <c r="F14" s="346"/>
      <c r="G14" s="346">
        <f t="shared" si="0"/>
        <v>0</v>
      </c>
      <c r="H14" s="346"/>
      <c r="I14" s="346"/>
      <c r="J14" s="346"/>
      <c r="K14" s="346">
        <f t="shared" si="1"/>
        <v>0</v>
      </c>
      <c r="L14" s="346">
        <f t="shared" si="2"/>
        <v>0</v>
      </c>
      <c r="M14" s="347"/>
      <c r="N14" s="347"/>
      <c r="O14" s="347"/>
      <c r="P14" s="347"/>
    </row>
    <row r="15" spans="1:16">
      <c r="A15" s="67" t="s">
        <v>87</v>
      </c>
      <c r="B15" s="826"/>
      <c r="C15" s="303" t="s">
        <v>1213</v>
      </c>
      <c r="D15" s="345"/>
      <c r="E15" s="346"/>
      <c r="F15" s="346"/>
      <c r="G15" s="346">
        <f t="shared" si="0"/>
        <v>0</v>
      </c>
      <c r="H15" s="346"/>
      <c r="I15" s="346"/>
      <c r="J15" s="346"/>
      <c r="K15" s="346">
        <f t="shared" si="1"/>
        <v>0</v>
      </c>
      <c r="L15" s="346">
        <f t="shared" si="2"/>
        <v>0</v>
      </c>
      <c r="M15" s="347"/>
      <c r="N15" s="347"/>
      <c r="O15" s="347"/>
      <c r="P15" s="347"/>
    </row>
    <row r="16" spans="1:16">
      <c r="A16" s="67" t="s">
        <v>88</v>
      </c>
      <c r="B16" s="826"/>
      <c r="C16" s="303" t="s">
        <v>1214</v>
      </c>
      <c r="D16" s="345"/>
      <c r="E16" s="346"/>
      <c r="F16" s="346"/>
      <c r="G16" s="346">
        <f t="shared" si="0"/>
        <v>0</v>
      </c>
      <c r="H16" s="346"/>
      <c r="I16" s="346"/>
      <c r="J16" s="346"/>
      <c r="K16" s="346">
        <f t="shared" si="1"/>
        <v>0</v>
      </c>
      <c r="L16" s="346">
        <f t="shared" si="2"/>
        <v>0</v>
      </c>
      <c r="M16" s="347"/>
      <c r="N16" s="347"/>
      <c r="O16" s="347"/>
      <c r="P16" s="347"/>
    </row>
    <row r="17" spans="1:16">
      <c r="A17" s="67" t="s">
        <v>93</v>
      </c>
      <c r="B17" s="826"/>
      <c r="C17" s="303" t="s">
        <v>1215</v>
      </c>
      <c r="D17" s="345"/>
      <c r="E17" s="346"/>
      <c r="F17" s="346"/>
      <c r="G17" s="346">
        <f t="shared" si="0"/>
        <v>0</v>
      </c>
      <c r="H17" s="346"/>
      <c r="I17" s="346"/>
      <c r="J17" s="346"/>
      <c r="K17" s="346">
        <f t="shared" si="1"/>
        <v>0</v>
      </c>
      <c r="L17" s="346">
        <f t="shared" si="2"/>
        <v>0</v>
      </c>
      <c r="M17" s="347"/>
      <c r="N17" s="347"/>
      <c r="O17" s="347"/>
      <c r="P17" s="347"/>
    </row>
    <row r="18" spans="1:16">
      <c r="A18" s="67" t="s">
        <v>221</v>
      </c>
      <c r="B18" s="826"/>
      <c r="C18" s="303" t="s">
        <v>1216</v>
      </c>
      <c r="D18" s="345"/>
      <c r="E18" s="346"/>
      <c r="F18" s="346"/>
      <c r="G18" s="346">
        <f t="shared" si="0"/>
        <v>0</v>
      </c>
      <c r="H18" s="346"/>
      <c r="I18" s="346"/>
      <c r="J18" s="346"/>
      <c r="K18" s="346">
        <f t="shared" si="1"/>
        <v>0</v>
      </c>
      <c r="L18" s="346">
        <f t="shared" si="2"/>
        <v>0</v>
      </c>
      <c r="M18" s="347"/>
      <c r="N18" s="347"/>
      <c r="O18" s="347"/>
      <c r="P18" s="347"/>
    </row>
    <row r="19" spans="1:16">
      <c r="A19" s="67" t="s">
        <v>1217</v>
      </c>
      <c r="B19" s="826"/>
      <c r="C19" s="303" t="s">
        <v>1218</v>
      </c>
      <c r="D19" s="345"/>
      <c r="E19" s="346"/>
      <c r="F19" s="346"/>
      <c r="G19" s="346">
        <f t="shared" si="0"/>
        <v>0</v>
      </c>
      <c r="H19" s="346"/>
      <c r="I19" s="346"/>
      <c r="J19" s="346"/>
      <c r="K19" s="346">
        <f t="shared" si="1"/>
        <v>0</v>
      </c>
      <c r="L19" s="346">
        <f t="shared" si="2"/>
        <v>0</v>
      </c>
      <c r="M19" s="347"/>
      <c r="N19" s="347"/>
      <c r="O19" s="347"/>
      <c r="P19" s="347"/>
    </row>
    <row r="20" spans="1:16">
      <c r="A20" s="67" t="s">
        <v>1219</v>
      </c>
      <c r="B20" s="826"/>
      <c r="C20" s="303" t="s">
        <v>1220</v>
      </c>
      <c r="D20" s="345"/>
      <c r="E20" s="346"/>
      <c r="F20" s="346"/>
      <c r="G20" s="346">
        <f t="shared" si="0"/>
        <v>0</v>
      </c>
      <c r="H20" s="346"/>
      <c r="I20" s="346"/>
      <c r="J20" s="346"/>
      <c r="K20" s="346">
        <f t="shared" si="1"/>
        <v>0</v>
      </c>
      <c r="L20" s="346">
        <f t="shared" si="2"/>
        <v>0</v>
      </c>
      <c r="M20" s="347"/>
      <c r="N20" s="347"/>
      <c r="O20" s="347"/>
      <c r="P20" s="347"/>
    </row>
    <row r="21" spans="1:16">
      <c r="A21" s="67" t="s">
        <v>1221</v>
      </c>
      <c r="B21" s="826"/>
      <c r="C21" s="303" t="s">
        <v>1222</v>
      </c>
      <c r="D21" s="345"/>
      <c r="E21" s="346"/>
      <c r="F21" s="346"/>
      <c r="G21" s="346">
        <f t="shared" si="0"/>
        <v>0</v>
      </c>
      <c r="H21" s="346"/>
      <c r="I21" s="346"/>
      <c r="J21" s="346"/>
      <c r="K21" s="346">
        <f t="shared" si="1"/>
        <v>0</v>
      </c>
      <c r="L21" s="346">
        <f t="shared" si="2"/>
        <v>0</v>
      </c>
      <c r="M21" s="347"/>
      <c r="N21" s="347"/>
      <c r="O21" s="347"/>
      <c r="P21" s="347"/>
    </row>
    <row r="22" spans="1:16">
      <c r="A22" s="67" t="s">
        <v>1223</v>
      </c>
      <c r="B22" s="826"/>
      <c r="C22" s="303" t="s">
        <v>1224</v>
      </c>
      <c r="D22" s="345"/>
      <c r="E22" s="346"/>
      <c r="F22" s="346"/>
      <c r="G22" s="346">
        <f t="shared" si="0"/>
        <v>0</v>
      </c>
      <c r="H22" s="346"/>
      <c r="I22" s="346"/>
      <c r="J22" s="346"/>
      <c r="K22" s="346">
        <f t="shared" si="1"/>
        <v>0</v>
      </c>
      <c r="L22" s="346">
        <f t="shared" si="2"/>
        <v>0</v>
      </c>
      <c r="M22" s="347"/>
      <c r="N22" s="347"/>
      <c r="O22" s="347"/>
      <c r="P22" s="347"/>
    </row>
    <row r="23" spans="1:16" ht="13.5" customHeight="1">
      <c r="A23" s="67" t="s">
        <v>1225</v>
      </c>
      <c r="B23" s="826"/>
      <c r="C23" s="303" t="s">
        <v>1226</v>
      </c>
      <c r="D23" s="345"/>
      <c r="E23" s="346"/>
      <c r="F23" s="346"/>
      <c r="G23" s="346"/>
      <c r="H23" s="346"/>
      <c r="I23" s="346"/>
      <c r="J23" s="346"/>
      <c r="K23" s="346">
        <f t="shared" si="1"/>
        <v>0</v>
      </c>
      <c r="L23" s="346">
        <f t="shared" si="2"/>
        <v>0</v>
      </c>
      <c r="M23" s="347"/>
      <c r="N23" s="347"/>
      <c r="O23" s="347"/>
      <c r="P23" s="347"/>
    </row>
    <row r="24" spans="1:16" ht="13.5" customHeight="1">
      <c r="A24" s="67" t="s">
        <v>1227</v>
      </c>
      <c r="B24" s="826"/>
      <c r="C24" s="303" t="s">
        <v>1228</v>
      </c>
      <c r="D24" s="345"/>
      <c r="E24" s="346"/>
      <c r="F24" s="346"/>
      <c r="G24" s="346"/>
      <c r="H24" s="346"/>
      <c r="I24" s="346"/>
      <c r="J24" s="346"/>
      <c r="K24" s="346">
        <f t="shared" si="1"/>
        <v>0</v>
      </c>
      <c r="L24" s="346">
        <f t="shared" si="2"/>
        <v>0</v>
      </c>
      <c r="M24" s="347"/>
      <c r="N24" s="347"/>
      <c r="O24" s="347"/>
      <c r="P24" s="347"/>
    </row>
    <row r="25" spans="1:16" ht="13.5" customHeight="1">
      <c r="A25" s="67" t="s">
        <v>1229</v>
      </c>
      <c r="B25" s="826"/>
      <c r="C25" s="303" t="s">
        <v>1230</v>
      </c>
      <c r="D25" s="345"/>
      <c r="E25" s="346"/>
      <c r="F25" s="346"/>
      <c r="G25" s="346"/>
      <c r="H25" s="346"/>
      <c r="I25" s="346"/>
      <c r="J25" s="346"/>
      <c r="K25" s="346">
        <f t="shared" si="1"/>
        <v>0</v>
      </c>
      <c r="L25" s="346">
        <f t="shared" si="2"/>
        <v>0</v>
      </c>
      <c r="M25" s="347"/>
      <c r="N25" s="347"/>
      <c r="O25" s="347"/>
      <c r="P25" s="347"/>
    </row>
    <row r="26" spans="1:16" ht="13.5" customHeight="1">
      <c r="A26" s="67" t="s">
        <v>1231</v>
      </c>
      <c r="B26" s="826"/>
      <c r="C26" s="303" t="s">
        <v>1232</v>
      </c>
      <c r="D26" s="345"/>
      <c r="E26" s="346"/>
      <c r="F26" s="346"/>
      <c r="G26" s="346"/>
      <c r="H26" s="346"/>
      <c r="I26" s="346"/>
      <c r="J26" s="346"/>
      <c r="K26" s="346">
        <f t="shared" si="1"/>
        <v>0</v>
      </c>
      <c r="L26" s="346">
        <f t="shared" si="2"/>
        <v>0</v>
      </c>
      <c r="M26" s="347"/>
      <c r="N26" s="347"/>
      <c r="O26" s="347"/>
      <c r="P26" s="347"/>
    </row>
    <row r="27" spans="1:16" ht="13.5" customHeight="1">
      <c r="A27" s="67" t="s">
        <v>1233</v>
      </c>
      <c r="B27" s="826"/>
      <c r="C27" s="303" t="s">
        <v>1234</v>
      </c>
      <c r="D27" s="345"/>
      <c r="E27" s="346"/>
      <c r="F27" s="346"/>
      <c r="G27" s="346"/>
      <c r="H27" s="346"/>
      <c r="I27" s="346"/>
      <c r="J27" s="346"/>
      <c r="K27" s="346">
        <f t="shared" si="1"/>
        <v>0</v>
      </c>
      <c r="L27" s="346">
        <f t="shared" si="2"/>
        <v>0</v>
      </c>
      <c r="M27" s="347"/>
      <c r="N27" s="347"/>
      <c r="O27" s="347"/>
      <c r="P27" s="347"/>
    </row>
    <row r="28" spans="1:16" ht="13.5" customHeight="1">
      <c r="A28" s="67" t="s">
        <v>1235</v>
      </c>
      <c r="B28" s="826"/>
      <c r="C28" s="303" t="s">
        <v>1236</v>
      </c>
      <c r="D28" s="345"/>
      <c r="E28" s="346"/>
      <c r="F28" s="346"/>
      <c r="G28" s="346"/>
      <c r="H28" s="346"/>
      <c r="I28" s="346"/>
      <c r="J28" s="346"/>
      <c r="K28" s="346">
        <f t="shared" si="1"/>
        <v>0</v>
      </c>
      <c r="L28" s="346">
        <f t="shared" si="2"/>
        <v>0</v>
      </c>
      <c r="M28" s="347"/>
      <c r="N28" s="347"/>
      <c r="O28" s="347"/>
      <c r="P28" s="347"/>
    </row>
    <row r="29" spans="1:16" ht="13.5" customHeight="1">
      <c r="A29" s="67" t="s">
        <v>1237</v>
      </c>
      <c r="B29" s="826"/>
      <c r="C29" s="303" t="s">
        <v>1238</v>
      </c>
      <c r="D29" s="345"/>
      <c r="E29" s="346"/>
      <c r="F29" s="346"/>
      <c r="G29" s="346"/>
      <c r="H29" s="346"/>
      <c r="I29" s="346"/>
      <c r="J29" s="346"/>
      <c r="K29" s="346">
        <f t="shared" si="1"/>
        <v>0</v>
      </c>
      <c r="L29" s="346">
        <f t="shared" si="2"/>
        <v>0</v>
      </c>
      <c r="M29" s="347"/>
      <c r="N29" s="347"/>
      <c r="O29" s="347"/>
      <c r="P29" s="347"/>
    </row>
    <row r="30" spans="1:16" ht="13.5" customHeight="1">
      <c r="A30" s="67" t="s">
        <v>1239</v>
      </c>
      <c r="B30" s="826"/>
      <c r="C30" s="303" t="s">
        <v>1240</v>
      </c>
      <c r="D30" s="345"/>
      <c r="E30" s="346"/>
      <c r="F30" s="346"/>
      <c r="G30" s="346"/>
      <c r="H30" s="346"/>
      <c r="I30" s="346"/>
      <c r="J30" s="346"/>
      <c r="K30" s="346">
        <f t="shared" si="1"/>
        <v>0</v>
      </c>
      <c r="L30" s="346">
        <f t="shared" si="2"/>
        <v>0</v>
      </c>
      <c r="M30" s="347"/>
      <c r="N30" s="347"/>
      <c r="O30" s="347"/>
      <c r="P30" s="347"/>
    </row>
    <row r="31" spans="1:16" ht="13.5" customHeight="1">
      <c r="A31" s="67" t="s">
        <v>1241</v>
      </c>
      <c r="B31" s="826"/>
      <c r="C31" s="303" t="s">
        <v>1242</v>
      </c>
      <c r="D31" s="345"/>
      <c r="E31" s="346"/>
      <c r="F31" s="346"/>
      <c r="G31" s="346"/>
      <c r="H31" s="346"/>
      <c r="I31" s="346"/>
      <c r="J31" s="346"/>
      <c r="K31" s="346">
        <f t="shared" si="1"/>
        <v>0</v>
      </c>
      <c r="L31" s="346">
        <f t="shared" si="2"/>
        <v>0</v>
      </c>
      <c r="M31" s="347"/>
      <c r="N31" s="347"/>
      <c r="O31" s="347"/>
      <c r="P31" s="347"/>
    </row>
    <row r="32" spans="1:16" ht="13.5" customHeight="1">
      <c r="A32" s="67" t="s">
        <v>1243</v>
      </c>
      <c r="B32" s="826"/>
      <c r="C32" s="303" t="s">
        <v>1244</v>
      </c>
      <c r="D32" s="345"/>
      <c r="E32" s="346"/>
      <c r="F32" s="346"/>
      <c r="G32" s="346"/>
      <c r="H32" s="346"/>
      <c r="I32" s="346"/>
      <c r="J32" s="346"/>
      <c r="K32" s="346">
        <f t="shared" si="1"/>
        <v>0</v>
      </c>
      <c r="L32" s="346">
        <f t="shared" si="2"/>
        <v>0</v>
      </c>
      <c r="M32" s="347"/>
      <c r="N32" s="347"/>
      <c r="O32" s="347"/>
      <c r="P32" s="347"/>
    </row>
    <row r="33" spans="1:16">
      <c r="A33" s="67" t="s">
        <v>557</v>
      </c>
      <c r="B33" s="841"/>
      <c r="C33" s="67" t="s">
        <v>581</v>
      </c>
      <c r="D33" s="345">
        <f>SUM(D13:D32)</f>
        <v>0</v>
      </c>
      <c r="E33" s="345">
        <f>SUM(E13:E32)</f>
        <v>0</v>
      </c>
      <c r="F33" s="345">
        <f>SUM(F13:F32)</f>
        <v>0</v>
      </c>
      <c r="G33" s="345">
        <f t="shared" ref="G33:G75" si="3">E33+F33</f>
        <v>0</v>
      </c>
      <c r="H33" s="345">
        <f>SUM(H13:H32)</f>
        <v>0</v>
      </c>
      <c r="I33" s="345">
        <f>SUM(I13:I32)</f>
        <v>0</v>
      </c>
      <c r="J33" s="345">
        <f>SUM(J13:J32)</f>
        <v>0</v>
      </c>
      <c r="K33" s="346">
        <f t="shared" si="1"/>
        <v>0</v>
      </c>
      <c r="L33" s="346">
        <f t="shared" si="2"/>
        <v>0</v>
      </c>
      <c r="M33" s="348"/>
      <c r="N33" s="348"/>
      <c r="O33" s="348"/>
      <c r="P33" s="347"/>
    </row>
    <row r="34" spans="1:16" ht="13.5" customHeight="1">
      <c r="A34" s="67" t="s">
        <v>72</v>
      </c>
      <c r="B34" s="821" t="s">
        <v>1345</v>
      </c>
      <c r="C34" s="303" t="s">
        <v>1211</v>
      </c>
      <c r="D34" s="345"/>
      <c r="E34" s="346"/>
      <c r="F34" s="347"/>
      <c r="G34" s="346">
        <f t="shared" si="3"/>
        <v>0</v>
      </c>
      <c r="H34" s="346"/>
      <c r="I34" s="347"/>
      <c r="J34" s="346"/>
      <c r="K34" s="346">
        <f t="shared" si="1"/>
        <v>0</v>
      </c>
      <c r="L34" s="346">
        <f t="shared" si="2"/>
        <v>0</v>
      </c>
      <c r="M34" s="346"/>
      <c r="N34" s="346"/>
      <c r="O34" s="346"/>
      <c r="P34" s="346">
        <f t="shared" ref="P34:P75" si="4">M34+N34+O34</f>
        <v>0</v>
      </c>
    </row>
    <row r="35" spans="1:16">
      <c r="A35" s="67" t="s">
        <v>73</v>
      </c>
      <c r="B35" s="826"/>
      <c r="C35" s="303" t="s">
        <v>1212</v>
      </c>
      <c r="D35" s="345"/>
      <c r="E35" s="346"/>
      <c r="F35" s="347"/>
      <c r="G35" s="346">
        <f t="shared" si="3"/>
        <v>0</v>
      </c>
      <c r="H35" s="346"/>
      <c r="I35" s="347"/>
      <c r="J35" s="346"/>
      <c r="K35" s="346">
        <f t="shared" si="1"/>
        <v>0</v>
      </c>
      <c r="L35" s="346">
        <f t="shared" si="2"/>
        <v>0</v>
      </c>
      <c r="M35" s="346"/>
      <c r="N35" s="346"/>
      <c r="O35" s="346"/>
      <c r="P35" s="346">
        <f t="shared" si="4"/>
        <v>0</v>
      </c>
    </row>
    <row r="36" spans="1:16">
      <c r="A36" s="67" t="s">
        <v>74</v>
      </c>
      <c r="B36" s="826"/>
      <c r="C36" s="303" t="s">
        <v>1213</v>
      </c>
      <c r="D36" s="345"/>
      <c r="E36" s="346"/>
      <c r="F36" s="347"/>
      <c r="G36" s="346">
        <f t="shared" si="3"/>
        <v>0</v>
      </c>
      <c r="H36" s="346"/>
      <c r="I36" s="347"/>
      <c r="J36" s="346"/>
      <c r="K36" s="346">
        <f t="shared" si="1"/>
        <v>0</v>
      </c>
      <c r="L36" s="346">
        <f t="shared" si="2"/>
        <v>0</v>
      </c>
      <c r="M36" s="346"/>
      <c r="N36" s="346"/>
      <c r="O36" s="346"/>
      <c r="P36" s="346">
        <f t="shared" si="4"/>
        <v>0</v>
      </c>
    </row>
    <row r="37" spans="1:16">
      <c r="A37" s="67" t="s">
        <v>105</v>
      </c>
      <c r="B37" s="826"/>
      <c r="C37" s="303" t="s">
        <v>1214</v>
      </c>
      <c r="D37" s="345"/>
      <c r="E37" s="346"/>
      <c r="F37" s="347"/>
      <c r="G37" s="346">
        <f t="shared" si="3"/>
        <v>0</v>
      </c>
      <c r="H37" s="346"/>
      <c r="I37" s="347"/>
      <c r="J37" s="346"/>
      <c r="K37" s="346">
        <f t="shared" si="1"/>
        <v>0</v>
      </c>
      <c r="L37" s="346">
        <f t="shared" si="2"/>
        <v>0</v>
      </c>
      <c r="M37" s="346"/>
      <c r="N37" s="346"/>
      <c r="O37" s="346"/>
      <c r="P37" s="346">
        <f t="shared" si="4"/>
        <v>0</v>
      </c>
    </row>
    <row r="38" spans="1:16">
      <c r="A38" s="67" t="s">
        <v>107</v>
      </c>
      <c r="B38" s="826"/>
      <c r="C38" s="303" t="s">
        <v>1215</v>
      </c>
      <c r="D38" s="345"/>
      <c r="E38" s="346"/>
      <c r="F38" s="347"/>
      <c r="G38" s="346">
        <f t="shared" si="3"/>
        <v>0</v>
      </c>
      <c r="H38" s="346"/>
      <c r="I38" s="347"/>
      <c r="J38" s="346"/>
      <c r="K38" s="346">
        <f t="shared" si="1"/>
        <v>0</v>
      </c>
      <c r="L38" s="346">
        <f t="shared" si="2"/>
        <v>0</v>
      </c>
      <c r="M38" s="346"/>
      <c r="N38" s="346"/>
      <c r="O38" s="346"/>
      <c r="P38" s="346">
        <f t="shared" si="4"/>
        <v>0</v>
      </c>
    </row>
    <row r="39" spans="1:16">
      <c r="A39" s="67" t="s">
        <v>109</v>
      </c>
      <c r="B39" s="826"/>
      <c r="C39" s="303" t="s">
        <v>1216</v>
      </c>
      <c r="D39" s="345"/>
      <c r="E39" s="346"/>
      <c r="F39" s="347"/>
      <c r="G39" s="346">
        <f t="shared" si="3"/>
        <v>0</v>
      </c>
      <c r="H39" s="346"/>
      <c r="I39" s="347"/>
      <c r="J39" s="346"/>
      <c r="K39" s="346">
        <f t="shared" si="1"/>
        <v>0</v>
      </c>
      <c r="L39" s="346">
        <f t="shared" si="2"/>
        <v>0</v>
      </c>
      <c r="M39" s="346"/>
      <c r="N39" s="346"/>
      <c r="O39" s="346"/>
      <c r="P39" s="346">
        <f t="shared" si="4"/>
        <v>0</v>
      </c>
    </row>
    <row r="40" spans="1:16">
      <c r="A40" s="67" t="s">
        <v>232</v>
      </c>
      <c r="B40" s="826"/>
      <c r="C40" s="303" t="s">
        <v>1218</v>
      </c>
      <c r="D40" s="345"/>
      <c r="E40" s="346"/>
      <c r="F40" s="347"/>
      <c r="G40" s="346">
        <f t="shared" si="3"/>
        <v>0</v>
      </c>
      <c r="H40" s="346"/>
      <c r="I40" s="347"/>
      <c r="J40" s="346"/>
      <c r="K40" s="346">
        <f t="shared" si="1"/>
        <v>0</v>
      </c>
      <c r="L40" s="346">
        <f t="shared" si="2"/>
        <v>0</v>
      </c>
      <c r="M40" s="346"/>
      <c r="N40" s="346"/>
      <c r="O40" s="346"/>
      <c r="P40" s="346">
        <f t="shared" si="4"/>
        <v>0</v>
      </c>
    </row>
    <row r="41" spans="1:16">
      <c r="A41" s="67" t="s">
        <v>233</v>
      </c>
      <c r="B41" s="826"/>
      <c r="C41" s="303" t="s">
        <v>1220</v>
      </c>
      <c r="D41" s="345"/>
      <c r="E41" s="346"/>
      <c r="F41" s="347"/>
      <c r="G41" s="346">
        <f t="shared" si="3"/>
        <v>0</v>
      </c>
      <c r="H41" s="346"/>
      <c r="I41" s="347"/>
      <c r="J41" s="346"/>
      <c r="K41" s="346">
        <f t="shared" si="1"/>
        <v>0</v>
      </c>
      <c r="L41" s="346">
        <f t="shared" si="2"/>
        <v>0</v>
      </c>
      <c r="M41" s="346"/>
      <c r="N41" s="346"/>
      <c r="O41" s="346"/>
      <c r="P41" s="346">
        <f t="shared" si="4"/>
        <v>0</v>
      </c>
    </row>
    <row r="42" spans="1:16">
      <c r="A42" s="67" t="s">
        <v>1346</v>
      </c>
      <c r="B42" s="826"/>
      <c r="C42" s="303" t="s">
        <v>1222</v>
      </c>
      <c r="D42" s="345"/>
      <c r="E42" s="346"/>
      <c r="F42" s="347"/>
      <c r="G42" s="346">
        <f t="shared" si="3"/>
        <v>0</v>
      </c>
      <c r="H42" s="346"/>
      <c r="I42" s="347"/>
      <c r="J42" s="346"/>
      <c r="K42" s="346">
        <f t="shared" si="1"/>
        <v>0</v>
      </c>
      <c r="L42" s="346">
        <f t="shared" si="2"/>
        <v>0</v>
      </c>
      <c r="M42" s="346"/>
      <c r="N42" s="346"/>
      <c r="O42" s="346"/>
      <c r="P42" s="346">
        <f t="shared" si="4"/>
        <v>0</v>
      </c>
    </row>
    <row r="43" spans="1:16">
      <c r="A43" s="67" t="s">
        <v>1347</v>
      </c>
      <c r="B43" s="826"/>
      <c r="C43" s="303" t="s">
        <v>1224</v>
      </c>
      <c r="D43" s="345"/>
      <c r="E43" s="346"/>
      <c r="F43" s="347"/>
      <c r="G43" s="346">
        <f t="shared" si="3"/>
        <v>0</v>
      </c>
      <c r="H43" s="346"/>
      <c r="I43" s="347"/>
      <c r="J43" s="346"/>
      <c r="K43" s="346">
        <f t="shared" si="1"/>
        <v>0</v>
      </c>
      <c r="L43" s="346">
        <f t="shared" si="2"/>
        <v>0</v>
      </c>
      <c r="M43" s="346"/>
      <c r="N43" s="346"/>
      <c r="O43" s="346"/>
      <c r="P43" s="346">
        <f t="shared" si="4"/>
        <v>0</v>
      </c>
    </row>
    <row r="44" spans="1:16" ht="13.5" customHeight="1">
      <c r="A44" s="67" t="s">
        <v>1348</v>
      </c>
      <c r="B44" s="826"/>
      <c r="C44" s="303" t="s">
        <v>1226</v>
      </c>
      <c r="D44" s="345"/>
      <c r="E44" s="346"/>
      <c r="F44" s="347"/>
      <c r="G44" s="346">
        <f t="shared" si="3"/>
        <v>0</v>
      </c>
      <c r="H44" s="346"/>
      <c r="I44" s="347"/>
      <c r="J44" s="346"/>
      <c r="K44" s="346">
        <f t="shared" si="1"/>
        <v>0</v>
      </c>
      <c r="L44" s="346">
        <f t="shared" si="2"/>
        <v>0</v>
      </c>
      <c r="M44" s="346"/>
      <c r="N44" s="346"/>
      <c r="O44" s="346"/>
      <c r="P44" s="346">
        <f t="shared" si="4"/>
        <v>0</v>
      </c>
    </row>
    <row r="45" spans="1:16" ht="13.5" customHeight="1">
      <c r="A45" s="67" t="s">
        <v>1349</v>
      </c>
      <c r="B45" s="826"/>
      <c r="C45" s="303" t="s">
        <v>1228</v>
      </c>
      <c r="D45" s="345"/>
      <c r="E45" s="346"/>
      <c r="F45" s="347"/>
      <c r="G45" s="346">
        <f t="shared" si="3"/>
        <v>0</v>
      </c>
      <c r="H45" s="346"/>
      <c r="I45" s="347"/>
      <c r="J45" s="346"/>
      <c r="K45" s="346">
        <f t="shared" si="1"/>
        <v>0</v>
      </c>
      <c r="L45" s="346">
        <f t="shared" si="2"/>
        <v>0</v>
      </c>
      <c r="M45" s="346"/>
      <c r="N45" s="346"/>
      <c r="O45" s="346"/>
      <c r="P45" s="346">
        <f t="shared" si="4"/>
        <v>0</v>
      </c>
    </row>
    <row r="46" spans="1:16" ht="13.5" customHeight="1">
      <c r="A46" s="67" t="s">
        <v>1350</v>
      </c>
      <c r="B46" s="826"/>
      <c r="C46" s="303" t="s">
        <v>1230</v>
      </c>
      <c r="D46" s="345"/>
      <c r="E46" s="346"/>
      <c r="F46" s="347"/>
      <c r="G46" s="346">
        <f t="shared" si="3"/>
        <v>0</v>
      </c>
      <c r="H46" s="346"/>
      <c r="I46" s="347"/>
      <c r="J46" s="346"/>
      <c r="K46" s="346">
        <f t="shared" si="1"/>
        <v>0</v>
      </c>
      <c r="L46" s="346">
        <f t="shared" si="2"/>
        <v>0</v>
      </c>
      <c r="M46" s="346"/>
      <c r="N46" s="346"/>
      <c r="O46" s="346"/>
      <c r="P46" s="346">
        <f t="shared" si="4"/>
        <v>0</v>
      </c>
    </row>
    <row r="47" spans="1:16" ht="13.5" customHeight="1">
      <c r="A47" s="67" t="s">
        <v>1351</v>
      </c>
      <c r="B47" s="826"/>
      <c r="C47" s="303" t="s">
        <v>1232</v>
      </c>
      <c r="D47" s="345"/>
      <c r="E47" s="346"/>
      <c r="F47" s="347"/>
      <c r="G47" s="346">
        <f t="shared" si="3"/>
        <v>0</v>
      </c>
      <c r="H47" s="346"/>
      <c r="I47" s="347"/>
      <c r="J47" s="346"/>
      <c r="K47" s="346">
        <f t="shared" si="1"/>
        <v>0</v>
      </c>
      <c r="L47" s="346">
        <f t="shared" si="2"/>
        <v>0</v>
      </c>
      <c r="M47" s="346"/>
      <c r="N47" s="346"/>
      <c r="O47" s="346"/>
      <c r="P47" s="346">
        <f t="shared" si="4"/>
        <v>0</v>
      </c>
    </row>
    <row r="48" spans="1:16" ht="13.5" customHeight="1">
      <c r="A48" s="67" t="s">
        <v>1352</v>
      </c>
      <c r="B48" s="826"/>
      <c r="C48" s="303" t="s">
        <v>1234</v>
      </c>
      <c r="D48" s="345"/>
      <c r="E48" s="346"/>
      <c r="F48" s="347"/>
      <c r="G48" s="346">
        <f t="shared" si="3"/>
        <v>0</v>
      </c>
      <c r="H48" s="346"/>
      <c r="I48" s="347"/>
      <c r="J48" s="346"/>
      <c r="K48" s="346">
        <f t="shared" si="1"/>
        <v>0</v>
      </c>
      <c r="L48" s="346">
        <f t="shared" si="2"/>
        <v>0</v>
      </c>
      <c r="M48" s="346"/>
      <c r="N48" s="346"/>
      <c r="O48" s="346"/>
      <c r="P48" s="346">
        <f t="shared" si="4"/>
        <v>0</v>
      </c>
    </row>
    <row r="49" spans="1:16" ht="13.5" customHeight="1">
      <c r="A49" s="67" t="s">
        <v>1353</v>
      </c>
      <c r="B49" s="826"/>
      <c r="C49" s="303" t="s">
        <v>1236</v>
      </c>
      <c r="D49" s="345"/>
      <c r="E49" s="346"/>
      <c r="F49" s="347"/>
      <c r="G49" s="346">
        <f t="shared" si="3"/>
        <v>0</v>
      </c>
      <c r="H49" s="346"/>
      <c r="I49" s="347"/>
      <c r="J49" s="346"/>
      <c r="K49" s="346">
        <f t="shared" si="1"/>
        <v>0</v>
      </c>
      <c r="L49" s="346">
        <f t="shared" si="2"/>
        <v>0</v>
      </c>
      <c r="M49" s="346"/>
      <c r="N49" s="346"/>
      <c r="O49" s="346"/>
      <c r="P49" s="346">
        <f t="shared" si="4"/>
        <v>0</v>
      </c>
    </row>
    <row r="50" spans="1:16" ht="13.5" customHeight="1">
      <c r="A50" s="67" t="s">
        <v>1354</v>
      </c>
      <c r="B50" s="826"/>
      <c r="C50" s="303" t="s">
        <v>1238</v>
      </c>
      <c r="D50" s="345"/>
      <c r="E50" s="346"/>
      <c r="F50" s="347"/>
      <c r="G50" s="346">
        <f t="shared" si="3"/>
        <v>0</v>
      </c>
      <c r="H50" s="346"/>
      <c r="I50" s="347"/>
      <c r="J50" s="346"/>
      <c r="K50" s="346">
        <f t="shared" si="1"/>
        <v>0</v>
      </c>
      <c r="L50" s="346">
        <f t="shared" si="2"/>
        <v>0</v>
      </c>
      <c r="M50" s="346"/>
      <c r="N50" s="346"/>
      <c r="O50" s="346"/>
      <c r="P50" s="346">
        <f t="shared" si="4"/>
        <v>0</v>
      </c>
    </row>
    <row r="51" spans="1:16" ht="13.5" customHeight="1">
      <c r="A51" s="67" t="s">
        <v>1355</v>
      </c>
      <c r="B51" s="826"/>
      <c r="C51" s="303" t="s">
        <v>1240</v>
      </c>
      <c r="D51" s="345"/>
      <c r="E51" s="346"/>
      <c r="F51" s="347"/>
      <c r="G51" s="346">
        <f t="shared" si="3"/>
        <v>0</v>
      </c>
      <c r="H51" s="346"/>
      <c r="I51" s="347"/>
      <c r="J51" s="346"/>
      <c r="K51" s="346">
        <f t="shared" si="1"/>
        <v>0</v>
      </c>
      <c r="L51" s="346">
        <f t="shared" si="2"/>
        <v>0</v>
      </c>
      <c r="M51" s="346"/>
      <c r="N51" s="346"/>
      <c r="O51" s="346"/>
      <c r="P51" s="346">
        <f t="shared" si="4"/>
        <v>0</v>
      </c>
    </row>
    <row r="52" spans="1:16" ht="13.5" customHeight="1">
      <c r="A52" s="67" t="s">
        <v>1356</v>
      </c>
      <c r="B52" s="826"/>
      <c r="C52" s="303" t="s">
        <v>1242</v>
      </c>
      <c r="D52" s="345"/>
      <c r="E52" s="346"/>
      <c r="F52" s="347"/>
      <c r="G52" s="346">
        <f t="shared" si="3"/>
        <v>0</v>
      </c>
      <c r="H52" s="346"/>
      <c r="I52" s="347"/>
      <c r="J52" s="346"/>
      <c r="K52" s="346">
        <f t="shared" si="1"/>
        <v>0</v>
      </c>
      <c r="L52" s="346">
        <f t="shared" si="2"/>
        <v>0</v>
      </c>
      <c r="M52" s="346"/>
      <c r="N52" s="346"/>
      <c r="O52" s="346"/>
      <c r="P52" s="346">
        <f t="shared" si="4"/>
        <v>0</v>
      </c>
    </row>
    <row r="53" spans="1:16" ht="13.5" customHeight="1">
      <c r="A53" s="67" t="s">
        <v>1357</v>
      </c>
      <c r="B53" s="826"/>
      <c r="C53" s="303" t="s">
        <v>1244</v>
      </c>
      <c r="D53" s="345"/>
      <c r="E53" s="346"/>
      <c r="F53" s="347"/>
      <c r="G53" s="346">
        <f t="shared" si="3"/>
        <v>0</v>
      </c>
      <c r="H53" s="346"/>
      <c r="I53" s="347"/>
      <c r="J53" s="346"/>
      <c r="K53" s="346">
        <f t="shared" si="1"/>
        <v>0</v>
      </c>
      <c r="L53" s="346">
        <f t="shared" si="2"/>
        <v>0</v>
      </c>
      <c r="M53" s="346"/>
      <c r="N53" s="346"/>
      <c r="O53" s="346"/>
      <c r="P53" s="346">
        <f t="shared" si="4"/>
        <v>0</v>
      </c>
    </row>
    <row r="54" spans="1:16">
      <c r="A54" s="67" t="s">
        <v>559</v>
      </c>
      <c r="B54" s="841"/>
      <c r="C54" s="67" t="s">
        <v>581</v>
      </c>
      <c r="D54" s="345">
        <f>SUM(D34:D53)</f>
        <v>0</v>
      </c>
      <c r="E54" s="346">
        <f>SUM(E34:E53)</f>
        <v>0</v>
      </c>
      <c r="F54" s="348"/>
      <c r="G54" s="346">
        <f t="shared" si="3"/>
        <v>0</v>
      </c>
      <c r="H54" s="346">
        <f>SUM(H34:H53)</f>
        <v>0</v>
      </c>
      <c r="I54" s="348"/>
      <c r="J54" s="345">
        <f>SUM(J34:J53)</f>
        <v>0</v>
      </c>
      <c r="K54" s="346">
        <f t="shared" si="1"/>
        <v>0</v>
      </c>
      <c r="L54" s="346">
        <f t="shared" si="2"/>
        <v>0</v>
      </c>
      <c r="M54" s="345">
        <f>SUM(M34:M53)</f>
        <v>0</v>
      </c>
      <c r="N54" s="345">
        <f>SUM(N34:N53)</f>
        <v>0</v>
      </c>
      <c r="O54" s="345">
        <f>SUM(O34:O53)</f>
        <v>0</v>
      </c>
      <c r="P54" s="346">
        <f t="shared" si="4"/>
        <v>0</v>
      </c>
    </row>
    <row r="55" spans="1:16" ht="13.5" customHeight="1">
      <c r="A55" s="67" t="s">
        <v>112</v>
      </c>
      <c r="B55" s="821" t="s">
        <v>1358</v>
      </c>
      <c r="C55" s="303" t="s">
        <v>1211</v>
      </c>
      <c r="D55" s="345"/>
      <c r="E55" s="346">
        <f t="shared" ref="E55:F70" si="5">E13+E34</f>
        <v>0</v>
      </c>
      <c r="F55" s="346">
        <f t="shared" si="5"/>
        <v>0</v>
      </c>
      <c r="G55" s="346">
        <f t="shared" si="3"/>
        <v>0</v>
      </c>
      <c r="H55" s="346">
        <f t="shared" ref="H55:J70" si="6">H13+H34</f>
        <v>0</v>
      </c>
      <c r="I55" s="346">
        <f t="shared" si="6"/>
        <v>0</v>
      </c>
      <c r="J55" s="346">
        <f t="shared" si="6"/>
        <v>0</v>
      </c>
      <c r="K55" s="346">
        <f t="shared" si="1"/>
        <v>0</v>
      </c>
      <c r="L55" s="346">
        <f t="shared" si="2"/>
        <v>0</v>
      </c>
      <c r="M55" s="346">
        <f t="shared" ref="M55:O70" si="7">M13+M34</f>
        <v>0</v>
      </c>
      <c r="N55" s="346">
        <f t="shared" si="7"/>
        <v>0</v>
      </c>
      <c r="O55" s="346">
        <f t="shared" si="7"/>
        <v>0</v>
      </c>
      <c r="P55" s="346">
        <f t="shared" si="4"/>
        <v>0</v>
      </c>
    </row>
    <row r="56" spans="1:16">
      <c r="A56" s="67" t="s">
        <v>115</v>
      </c>
      <c r="B56" s="826"/>
      <c r="C56" s="303" t="s">
        <v>1212</v>
      </c>
      <c r="D56" s="345"/>
      <c r="E56" s="346">
        <f t="shared" si="5"/>
        <v>0</v>
      </c>
      <c r="F56" s="346">
        <f t="shared" si="5"/>
        <v>0</v>
      </c>
      <c r="G56" s="346">
        <f t="shared" si="3"/>
        <v>0</v>
      </c>
      <c r="H56" s="346">
        <f t="shared" si="6"/>
        <v>0</v>
      </c>
      <c r="I56" s="346">
        <f t="shared" si="6"/>
        <v>0</v>
      </c>
      <c r="J56" s="346">
        <f t="shared" si="6"/>
        <v>0</v>
      </c>
      <c r="K56" s="346">
        <f t="shared" si="1"/>
        <v>0</v>
      </c>
      <c r="L56" s="346">
        <f t="shared" si="2"/>
        <v>0</v>
      </c>
      <c r="M56" s="346">
        <f t="shared" si="7"/>
        <v>0</v>
      </c>
      <c r="N56" s="346">
        <f t="shared" si="7"/>
        <v>0</v>
      </c>
      <c r="O56" s="346">
        <f t="shared" si="7"/>
        <v>0</v>
      </c>
      <c r="P56" s="346">
        <f t="shared" si="4"/>
        <v>0</v>
      </c>
    </row>
    <row r="57" spans="1:16">
      <c r="A57" s="67" t="s">
        <v>117</v>
      </c>
      <c r="B57" s="826"/>
      <c r="C57" s="303" t="s">
        <v>1213</v>
      </c>
      <c r="D57" s="345"/>
      <c r="E57" s="346">
        <f t="shared" si="5"/>
        <v>0</v>
      </c>
      <c r="F57" s="346">
        <f t="shared" si="5"/>
        <v>0</v>
      </c>
      <c r="G57" s="346">
        <f t="shared" si="3"/>
        <v>0</v>
      </c>
      <c r="H57" s="346">
        <f t="shared" si="6"/>
        <v>0</v>
      </c>
      <c r="I57" s="346">
        <f t="shared" si="6"/>
        <v>0</v>
      </c>
      <c r="J57" s="346">
        <f t="shared" si="6"/>
        <v>0</v>
      </c>
      <c r="K57" s="346">
        <f t="shared" si="1"/>
        <v>0</v>
      </c>
      <c r="L57" s="346">
        <f t="shared" si="2"/>
        <v>0</v>
      </c>
      <c r="M57" s="346">
        <f t="shared" si="7"/>
        <v>0</v>
      </c>
      <c r="N57" s="346">
        <f t="shared" si="7"/>
        <v>0</v>
      </c>
      <c r="O57" s="346">
        <f t="shared" si="7"/>
        <v>0</v>
      </c>
      <c r="P57" s="346">
        <f t="shared" si="4"/>
        <v>0</v>
      </c>
    </row>
    <row r="58" spans="1:16">
      <c r="A58" s="67" t="s">
        <v>119</v>
      </c>
      <c r="B58" s="826"/>
      <c r="C58" s="303" t="s">
        <v>1214</v>
      </c>
      <c r="D58" s="345"/>
      <c r="E58" s="346">
        <f t="shared" si="5"/>
        <v>0</v>
      </c>
      <c r="F58" s="346">
        <f t="shared" si="5"/>
        <v>0</v>
      </c>
      <c r="G58" s="346">
        <f t="shared" si="3"/>
        <v>0</v>
      </c>
      <c r="H58" s="346">
        <f t="shared" si="6"/>
        <v>0</v>
      </c>
      <c r="I58" s="346">
        <f t="shared" si="6"/>
        <v>0</v>
      </c>
      <c r="J58" s="346">
        <f t="shared" si="6"/>
        <v>0</v>
      </c>
      <c r="K58" s="346">
        <f t="shared" si="1"/>
        <v>0</v>
      </c>
      <c r="L58" s="346">
        <f t="shared" si="2"/>
        <v>0</v>
      </c>
      <c r="M58" s="346">
        <f t="shared" si="7"/>
        <v>0</v>
      </c>
      <c r="N58" s="346">
        <f t="shared" si="7"/>
        <v>0</v>
      </c>
      <c r="O58" s="346">
        <f t="shared" si="7"/>
        <v>0</v>
      </c>
      <c r="P58" s="346">
        <f t="shared" si="4"/>
        <v>0</v>
      </c>
    </row>
    <row r="59" spans="1:16">
      <c r="A59" s="67" t="s">
        <v>121</v>
      </c>
      <c r="B59" s="826"/>
      <c r="C59" s="303" t="s">
        <v>1215</v>
      </c>
      <c r="D59" s="345"/>
      <c r="E59" s="346">
        <f t="shared" si="5"/>
        <v>0</v>
      </c>
      <c r="F59" s="346">
        <f t="shared" si="5"/>
        <v>0</v>
      </c>
      <c r="G59" s="346">
        <f t="shared" si="3"/>
        <v>0</v>
      </c>
      <c r="H59" s="346">
        <f t="shared" si="6"/>
        <v>0</v>
      </c>
      <c r="I59" s="346">
        <f t="shared" si="6"/>
        <v>0</v>
      </c>
      <c r="J59" s="346">
        <f t="shared" si="6"/>
        <v>0</v>
      </c>
      <c r="K59" s="346">
        <f t="shared" si="1"/>
        <v>0</v>
      </c>
      <c r="L59" s="346">
        <f t="shared" si="2"/>
        <v>0</v>
      </c>
      <c r="M59" s="346">
        <f t="shared" si="7"/>
        <v>0</v>
      </c>
      <c r="N59" s="346">
        <f t="shared" si="7"/>
        <v>0</v>
      </c>
      <c r="O59" s="346">
        <f t="shared" si="7"/>
        <v>0</v>
      </c>
      <c r="P59" s="346">
        <f t="shared" si="4"/>
        <v>0</v>
      </c>
    </row>
    <row r="60" spans="1:16">
      <c r="A60" s="67" t="s">
        <v>123</v>
      </c>
      <c r="B60" s="826"/>
      <c r="C60" s="303" t="s">
        <v>1216</v>
      </c>
      <c r="D60" s="345"/>
      <c r="E60" s="346">
        <f t="shared" si="5"/>
        <v>0</v>
      </c>
      <c r="F60" s="346">
        <f t="shared" si="5"/>
        <v>0</v>
      </c>
      <c r="G60" s="346">
        <f t="shared" si="3"/>
        <v>0</v>
      </c>
      <c r="H60" s="346">
        <f t="shared" si="6"/>
        <v>0</v>
      </c>
      <c r="I60" s="346">
        <f t="shared" si="6"/>
        <v>0</v>
      </c>
      <c r="J60" s="346">
        <f t="shared" si="6"/>
        <v>0</v>
      </c>
      <c r="K60" s="346">
        <f t="shared" si="1"/>
        <v>0</v>
      </c>
      <c r="L60" s="346">
        <f t="shared" si="2"/>
        <v>0</v>
      </c>
      <c r="M60" s="346">
        <f t="shared" si="7"/>
        <v>0</v>
      </c>
      <c r="N60" s="346">
        <f t="shared" si="7"/>
        <v>0</v>
      </c>
      <c r="O60" s="346">
        <f t="shared" si="7"/>
        <v>0</v>
      </c>
      <c r="P60" s="346">
        <f t="shared" si="4"/>
        <v>0</v>
      </c>
    </row>
    <row r="61" spans="1:16">
      <c r="A61" s="67" t="s">
        <v>125</v>
      </c>
      <c r="B61" s="826"/>
      <c r="C61" s="303" t="s">
        <v>1218</v>
      </c>
      <c r="D61" s="345"/>
      <c r="E61" s="346">
        <f t="shared" si="5"/>
        <v>0</v>
      </c>
      <c r="F61" s="346">
        <f t="shared" si="5"/>
        <v>0</v>
      </c>
      <c r="G61" s="346">
        <f t="shared" si="3"/>
        <v>0</v>
      </c>
      <c r="H61" s="346">
        <f t="shared" si="6"/>
        <v>0</v>
      </c>
      <c r="I61" s="346">
        <f t="shared" si="6"/>
        <v>0</v>
      </c>
      <c r="J61" s="346">
        <f t="shared" si="6"/>
        <v>0</v>
      </c>
      <c r="K61" s="346">
        <f t="shared" si="1"/>
        <v>0</v>
      </c>
      <c r="L61" s="346">
        <f t="shared" si="2"/>
        <v>0</v>
      </c>
      <c r="M61" s="346">
        <f t="shared" si="7"/>
        <v>0</v>
      </c>
      <c r="N61" s="346">
        <f t="shared" si="7"/>
        <v>0</v>
      </c>
      <c r="O61" s="346">
        <f t="shared" si="7"/>
        <v>0</v>
      </c>
      <c r="P61" s="346">
        <f t="shared" si="4"/>
        <v>0</v>
      </c>
    </row>
    <row r="62" spans="1:16">
      <c r="A62" s="67" t="s">
        <v>127</v>
      </c>
      <c r="B62" s="826"/>
      <c r="C62" s="303" t="s">
        <v>1220</v>
      </c>
      <c r="D62" s="345"/>
      <c r="E62" s="346">
        <f t="shared" si="5"/>
        <v>0</v>
      </c>
      <c r="F62" s="346">
        <f t="shared" si="5"/>
        <v>0</v>
      </c>
      <c r="G62" s="346">
        <f t="shared" si="3"/>
        <v>0</v>
      </c>
      <c r="H62" s="346">
        <f t="shared" si="6"/>
        <v>0</v>
      </c>
      <c r="I62" s="346">
        <f t="shared" si="6"/>
        <v>0</v>
      </c>
      <c r="J62" s="346">
        <f t="shared" si="6"/>
        <v>0</v>
      </c>
      <c r="K62" s="346">
        <f t="shared" si="1"/>
        <v>0</v>
      </c>
      <c r="L62" s="346">
        <f t="shared" si="2"/>
        <v>0</v>
      </c>
      <c r="M62" s="346">
        <f t="shared" si="7"/>
        <v>0</v>
      </c>
      <c r="N62" s="346">
        <f t="shared" si="7"/>
        <v>0</v>
      </c>
      <c r="O62" s="346">
        <f t="shared" si="7"/>
        <v>0</v>
      </c>
      <c r="P62" s="346">
        <f t="shared" si="4"/>
        <v>0</v>
      </c>
    </row>
    <row r="63" spans="1:16">
      <c r="A63" s="67" t="s">
        <v>1359</v>
      </c>
      <c r="B63" s="826"/>
      <c r="C63" s="303" t="s">
        <v>1222</v>
      </c>
      <c r="D63" s="345"/>
      <c r="E63" s="346">
        <f t="shared" si="5"/>
        <v>0</v>
      </c>
      <c r="F63" s="346">
        <f t="shared" si="5"/>
        <v>0</v>
      </c>
      <c r="G63" s="346">
        <f t="shared" si="3"/>
        <v>0</v>
      </c>
      <c r="H63" s="346">
        <f t="shared" si="6"/>
        <v>0</v>
      </c>
      <c r="I63" s="346">
        <f t="shared" si="6"/>
        <v>0</v>
      </c>
      <c r="J63" s="346">
        <f t="shared" si="6"/>
        <v>0</v>
      </c>
      <c r="K63" s="346">
        <f t="shared" si="1"/>
        <v>0</v>
      </c>
      <c r="L63" s="346">
        <f t="shared" si="2"/>
        <v>0</v>
      </c>
      <c r="M63" s="346">
        <f t="shared" si="7"/>
        <v>0</v>
      </c>
      <c r="N63" s="346">
        <f t="shared" si="7"/>
        <v>0</v>
      </c>
      <c r="O63" s="346">
        <f t="shared" si="7"/>
        <v>0</v>
      </c>
      <c r="P63" s="346">
        <f t="shared" si="4"/>
        <v>0</v>
      </c>
    </row>
    <row r="64" spans="1:16">
      <c r="A64" s="67" t="s">
        <v>1360</v>
      </c>
      <c r="B64" s="826"/>
      <c r="C64" s="303" t="s">
        <v>1224</v>
      </c>
      <c r="D64" s="345"/>
      <c r="E64" s="346">
        <f t="shared" si="5"/>
        <v>0</v>
      </c>
      <c r="F64" s="346">
        <f t="shared" si="5"/>
        <v>0</v>
      </c>
      <c r="G64" s="346">
        <f t="shared" si="3"/>
        <v>0</v>
      </c>
      <c r="H64" s="346">
        <f t="shared" si="6"/>
        <v>0</v>
      </c>
      <c r="I64" s="346">
        <f t="shared" si="6"/>
        <v>0</v>
      </c>
      <c r="J64" s="346">
        <f t="shared" si="6"/>
        <v>0</v>
      </c>
      <c r="K64" s="346">
        <f t="shared" si="1"/>
        <v>0</v>
      </c>
      <c r="L64" s="346">
        <f t="shared" si="2"/>
        <v>0</v>
      </c>
      <c r="M64" s="346">
        <f t="shared" si="7"/>
        <v>0</v>
      </c>
      <c r="N64" s="346">
        <f t="shared" si="7"/>
        <v>0</v>
      </c>
      <c r="O64" s="346">
        <f t="shared" si="7"/>
        <v>0</v>
      </c>
      <c r="P64" s="346">
        <f t="shared" si="4"/>
        <v>0</v>
      </c>
    </row>
    <row r="65" spans="1:16" ht="13.5" customHeight="1">
      <c r="A65" s="67" t="s">
        <v>1361</v>
      </c>
      <c r="B65" s="826"/>
      <c r="C65" s="303" t="s">
        <v>1226</v>
      </c>
      <c r="D65" s="345"/>
      <c r="E65" s="346">
        <f t="shared" si="5"/>
        <v>0</v>
      </c>
      <c r="F65" s="346">
        <f t="shared" si="5"/>
        <v>0</v>
      </c>
      <c r="G65" s="346">
        <f t="shared" si="3"/>
        <v>0</v>
      </c>
      <c r="H65" s="346">
        <f t="shared" si="6"/>
        <v>0</v>
      </c>
      <c r="I65" s="346">
        <f t="shared" si="6"/>
        <v>0</v>
      </c>
      <c r="J65" s="346">
        <f t="shared" si="6"/>
        <v>0</v>
      </c>
      <c r="K65" s="346">
        <f t="shared" si="1"/>
        <v>0</v>
      </c>
      <c r="L65" s="346">
        <f t="shared" si="2"/>
        <v>0</v>
      </c>
      <c r="M65" s="346">
        <f t="shared" si="7"/>
        <v>0</v>
      </c>
      <c r="N65" s="346">
        <f t="shared" si="7"/>
        <v>0</v>
      </c>
      <c r="O65" s="346">
        <f t="shared" si="7"/>
        <v>0</v>
      </c>
      <c r="P65" s="346">
        <f t="shared" si="4"/>
        <v>0</v>
      </c>
    </row>
    <row r="66" spans="1:16" ht="13.5" customHeight="1">
      <c r="A66" s="67" t="s">
        <v>1362</v>
      </c>
      <c r="B66" s="826"/>
      <c r="C66" s="303" t="s">
        <v>1228</v>
      </c>
      <c r="D66" s="345"/>
      <c r="E66" s="346">
        <f t="shared" si="5"/>
        <v>0</v>
      </c>
      <c r="F66" s="346">
        <f t="shared" si="5"/>
        <v>0</v>
      </c>
      <c r="G66" s="346">
        <f t="shared" si="3"/>
        <v>0</v>
      </c>
      <c r="H66" s="346">
        <f t="shared" si="6"/>
        <v>0</v>
      </c>
      <c r="I66" s="346">
        <f t="shared" si="6"/>
        <v>0</v>
      </c>
      <c r="J66" s="346">
        <f t="shared" si="6"/>
        <v>0</v>
      </c>
      <c r="K66" s="346">
        <f t="shared" si="1"/>
        <v>0</v>
      </c>
      <c r="L66" s="346">
        <f t="shared" si="2"/>
        <v>0</v>
      </c>
      <c r="M66" s="346">
        <f t="shared" si="7"/>
        <v>0</v>
      </c>
      <c r="N66" s="346">
        <f t="shared" si="7"/>
        <v>0</v>
      </c>
      <c r="O66" s="346">
        <f t="shared" si="7"/>
        <v>0</v>
      </c>
      <c r="P66" s="346">
        <f t="shared" si="4"/>
        <v>0</v>
      </c>
    </row>
    <row r="67" spans="1:16" ht="13.5" customHeight="1">
      <c r="A67" s="67" t="s">
        <v>1363</v>
      </c>
      <c r="B67" s="826"/>
      <c r="C67" s="303" t="s">
        <v>1230</v>
      </c>
      <c r="D67" s="345"/>
      <c r="E67" s="346">
        <f t="shared" si="5"/>
        <v>0</v>
      </c>
      <c r="F67" s="346">
        <f t="shared" si="5"/>
        <v>0</v>
      </c>
      <c r="G67" s="346">
        <f t="shared" si="3"/>
        <v>0</v>
      </c>
      <c r="H67" s="346">
        <f t="shared" si="6"/>
        <v>0</v>
      </c>
      <c r="I67" s="346">
        <f t="shared" si="6"/>
        <v>0</v>
      </c>
      <c r="J67" s="346">
        <f t="shared" si="6"/>
        <v>0</v>
      </c>
      <c r="K67" s="346">
        <f t="shared" si="1"/>
        <v>0</v>
      </c>
      <c r="L67" s="346">
        <f t="shared" si="2"/>
        <v>0</v>
      </c>
      <c r="M67" s="346">
        <f t="shared" si="7"/>
        <v>0</v>
      </c>
      <c r="N67" s="346">
        <f t="shared" si="7"/>
        <v>0</v>
      </c>
      <c r="O67" s="346">
        <f t="shared" si="7"/>
        <v>0</v>
      </c>
      <c r="P67" s="346">
        <f t="shared" si="4"/>
        <v>0</v>
      </c>
    </row>
    <row r="68" spans="1:16" ht="13.5" customHeight="1">
      <c r="A68" s="67" t="s">
        <v>1364</v>
      </c>
      <c r="B68" s="826"/>
      <c r="C68" s="303" t="s">
        <v>1232</v>
      </c>
      <c r="D68" s="345"/>
      <c r="E68" s="346">
        <f t="shared" si="5"/>
        <v>0</v>
      </c>
      <c r="F68" s="346">
        <f t="shared" si="5"/>
        <v>0</v>
      </c>
      <c r="G68" s="346">
        <f t="shared" si="3"/>
        <v>0</v>
      </c>
      <c r="H68" s="346">
        <f t="shared" si="6"/>
        <v>0</v>
      </c>
      <c r="I68" s="346">
        <f t="shared" si="6"/>
        <v>0</v>
      </c>
      <c r="J68" s="346">
        <f t="shared" si="6"/>
        <v>0</v>
      </c>
      <c r="K68" s="346">
        <f t="shared" si="1"/>
        <v>0</v>
      </c>
      <c r="L68" s="346">
        <f t="shared" si="2"/>
        <v>0</v>
      </c>
      <c r="M68" s="346">
        <f t="shared" si="7"/>
        <v>0</v>
      </c>
      <c r="N68" s="346">
        <f t="shared" si="7"/>
        <v>0</v>
      </c>
      <c r="O68" s="346">
        <f t="shared" si="7"/>
        <v>0</v>
      </c>
      <c r="P68" s="346">
        <f t="shared" si="4"/>
        <v>0</v>
      </c>
    </row>
    <row r="69" spans="1:16" ht="13.5" customHeight="1">
      <c r="A69" s="67" t="s">
        <v>1365</v>
      </c>
      <c r="B69" s="826"/>
      <c r="C69" s="303" t="s">
        <v>1234</v>
      </c>
      <c r="D69" s="345"/>
      <c r="E69" s="346">
        <f t="shared" si="5"/>
        <v>0</v>
      </c>
      <c r="F69" s="346">
        <f t="shared" si="5"/>
        <v>0</v>
      </c>
      <c r="G69" s="346">
        <f t="shared" si="3"/>
        <v>0</v>
      </c>
      <c r="H69" s="346">
        <f t="shared" si="6"/>
        <v>0</v>
      </c>
      <c r="I69" s="346">
        <f t="shared" si="6"/>
        <v>0</v>
      </c>
      <c r="J69" s="346">
        <f t="shared" si="6"/>
        <v>0</v>
      </c>
      <c r="K69" s="346">
        <f t="shared" si="1"/>
        <v>0</v>
      </c>
      <c r="L69" s="346">
        <f t="shared" si="2"/>
        <v>0</v>
      </c>
      <c r="M69" s="346">
        <f t="shared" si="7"/>
        <v>0</v>
      </c>
      <c r="N69" s="346">
        <f t="shared" si="7"/>
        <v>0</v>
      </c>
      <c r="O69" s="346">
        <f t="shared" si="7"/>
        <v>0</v>
      </c>
      <c r="P69" s="346">
        <f t="shared" si="4"/>
        <v>0</v>
      </c>
    </row>
    <row r="70" spans="1:16" ht="13.5" customHeight="1">
      <c r="A70" s="67" t="s">
        <v>1366</v>
      </c>
      <c r="B70" s="826"/>
      <c r="C70" s="303" t="s">
        <v>1236</v>
      </c>
      <c r="D70" s="345"/>
      <c r="E70" s="346">
        <f t="shared" si="5"/>
        <v>0</v>
      </c>
      <c r="F70" s="346">
        <f t="shared" si="5"/>
        <v>0</v>
      </c>
      <c r="G70" s="346">
        <f t="shared" si="3"/>
        <v>0</v>
      </c>
      <c r="H70" s="346">
        <f t="shared" si="6"/>
        <v>0</v>
      </c>
      <c r="I70" s="346">
        <f t="shared" si="6"/>
        <v>0</v>
      </c>
      <c r="J70" s="346">
        <f t="shared" si="6"/>
        <v>0</v>
      </c>
      <c r="K70" s="346">
        <f t="shared" si="1"/>
        <v>0</v>
      </c>
      <c r="L70" s="346">
        <f t="shared" si="2"/>
        <v>0</v>
      </c>
      <c r="M70" s="346">
        <f t="shared" si="7"/>
        <v>0</v>
      </c>
      <c r="N70" s="346">
        <f t="shared" si="7"/>
        <v>0</v>
      </c>
      <c r="O70" s="346">
        <f t="shared" si="7"/>
        <v>0</v>
      </c>
      <c r="P70" s="346">
        <f t="shared" si="4"/>
        <v>0</v>
      </c>
    </row>
    <row r="71" spans="1:16" ht="13.5" customHeight="1">
      <c r="A71" s="67" t="s">
        <v>1367</v>
      </c>
      <c r="B71" s="826"/>
      <c r="C71" s="303" t="s">
        <v>1238</v>
      </c>
      <c r="D71" s="345"/>
      <c r="E71" s="346">
        <f t="shared" ref="E71:F74" si="8">E29+E50</f>
        <v>0</v>
      </c>
      <c r="F71" s="346">
        <f t="shared" si="8"/>
        <v>0</v>
      </c>
      <c r="G71" s="346">
        <f t="shared" si="3"/>
        <v>0</v>
      </c>
      <c r="H71" s="346">
        <f t="shared" ref="H71:J74" si="9">H29+H50</f>
        <v>0</v>
      </c>
      <c r="I71" s="346">
        <f t="shared" si="9"/>
        <v>0</v>
      </c>
      <c r="J71" s="346">
        <f t="shared" si="9"/>
        <v>0</v>
      </c>
      <c r="K71" s="346">
        <f t="shared" si="1"/>
        <v>0</v>
      </c>
      <c r="L71" s="346">
        <f t="shared" si="2"/>
        <v>0</v>
      </c>
      <c r="M71" s="346">
        <f t="shared" ref="M71:O74" si="10">M29+M50</f>
        <v>0</v>
      </c>
      <c r="N71" s="346">
        <f t="shared" si="10"/>
        <v>0</v>
      </c>
      <c r="O71" s="346">
        <f t="shared" si="10"/>
        <v>0</v>
      </c>
      <c r="P71" s="346">
        <f t="shared" si="4"/>
        <v>0</v>
      </c>
    </row>
    <row r="72" spans="1:16" ht="13.5" customHeight="1">
      <c r="A72" s="67" t="s">
        <v>1368</v>
      </c>
      <c r="B72" s="826"/>
      <c r="C72" s="303" t="s">
        <v>1240</v>
      </c>
      <c r="D72" s="345"/>
      <c r="E72" s="346">
        <f t="shared" si="8"/>
        <v>0</v>
      </c>
      <c r="F72" s="346">
        <f t="shared" si="8"/>
        <v>0</v>
      </c>
      <c r="G72" s="346">
        <f t="shared" si="3"/>
        <v>0</v>
      </c>
      <c r="H72" s="346">
        <f t="shared" si="9"/>
        <v>0</v>
      </c>
      <c r="I72" s="346">
        <f t="shared" si="9"/>
        <v>0</v>
      </c>
      <c r="J72" s="346">
        <f t="shared" si="9"/>
        <v>0</v>
      </c>
      <c r="K72" s="346">
        <f t="shared" si="1"/>
        <v>0</v>
      </c>
      <c r="L72" s="346">
        <f t="shared" si="2"/>
        <v>0</v>
      </c>
      <c r="M72" s="346">
        <f t="shared" si="10"/>
        <v>0</v>
      </c>
      <c r="N72" s="346">
        <f t="shared" si="10"/>
        <v>0</v>
      </c>
      <c r="O72" s="346">
        <f t="shared" si="10"/>
        <v>0</v>
      </c>
      <c r="P72" s="346">
        <f t="shared" si="4"/>
        <v>0</v>
      </c>
    </row>
    <row r="73" spans="1:16" ht="13.5" customHeight="1">
      <c r="A73" s="67" t="s">
        <v>1369</v>
      </c>
      <c r="B73" s="826"/>
      <c r="C73" s="303" t="s">
        <v>1242</v>
      </c>
      <c r="D73" s="345"/>
      <c r="E73" s="346">
        <f t="shared" si="8"/>
        <v>0</v>
      </c>
      <c r="F73" s="346">
        <f t="shared" si="8"/>
        <v>0</v>
      </c>
      <c r="G73" s="346">
        <f t="shared" si="3"/>
        <v>0</v>
      </c>
      <c r="H73" s="346">
        <f t="shared" si="9"/>
        <v>0</v>
      </c>
      <c r="I73" s="346">
        <f t="shared" si="9"/>
        <v>0</v>
      </c>
      <c r="J73" s="346">
        <f t="shared" si="9"/>
        <v>0</v>
      </c>
      <c r="K73" s="346">
        <f t="shared" si="1"/>
        <v>0</v>
      </c>
      <c r="L73" s="346">
        <f t="shared" si="2"/>
        <v>0</v>
      </c>
      <c r="M73" s="346">
        <f t="shared" si="10"/>
        <v>0</v>
      </c>
      <c r="N73" s="346">
        <f t="shared" si="10"/>
        <v>0</v>
      </c>
      <c r="O73" s="346">
        <f t="shared" si="10"/>
        <v>0</v>
      </c>
      <c r="P73" s="346">
        <f t="shared" si="4"/>
        <v>0</v>
      </c>
    </row>
    <row r="74" spans="1:16" ht="13.5" customHeight="1">
      <c r="A74" s="67" t="s">
        <v>1370</v>
      </c>
      <c r="B74" s="826"/>
      <c r="C74" s="303" t="s">
        <v>1244</v>
      </c>
      <c r="D74" s="345"/>
      <c r="E74" s="346">
        <f t="shared" si="8"/>
        <v>0</v>
      </c>
      <c r="F74" s="346">
        <f t="shared" si="8"/>
        <v>0</v>
      </c>
      <c r="G74" s="346">
        <f t="shared" si="3"/>
        <v>0</v>
      </c>
      <c r="H74" s="346">
        <f t="shared" si="9"/>
        <v>0</v>
      </c>
      <c r="I74" s="346">
        <f t="shared" si="9"/>
        <v>0</v>
      </c>
      <c r="J74" s="346">
        <f t="shared" si="9"/>
        <v>0</v>
      </c>
      <c r="K74" s="346">
        <f t="shared" si="1"/>
        <v>0</v>
      </c>
      <c r="L74" s="346">
        <f t="shared" si="2"/>
        <v>0</v>
      </c>
      <c r="M74" s="346">
        <f t="shared" si="10"/>
        <v>0</v>
      </c>
      <c r="N74" s="346">
        <f t="shared" si="10"/>
        <v>0</v>
      </c>
      <c r="O74" s="346">
        <f t="shared" si="10"/>
        <v>0</v>
      </c>
      <c r="P74" s="346">
        <f t="shared" si="4"/>
        <v>0</v>
      </c>
    </row>
    <row r="75" spans="1:16">
      <c r="A75" s="67" t="s">
        <v>560</v>
      </c>
      <c r="B75" s="841"/>
      <c r="C75" s="67" t="s">
        <v>581</v>
      </c>
      <c r="D75" s="345">
        <f>SUM(D55:D74)</f>
        <v>0</v>
      </c>
      <c r="E75" s="345">
        <f>SUM(E55:E74)</f>
        <v>0</v>
      </c>
      <c r="F75" s="345">
        <f>SUM(F55:F74)</f>
        <v>0</v>
      </c>
      <c r="G75" s="346">
        <f t="shared" si="3"/>
        <v>0</v>
      </c>
      <c r="H75" s="345">
        <f>SUM(H55:H74)</f>
        <v>0</v>
      </c>
      <c r="I75" s="345">
        <f>SUM(I55:I74)</f>
        <v>0</v>
      </c>
      <c r="J75" s="345">
        <f>SUM(J55:J74)</f>
        <v>0</v>
      </c>
      <c r="K75" s="346">
        <f t="shared" si="1"/>
        <v>0</v>
      </c>
      <c r="L75" s="346">
        <f t="shared" si="2"/>
        <v>0</v>
      </c>
      <c r="M75" s="345">
        <f>SUM(M55:M74)</f>
        <v>0</v>
      </c>
      <c r="N75" s="345">
        <f>SUM(N55:N74)</f>
        <v>0</v>
      </c>
      <c r="O75" s="345">
        <f>SUM(O55:O74)</f>
        <v>0</v>
      </c>
      <c r="P75" s="346">
        <f t="shared" si="4"/>
        <v>0</v>
      </c>
    </row>
    <row r="77" spans="1:16">
      <c r="A77" s="130" t="s">
        <v>283</v>
      </c>
    </row>
    <row r="78" spans="1:16">
      <c r="A78" s="5"/>
    </row>
    <row r="79" spans="1:16">
      <c r="A79" s="130" t="s">
        <v>59</v>
      </c>
    </row>
    <row r="81" spans="1:14" s="30" customFormat="1">
      <c r="A81" s="138" t="s">
        <v>1371</v>
      </c>
      <c r="I81" s="282"/>
      <c r="J81" s="282"/>
      <c r="K81" s="282"/>
    </row>
    <row r="83" spans="1:14">
      <c r="A83" s="7" t="s">
        <v>1372</v>
      </c>
    </row>
    <row r="85" spans="1:14">
      <c r="A85" s="138" t="s">
        <v>1373</v>
      </c>
      <c r="B85" s="138"/>
      <c r="C85" s="138"/>
      <c r="D85" s="138"/>
      <c r="E85" s="138"/>
      <c r="F85" s="138"/>
      <c r="G85" s="138"/>
      <c r="H85" s="138"/>
      <c r="I85" s="138"/>
      <c r="J85" s="138"/>
      <c r="K85" s="138"/>
      <c r="L85" s="138"/>
      <c r="M85" s="138"/>
      <c r="N85" s="138"/>
    </row>
    <row r="86" spans="1:14">
      <c r="A86" s="138"/>
      <c r="B86" s="138"/>
      <c r="C86" s="138"/>
      <c r="D86" s="138"/>
      <c r="E86" s="138"/>
      <c r="F86" s="138"/>
      <c r="G86" s="138"/>
      <c r="H86" s="138"/>
      <c r="I86" s="138"/>
      <c r="J86" s="138"/>
      <c r="K86" s="138"/>
      <c r="L86" s="138"/>
      <c r="M86" s="138"/>
      <c r="N86" s="138"/>
    </row>
    <row r="87" spans="1:14">
      <c r="A87" s="138" t="s">
        <v>1374</v>
      </c>
      <c r="B87" s="149"/>
      <c r="C87" s="138"/>
      <c r="D87" s="138"/>
      <c r="E87" s="138"/>
      <c r="F87" s="138"/>
      <c r="G87" s="138"/>
      <c r="H87" s="138"/>
      <c r="I87" s="138"/>
      <c r="J87" s="138"/>
      <c r="K87" s="138"/>
      <c r="L87" s="138"/>
      <c r="M87" s="138"/>
      <c r="N87" s="138"/>
    </row>
    <row r="88" spans="1:14">
      <c r="A88" s="138" t="s">
        <v>1375</v>
      </c>
      <c r="B88" s="138"/>
      <c r="C88" s="138"/>
      <c r="D88" s="138"/>
      <c r="E88" s="138"/>
      <c r="F88" s="138"/>
      <c r="G88" s="138"/>
      <c r="H88" s="138"/>
      <c r="I88" s="138"/>
      <c r="J88" s="138"/>
      <c r="K88" s="138"/>
      <c r="L88" s="138"/>
      <c r="M88" s="138"/>
      <c r="N88" s="138"/>
    </row>
    <row r="89" spans="1:14">
      <c r="A89" s="138" t="s">
        <v>1376</v>
      </c>
      <c r="B89" s="138"/>
      <c r="C89" s="138"/>
      <c r="D89" s="138"/>
      <c r="E89" s="138"/>
      <c r="F89" s="138"/>
      <c r="G89" s="138"/>
      <c r="H89" s="138"/>
      <c r="I89" s="138"/>
      <c r="J89" s="138"/>
      <c r="K89" s="138"/>
      <c r="L89" s="138"/>
      <c r="M89" s="138"/>
      <c r="N89" s="138"/>
    </row>
    <row r="90" spans="1:14">
      <c r="A90" s="138" t="s">
        <v>1377</v>
      </c>
      <c r="B90" s="138"/>
      <c r="C90" s="138"/>
      <c r="D90" s="138"/>
      <c r="E90" s="138"/>
      <c r="F90" s="138"/>
      <c r="G90" s="138"/>
      <c r="H90" s="138"/>
      <c r="I90" s="138"/>
      <c r="J90" s="138"/>
      <c r="K90" s="138"/>
      <c r="L90" s="138"/>
      <c r="M90" s="138"/>
      <c r="N90" s="138"/>
    </row>
    <row r="91" spans="1:14">
      <c r="A91" s="138" t="s">
        <v>1378</v>
      </c>
      <c r="B91" s="138"/>
      <c r="C91" s="138"/>
      <c r="D91" s="138"/>
      <c r="E91" s="138"/>
      <c r="F91" s="138"/>
      <c r="G91" s="138"/>
      <c r="H91" s="138"/>
      <c r="I91" s="138"/>
      <c r="J91" s="138"/>
      <c r="K91" s="138"/>
      <c r="L91" s="138"/>
      <c r="M91" s="138"/>
      <c r="N91" s="138"/>
    </row>
    <row r="92" spans="1:14">
      <c r="A92" s="138" t="s">
        <v>1379</v>
      </c>
      <c r="B92" s="138"/>
      <c r="C92" s="138"/>
      <c r="D92" s="138"/>
      <c r="E92" s="138"/>
      <c r="F92" s="138"/>
      <c r="G92" s="138"/>
      <c r="H92" s="138"/>
      <c r="I92" s="138"/>
      <c r="J92" s="138"/>
      <c r="K92" s="138"/>
      <c r="L92" s="138"/>
      <c r="M92" s="138"/>
      <c r="N92" s="138"/>
    </row>
    <row r="93" spans="1:14">
      <c r="A93" s="138" t="s">
        <v>1380</v>
      </c>
      <c r="B93" s="138"/>
      <c r="C93" s="138"/>
      <c r="D93" s="138"/>
      <c r="E93" s="138"/>
      <c r="F93" s="138"/>
      <c r="G93" s="138"/>
      <c r="H93" s="138"/>
      <c r="I93" s="138"/>
      <c r="J93" s="138"/>
      <c r="K93" s="138"/>
      <c r="L93" s="138"/>
      <c r="M93" s="138"/>
      <c r="N93" s="138"/>
    </row>
    <row r="94" spans="1:14">
      <c r="A94" s="138" t="s">
        <v>1381</v>
      </c>
      <c r="B94" s="138"/>
      <c r="C94" s="138"/>
      <c r="D94" s="138"/>
      <c r="E94" s="138"/>
      <c r="F94" s="138"/>
      <c r="G94" s="138"/>
      <c r="H94" s="138"/>
      <c r="I94" s="138"/>
      <c r="J94" s="138"/>
      <c r="K94" s="138"/>
      <c r="L94" s="138"/>
      <c r="M94" s="138"/>
      <c r="N94" s="138"/>
    </row>
    <row r="95" spans="1:14">
      <c r="A95" s="138" t="s">
        <v>1382</v>
      </c>
      <c r="B95" s="138"/>
      <c r="C95" s="138"/>
      <c r="D95" s="138"/>
      <c r="E95" s="138"/>
      <c r="F95" s="138"/>
      <c r="G95" s="138"/>
      <c r="H95" s="138"/>
      <c r="I95" s="138"/>
      <c r="J95" s="138"/>
      <c r="K95" s="138"/>
      <c r="L95" s="138"/>
      <c r="M95" s="138"/>
      <c r="N95" s="138"/>
    </row>
    <row r="96" spans="1:14">
      <c r="A96" s="138"/>
      <c r="B96" s="138"/>
      <c r="C96" s="138"/>
      <c r="D96" s="138"/>
      <c r="E96" s="138"/>
      <c r="F96" s="138"/>
      <c r="G96" s="138"/>
      <c r="H96" s="138"/>
      <c r="I96" s="138"/>
      <c r="J96" s="138"/>
      <c r="K96" s="138"/>
      <c r="L96" s="138"/>
      <c r="M96" s="138"/>
      <c r="N96" s="138"/>
    </row>
    <row r="97" spans="1:14">
      <c r="A97" s="138" t="s">
        <v>1383</v>
      </c>
      <c r="B97" s="138"/>
      <c r="C97" s="138"/>
      <c r="D97" s="138"/>
      <c r="E97" s="138"/>
      <c r="F97" s="138"/>
      <c r="G97" s="138"/>
      <c r="H97" s="138"/>
      <c r="I97" s="138"/>
      <c r="J97" s="138"/>
      <c r="K97" s="138"/>
      <c r="L97" s="138"/>
      <c r="M97" s="138"/>
      <c r="N97" s="138"/>
    </row>
    <row r="98" spans="1:14">
      <c r="A98" s="138"/>
      <c r="B98" s="138"/>
      <c r="C98" s="138"/>
      <c r="D98" s="138"/>
      <c r="E98" s="138"/>
      <c r="F98" s="138"/>
      <c r="G98" s="138"/>
      <c r="H98" s="138"/>
      <c r="I98" s="138"/>
      <c r="J98" s="138"/>
      <c r="K98" s="138"/>
      <c r="L98" s="138"/>
      <c r="M98" s="138"/>
      <c r="N98" s="138"/>
    </row>
    <row r="99" spans="1:14">
      <c r="A99" s="270" t="s">
        <v>1384</v>
      </c>
      <c r="B99" s="270"/>
      <c r="C99" s="270"/>
      <c r="D99" s="270"/>
      <c r="E99" s="270"/>
      <c r="F99" s="270"/>
      <c r="G99" s="270"/>
      <c r="H99" s="270"/>
      <c r="I99" s="138"/>
      <c r="J99" s="138"/>
      <c r="K99" s="138"/>
      <c r="L99" s="138"/>
      <c r="M99" s="138"/>
      <c r="N99" s="138"/>
    </row>
    <row r="100" spans="1:14">
      <c r="A100" s="138" t="s">
        <v>1385</v>
      </c>
      <c r="B100" s="138"/>
      <c r="C100" s="138"/>
      <c r="D100" s="138"/>
      <c r="E100" s="138"/>
      <c r="F100" s="138"/>
      <c r="G100" s="138"/>
      <c r="H100" s="138"/>
      <c r="I100" s="138"/>
      <c r="J100" s="138"/>
      <c r="K100" s="138"/>
      <c r="L100" s="138"/>
      <c r="M100" s="138"/>
      <c r="N100" s="138"/>
    </row>
    <row r="101" spans="1:14">
      <c r="A101" s="138"/>
      <c r="B101" s="138"/>
      <c r="C101" s="138"/>
      <c r="D101" s="138"/>
      <c r="E101" s="138"/>
      <c r="F101" s="138"/>
      <c r="G101" s="138"/>
      <c r="H101" s="138"/>
      <c r="I101" s="138"/>
      <c r="J101" s="138"/>
      <c r="K101" s="138"/>
      <c r="L101" s="138"/>
      <c r="M101" s="138"/>
      <c r="N101" s="138"/>
    </row>
    <row r="102" spans="1:14">
      <c r="A102" s="7" t="s">
        <v>1386</v>
      </c>
    </row>
    <row r="104" spans="1:14">
      <c r="A104" s="7" t="s">
        <v>1387</v>
      </c>
    </row>
    <row r="105" spans="1:14">
      <c r="A105" s="7" t="s">
        <v>1388</v>
      </c>
    </row>
    <row r="106" spans="1:14">
      <c r="A106" s="7" t="s">
        <v>1389</v>
      </c>
    </row>
    <row r="107" spans="1:14">
      <c r="A107" s="7" t="s">
        <v>1390</v>
      </c>
    </row>
    <row r="109" spans="1:14" s="138" customFormat="1">
      <c r="A109" s="149" t="s">
        <v>1245</v>
      </c>
    </row>
    <row r="110" spans="1:14" s="138" customFormat="1"/>
    <row r="111" spans="1:14" s="138" customFormat="1">
      <c r="A111" s="138" t="s">
        <v>1246</v>
      </c>
    </row>
  </sheetData>
  <mergeCells count="11">
    <mergeCell ref="N11:O11"/>
    <mergeCell ref="P11:P12"/>
    <mergeCell ref="B13:B33"/>
    <mergeCell ref="B34:B54"/>
    <mergeCell ref="B55:B75"/>
    <mergeCell ref="A8:C12"/>
    <mergeCell ref="D9:D12"/>
    <mergeCell ref="E11:G11"/>
    <mergeCell ref="H11:K11"/>
    <mergeCell ref="L11:L12"/>
    <mergeCell ref="M11:M12"/>
  </mergeCells>
  <phoneticPr fontId="6" type="noConversion"/>
  <pageMargins left="0.7" right="0.7" top="0.75" bottom="0.75" header="0.3" footer="0.3"/>
  <pageSetup paperSize="12" scale="41" fitToHeight="2" orientation="landscape" r:id="rId1"/>
  <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734328-2AC2-4D58-802E-46DB960CA38C}">
  <sheetPr codeName="Sheet27">
    <tabColor rgb="FFFFFF00"/>
    <pageSetUpPr fitToPage="1"/>
  </sheetPr>
  <dimension ref="A3:Q112"/>
  <sheetViews>
    <sheetView showGridLines="0" view="pageBreakPreview" zoomScale="85" zoomScaleNormal="70" zoomScaleSheetLayoutView="85" workbookViewId="0">
      <pane xSplit="3" ySplit="12" topLeftCell="D76" activePane="bottomRight" state="frozen"/>
      <selection pane="topRight"/>
      <selection pane="bottomLeft"/>
      <selection pane="bottomRight"/>
    </sheetView>
  </sheetViews>
  <sheetFormatPr defaultColWidth="8.8984375" defaultRowHeight="14.4"/>
  <cols>
    <col min="1" max="1" width="7.3984375" style="7" customWidth="1"/>
    <col min="2" max="2" width="10" style="7" customWidth="1"/>
    <col min="3" max="3" width="8.296875" style="7" customWidth="1"/>
    <col min="4" max="16" width="11.09765625" style="7" customWidth="1"/>
    <col min="17" max="16384" width="8.8984375" style="7"/>
  </cols>
  <sheetData>
    <row r="3" spans="1:17">
      <c r="Q3" s="531"/>
    </row>
    <row r="5" spans="1:17" s="8" customFormat="1" ht="20.399999999999999">
      <c r="A5" s="8" t="s">
        <v>1330</v>
      </c>
    </row>
    <row r="7" spans="1:17">
      <c r="A7" s="7" t="s">
        <v>171</v>
      </c>
    </row>
    <row r="8" spans="1:17">
      <c r="A8" s="776" t="s">
        <v>555</v>
      </c>
      <c r="B8" s="842"/>
      <c r="C8" s="777"/>
      <c r="D8" s="67" t="s">
        <v>556</v>
      </c>
      <c r="E8" s="67" t="s">
        <v>226</v>
      </c>
      <c r="F8" s="67" t="s">
        <v>227</v>
      </c>
      <c r="G8" s="67" t="s">
        <v>695</v>
      </c>
      <c r="H8" s="67" t="s">
        <v>1331</v>
      </c>
      <c r="I8" s="67" t="s">
        <v>1332</v>
      </c>
      <c r="J8" s="67" t="s">
        <v>1333</v>
      </c>
      <c r="K8" s="67" t="s">
        <v>696</v>
      </c>
      <c r="L8" s="67" t="s">
        <v>557</v>
      </c>
      <c r="M8" s="67" t="s">
        <v>989</v>
      </c>
      <c r="N8" s="67" t="s">
        <v>999</v>
      </c>
      <c r="O8" s="67" t="s">
        <v>1334</v>
      </c>
      <c r="P8" s="67" t="s">
        <v>170</v>
      </c>
    </row>
    <row r="9" spans="1:17" ht="13.5" customHeight="1">
      <c r="A9" s="778"/>
      <c r="B9" s="843"/>
      <c r="C9" s="779"/>
      <c r="D9" s="845" t="s">
        <v>1335</v>
      </c>
      <c r="E9" s="341" t="s">
        <v>1336</v>
      </c>
      <c r="F9" s="342"/>
      <c r="G9" s="342"/>
      <c r="H9" s="342"/>
      <c r="I9" s="342"/>
      <c r="J9" s="342"/>
      <c r="K9" s="342"/>
      <c r="L9" s="342"/>
      <c r="M9" s="342"/>
      <c r="N9" s="342"/>
      <c r="O9" s="342"/>
      <c r="P9" s="342"/>
    </row>
    <row r="10" spans="1:17">
      <c r="A10" s="778"/>
      <c r="B10" s="843"/>
      <c r="C10" s="779"/>
      <c r="D10" s="846"/>
      <c r="E10" s="275" t="s">
        <v>1337</v>
      </c>
      <c r="F10" s="275"/>
      <c r="G10" s="275"/>
      <c r="H10" s="275"/>
      <c r="I10" s="275"/>
      <c r="J10" s="275"/>
      <c r="K10" s="275"/>
      <c r="L10" s="275"/>
      <c r="M10" s="275" t="s">
        <v>1338</v>
      </c>
      <c r="N10" s="275"/>
      <c r="O10" s="275"/>
      <c r="P10" s="275"/>
    </row>
    <row r="11" spans="1:17">
      <c r="A11" s="778"/>
      <c r="B11" s="843"/>
      <c r="C11" s="779"/>
      <c r="D11" s="846"/>
      <c r="E11" s="776" t="s">
        <v>739</v>
      </c>
      <c r="F11" s="842"/>
      <c r="G11" s="777"/>
      <c r="H11" s="776" t="s">
        <v>1339</v>
      </c>
      <c r="I11" s="842"/>
      <c r="J11" s="842"/>
      <c r="K11" s="777"/>
      <c r="L11" s="848" t="s">
        <v>599</v>
      </c>
      <c r="M11" s="825" t="s">
        <v>739</v>
      </c>
      <c r="N11" s="839" t="s">
        <v>1339</v>
      </c>
      <c r="O11" s="840"/>
      <c r="P11" s="825" t="s">
        <v>1340</v>
      </c>
    </row>
    <row r="12" spans="1:17">
      <c r="A12" s="819"/>
      <c r="B12" s="844"/>
      <c r="C12" s="820"/>
      <c r="D12" s="847"/>
      <c r="E12" s="294" t="s">
        <v>1341</v>
      </c>
      <c r="F12" s="294" t="s">
        <v>1342</v>
      </c>
      <c r="G12" s="343" t="s">
        <v>1340</v>
      </c>
      <c r="H12" s="294" t="s">
        <v>1341</v>
      </c>
      <c r="I12" s="294" t="s">
        <v>1342</v>
      </c>
      <c r="J12" s="343" t="s">
        <v>1343</v>
      </c>
      <c r="K12" s="343" t="s">
        <v>1340</v>
      </c>
      <c r="L12" s="849"/>
      <c r="M12" s="841"/>
      <c r="N12" s="294" t="s">
        <v>1341</v>
      </c>
      <c r="O12" s="344" t="s">
        <v>1343</v>
      </c>
      <c r="P12" s="841"/>
    </row>
    <row r="13" spans="1:17" ht="13.5" customHeight="1">
      <c r="A13" s="67" t="s">
        <v>693</v>
      </c>
      <c r="B13" s="821" t="s">
        <v>1344</v>
      </c>
      <c r="C13" s="303" t="s">
        <v>1211</v>
      </c>
      <c r="D13" s="345"/>
      <c r="E13" s="346"/>
      <c r="F13" s="346"/>
      <c r="G13" s="346">
        <f t="shared" ref="G13:G22" si="0">E13+F13</f>
        <v>0</v>
      </c>
      <c r="H13" s="346"/>
      <c r="I13" s="346"/>
      <c r="J13" s="346"/>
      <c r="K13" s="346">
        <f t="shared" ref="K13:K75" si="1">H13+I13+J13</f>
        <v>0</v>
      </c>
      <c r="L13" s="346">
        <f t="shared" ref="L13:L75" si="2">G13+K13</f>
        <v>0</v>
      </c>
      <c r="M13" s="347"/>
      <c r="N13" s="347"/>
      <c r="O13" s="347"/>
      <c r="P13" s="347"/>
    </row>
    <row r="14" spans="1:17">
      <c r="A14" s="67" t="s">
        <v>694</v>
      </c>
      <c r="B14" s="826"/>
      <c r="C14" s="303" t="s">
        <v>1212</v>
      </c>
      <c r="D14" s="345"/>
      <c r="E14" s="346"/>
      <c r="F14" s="346"/>
      <c r="G14" s="346">
        <f t="shared" si="0"/>
        <v>0</v>
      </c>
      <c r="H14" s="346"/>
      <c r="I14" s="346"/>
      <c r="J14" s="346"/>
      <c r="K14" s="346">
        <f t="shared" si="1"/>
        <v>0</v>
      </c>
      <c r="L14" s="346">
        <f t="shared" si="2"/>
        <v>0</v>
      </c>
      <c r="M14" s="347"/>
      <c r="N14" s="347"/>
      <c r="O14" s="347"/>
      <c r="P14" s="347"/>
    </row>
    <row r="15" spans="1:17">
      <c r="A15" s="67" t="s">
        <v>87</v>
      </c>
      <c r="B15" s="826"/>
      <c r="C15" s="303" t="s">
        <v>1213</v>
      </c>
      <c r="D15" s="345"/>
      <c r="E15" s="346"/>
      <c r="F15" s="346"/>
      <c r="G15" s="346">
        <f t="shared" si="0"/>
        <v>0</v>
      </c>
      <c r="H15" s="346"/>
      <c r="I15" s="346"/>
      <c r="J15" s="346"/>
      <c r="K15" s="346">
        <f t="shared" si="1"/>
        <v>0</v>
      </c>
      <c r="L15" s="346">
        <f t="shared" si="2"/>
        <v>0</v>
      </c>
      <c r="M15" s="347"/>
      <c r="N15" s="347"/>
      <c r="O15" s="347"/>
      <c r="P15" s="347"/>
    </row>
    <row r="16" spans="1:17">
      <c r="A16" s="67" t="s">
        <v>88</v>
      </c>
      <c r="B16" s="826"/>
      <c r="C16" s="303" t="s">
        <v>1214</v>
      </c>
      <c r="D16" s="345"/>
      <c r="E16" s="346"/>
      <c r="F16" s="346"/>
      <c r="G16" s="346">
        <f t="shared" si="0"/>
        <v>0</v>
      </c>
      <c r="H16" s="346"/>
      <c r="I16" s="346"/>
      <c r="J16" s="346"/>
      <c r="K16" s="346">
        <f t="shared" si="1"/>
        <v>0</v>
      </c>
      <c r="L16" s="346">
        <f t="shared" si="2"/>
        <v>0</v>
      </c>
      <c r="M16" s="347"/>
      <c r="N16" s="347"/>
      <c r="O16" s="347"/>
      <c r="P16" s="347"/>
    </row>
    <row r="17" spans="1:16">
      <c r="A17" s="67" t="s">
        <v>93</v>
      </c>
      <c r="B17" s="826"/>
      <c r="C17" s="303" t="s">
        <v>1215</v>
      </c>
      <c r="D17" s="345"/>
      <c r="E17" s="346"/>
      <c r="F17" s="346"/>
      <c r="G17" s="346">
        <f t="shared" si="0"/>
        <v>0</v>
      </c>
      <c r="H17" s="346"/>
      <c r="I17" s="346"/>
      <c r="J17" s="346"/>
      <c r="K17" s="346">
        <f t="shared" si="1"/>
        <v>0</v>
      </c>
      <c r="L17" s="346">
        <f t="shared" si="2"/>
        <v>0</v>
      </c>
      <c r="M17" s="347"/>
      <c r="N17" s="347"/>
      <c r="O17" s="347"/>
      <c r="P17" s="347"/>
    </row>
    <row r="18" spans="1:16">
      <c r="A18" s="67" t="s">
        <v>221</v>
      </c>
      <c r="B18" s="826"/>
      <c r="C18" s="303" t="s">
        <v>1216</v>
      </c>
      <c r="D18" s="345"/>
      <c r="E18" s="346"/>
      <c r="F18" s="346"/>
      <c r="G18" s="346">
        <f t="shared" si="0"/>
        <v>0</v>
      </c>
      <c r="H18" s="346"/>
      <c r="I18" s="346"/>
      <c r="J18" s="346"/>
      <c r="K18" s="346">
        <f t="shared" si="1"/>
        <v>0</v>
      </c>
      <c r="L18" s="346">
        <f t="shared" si="2"/>
        <v>0</v>
      </c>
      <c r="M18" s="347"/>
      <c r="N18" s="347"/>
      <c r="O18" s="347"/>
      <c r="P18" s="347"/>
    </row>
    <row r="19" spans="1:16">
      <c r="A19" s="67" t="s">
        <v>1217</v>
      </c>
      <c r="B19" s="826"/>
      <c r="C19" s="303" t="s">
        <v>1218</v>
      </c>
      <c r="D19" s="345"/>
      <c r="E19" s="346"/>
      <c r="F19" s="346"/>
      <c r="G19" s="346">
        <f t="shared" si="0"/>
        <v>0</v>
      </c>
      <c r="H19" s="346"/>
      <c r="I19" s="346"/>
      <c r="J19" s="346"/>
      <c r="K19" s="346">
        <f t="shared" si="1"/>
        <v>0</v>
      </c>
      <c r="L19" s="346">
        <f t="shared" si="2"/>
        <v>0</v>
      </c>
      <c r="M19" s="347"/>
      <c r="N19" s="347"/>
      <c r="O19" s="347"/>
      <c r="P19" s="347"/>
    </row>
    <row r="20" spans="1:16">
      <c r="A20" s="67" t="s">
        <v>1219</v>
      </c>
      <c r="B20" s="826"/>
      <c r="C20" s="303" t="s">
        <v>1220</v>
      </c>
      <c r="D20" s="345"/>
      <c r="E20" s="346"/>
      <c r="F20" s="346"/>
      <c r="G20" s="346">
        <f t="shared" si="0"/>
        <v>0</v>
      </c>
      <c r="H20" s="346"/>
      <c r="I20" s="346"/>
      <c r="J20" s="346"/>
      <c r="K20" s="346">
        <f t="shared" si="1"/>
        <v>0</v>
      </c>
      <c r="L20" s="346">
        <f t="shared" si="2"/>
        <v>0</v>
      </c>
      <c r="M20" s="347"/>
      <c r="N20" s="347"/>
      <c r="O20" s="347"/>
      <c r="P20" s="347"/>
    </row>
    <row r="21" spans="1:16">
      <c r="A21" s="67" t="s">
        <v>1221</v>
      </c>
      <c r="B21" s="826"/>
      <c r="C21" s="303" t="s">
        <v>1222</v>
      </c>
      <c r="D21" s="345"/>
      <c r="E21" s="346"/>
      <c r="F21" s="346"/>
      <c r="G21" s="346">
        <f t="shared" si="0"/>
        <v>0</v>
      </c>
      <c r="H21" s="346"/>
      <c r="I21" s="346"/>
      <c r="J21" s="346"/>
      <c r="K21" s="346">
        <f t="shared" si="1"/>
        <v>0</v>
      </c>
      <c r="L21" s="346">
        <f t="shared" si="2"/>
        <v>0</v>
      </c>
      <c r="M21" s="347"/>
      <c r="N21" s="347"/>
      <c r="O21" s="347"/>
      <c r="P21" s="347"/>
    </row>
    <row r="22" spans="1:16">
      <c r="A22" s="67" t="s">
        <v>1223</v>
      </c>
      <c r="B22" s="826"/>
      <c r="C22" s="303" t="s">
        <v>1224</v>
      </c>
      <c r="D22" s="345"/>
      <c r="E22" s="346"/>
      <c r="F22" s="346"/>
      <c r="G22" s="346">
        <f t="shared" si="0"/>
        <v>0</v>
      </c>
      <c r="H22" s="346"/>
      <c r="I22" s="346"/>
      <c r="J22" s="346"/>
      <c r="K22" s="346">
        <f t="shared" si="1"/>
        <v>0</v>
      </c>
      <c r="L22" s="346">
        <f t="shared" si="2"/>
        <v>0</v>
      </c>
      <c r="M22" s="347"/>
      <c r="N22" s="347"/>
      <c r="O22" s="347"/>
      <c r="P22" s="347"/>
    </row>
    <row r="23" spans="1:16" ht="13.5" customHeight="1">
      <c r="A23" s="67" t="s">
        <v>1225</v>
      </c>
      <c r="B23" s="826"/>
      <c r="C23" s="303" t="s">
        <v>1226</v>
      </c>
      <c r="D23" s="345"/>
      <c r="E23" s="346"/>
      <c r="F23" s="346"/>
      <c r="G23" s="346"/>
      <c r="H23" s="346"/>
      <c r="I23" s="346"/>
      <c r="J23" s="346"/>
      <c r="K23" s="346">
        <f t="shared" si="1"/>
        <v>0</v>
      </c>
      <c r="L23" s="346">
        <f t="shared" si="2"/>
        <v>0</v>
      </c>
      <c r="M23" s="347"/>
      <c r="N23" s="347"/>
      <c r="O23" s="347"/>
      <c r="P23" s="347"/>
    </row>
    <row r="24" spans="1:16" ht="13.5" customHeight="1">
      <c r="A24" s="67" t="s">
        <v>1227</v>
      </c>
      <c r="B24" s="826"/>
      <c r="C24" s="303" t="s">
        <v>1228</v>
      </c>
      <c r="D24" s="345"/>
      <c r="E24" s="346"/>
      <c r="F24" s="346"/>
      <c r="G24" s="346"/>
      <c r="H24" s="346"/>
      <c r="I24" s="346"/>
      <c r="J24" s="346"/>
      <c r="K24" s="346">
        <f t="shared" si="1"/>
        <v>0</v>
      </c>
      <c r="L24" s="346">
        <f t="shared" si="2"/>
        <v>0</v>
      </c>
      <c r="M24" s="347"/>
      <c r="N24" s="347"/>
      <c r="O24" s="347"/>
      <c r="P24" s="347"/>
    </row>
    <row r="25" spans="1:16" ht="13.5" customHeight="1">
      <c r="A25" s="67" t="s">
        <v>1229</v>
      </c>
      <c r="B25" s="826"/>
      <c r="C25" s="303" t="s">
        <v>1230</v>
      </c>
      <c r="D25" s="345"/>
      <c r="E25" s="346"/>
      <c r="F25" s="346"/>
      <c r="G25" s="346"/>
      <c r="H25" s="346"/>
      <c r="I25" s="346"/>
      <c r="J25" s="346"/>
      <c r="K25" s="346">
        <f t="shared" si="1"/>
        <v>0</v>
      </c>
      <c r="L25" s="346">
        <f t="shared" si="2"/>
        <v>0</v>
      </c>
      <c r="M25" s="347"/>
      <c r="N25" s="347"/>
      <c r="O25" s="347"/>
      <c r="P25" s="347"/>
    </row>
    <row r="26" spans="1:16" ht="13.5" customHeight="1">
      <c r="A26" s="67" t="s">
        <v>1231</v>
      </c>
      <c r="B26" s="826"/>
      <c r="C26" s="303" t="s">
        <v>1232</v>
      </c>
      <c r="D26" s="345"/>
      <c r="E26" s="346"/>
      <c r="F26" s="346"/>
      <c r="G26" s="346"/>
      <c r="H26" s="346"/>
      <c r="I26" s="346"/>
      <c r="J26" s="346"/>
      <c r="K26" s="346">
        <f t="shared" si="1"/>
        <v>0</v>
      </c>
      <c r="L26" s="346">
        <f t="shared" si="2"/>
        <v>0</v>
      </c>
      <c r="M26" s="347"/>
      <c r="N26" s="347"/>
      <c r="O26" s="347"/>
      <c r="P26" s="347"/>
    </row>
    <row r="27" spans="1:16" ht="13.5" customHeight="1">
      <c r="A27" s="67" t="s">
        <v>1233</v>
      </c>
      <c r="B27" s="826"/>
      <c r="C27" s="303" t="s">
        <v>1234</v>
      </c>
      <c r="D27" s="345"/>
      <c r="E27" s="346"/>
      <c r="F27" s="346"/>
      <c r="G27" s="346"/>
      <c r="H27" s="346"/>
      <c r="I27" s="346"/>
      <c r="J27" s="346"/>
      <c r="K27" s="346">
        <f t="shared" si="1"/>
        <v>0</v>
      </c>
      <c r="L27" s="346">
        <f t="shared" si="2"/>
        <v>0</v>
      </c>
      <c r="M27" s="347"/>
      <c r="N27" s="347"/>
      <c r="O27" s="347"/>
      <c r="P27" s="347"/>
    </row>
    <row r="28" spans="1:16" ht="13.5" customHeight="1">
      <c r="A28" s="67" t="s">
        <v>1235</v>
      </c>
      <c r="B28" s="826"/>
      <c r="C28" s="303" t="s">
        <v>1236</v>
      </c>
      <c r="D28" s="345"/>
      <c r="E28" s="346"/>
      <c r="F28" s="346"/>
      <c r="G28" s="346"/>
      <c r="H28" s="346"/>
      <c r="I28" s="346"/>
      <c r="J28" s="346"/>
      <c r="K28" s="346">
        <f t="shared" si="1"/>
        <v>0</v>
      </c>
      <c r="L28" s="346">
        <f t="shared" si="2"/>
        <v>0</v>
      </c>
      <c r="M28" s="347"/>
      <c r="N28" s="347"/>
      <c r="O28" s="347"/>
      <c r="P28" s="347"/>
    </row>
    <row r="29" spans="1:16" ht="13.5" customHeight="1">
      <c r="A29" s="67" t="s">
        <v>1237</v>
      </c>
      <c r="B29" s="826"/>
      <c r="C29" s="303" t="s">
        <v>1238</v>
      </c>
      <c r="D29" s="345"/>
      <c r="E29" s="346"/>
      <c r="F29" s="346"/>
      <c r="G29" s="346"/>
      <c r="H29" s="346"/>
      <c r="I29" s="346"/>
      <c r="J29" s="346"/>
      <c r="K29" s="346">
        <f t="shared" si="1"/>
        <v>0</v>
      </c>
      <c r="L29" s="346">
        <f t="shared" si="2"/>
        <v>0</v>
      </c>
      <c r="M29" s="347"/>
      <c r="N29" s="347"/>
      <c r="O29" s="347"/>
      <c r="P29" s="347"/>
    </row>
    <row r="30" spans="1:16" ht="13.5" customHeight="1">
      <c r="A30" s="67" t="s">
        <v>1239</v>
      </c>
      <c r="B30" s="826"/>
      <c r="C30" s="303" t="s">
        <v>1240</v>
      </c>
      <c r="D30" s="345"/>
      <c r="E30" s="346"/>
      <c r="F30" s="346"/>
      <c r="G30" s="346"/>
      <c r="H30" s="346"/>
      <c r="I30" s="346"/>
      <c r="J30" s="346"/>
      <c r="K30" s="346">
        <f t="shared" si="1"/>
        <v>0</v>
      </c>
      <c r="L30" s="346">
        <f t="shared" si="2"/>
        <v>0</v>
      </c>
      <c r="M30" s="347"/>
      <c r="N30" s="347"/>
      <c r="O30" s="347"/>
      <c r="P30" s="347"/>
    </row>
    <row r="31" spans="1:16" ht="13.5" customHeight="1">
      <c r="A31" s="67" t="s">
        <v>1241</v>
      </c>
      <c r="B31" s="826"/>
      <c r="C31" s="303" t="s">
        <v>1242</v>
      </c>
      <c r="D31" s="345"/>
      <c r="E31" s="346"/>
      <c r="F31" s="346"/>
      <c r="G31" s="346"/>
      <c r="H31" s="346"/>
      <c r="I31" s="346"/>
      <c r="J31" s="346"/>
      <c r="K31" s="346">
        <f t="shared" si="1"/>
        <v>0</v>
      </c>
      <c r="L31" s="346">
        <f t="shared" si="2"/>
        <v>0</v>
      </c>
      <c r="M31" s="347"/>
      <c r="N31" s="347"/>
      <c r="O31" s="347"/>
      <c r="P31" s="347"/>
    </row>
    <row r="32" spans="1:16" ht="13.5" customHeight="1">
      <c r="A32" s="67" t="s">
        <v>1243</v>
      </c>
      <c r="B32" s="826"/>
      <c r="C32" s="303" t="s">
        <v>1244</v>
      </c>
      <c r="D32" s="345"/>
      <c r="E32" s="346"/>
      <c r="F32" s="346"/>
      <c r="G32" s="346"/>
      <c r="H32" s="346"/>
      <c r="I32" s="346"/>
      <c r="J32" s="346"/>
      <c r="K32" s="346">
        <f t="shared" si="1"/>
        <v>0</v>
      </c>
      <c r="L32" s="346">
        <f t="shared" si="2"/>
        <v>0</v>
      </c>
      <c r="M32" s="347"/>
      <c r="N32" s="347"/>
      <c r="O32" s="347"/>
      <c r="P32" s="347"/>
    </row>
    <row r="33" spans="1:16">
      <c r="A33" s="67" t="s">
        <v>557</v>
      </c>
      <c r="B33" s="841"/>
      <c r="C33" s="67" t="s">
        <v>581</v>
      </c>
      <c r="D33" s="345">
        <f>SUM(D13:D32)</f>
        <v>0</v>
      </c>
      <c r="E33" s="345">
        <f>SUM(E13:E32)</f>
        <v>0</v>
      </c>
      <c r="F33" s="345">
        <f>SUM(F13:F32)</f>
        <v>0</v>
      </c>
      <c r="G33" s="345">
        <f t="shared" ref="G33:G75" si="3">E33+F33</f>
        <v>0</v>
      </c>
      <c r="H33" s="345">
        <f>SUM(H13:H32)</f>
        <v>0</v>
      </c>
      <c r="I33" s="345">
        <f>SUM(I13:I32)</f>
        <v>0</v>
      </c>
      <c r="J33" s="345">
        <f>SUM(J13:J32)</f>
        <v>0</v>
      </c>
      <c r="K33" s="346">
        <f t="shared" si="1"/>
        <v>0</v>
      </c>
      <c r="L33" s="346">
        <f t="shared" si="2"/>
        <v>0</v>
      </c>
      <c r="M33" s="348"/>
      <c r="N33" s="348"/>
      <c r="O33" s="348"/>
      <c r="P33" s="347"/>
    </row>
    <row r="34" spans="1:16" ht="13.5" customHeight="1">
      <c r="A34" s="67" t="s">
        <v>72</v>
      </c>
      <c r="B34" s="821" t="s">
        <v>1345</v>
      </c>
      <c r="C34" s="303" t="s">
        <v>1211</v>
      </c>
      <c r="D34" s="345"/>
      <c r="E34" s="346"/>
      <c r="F34" s="347"/>
      <c r="G34" s="346">
        <f t="shared" si="3"/>
        <v>0</v>
      </c>
      <c r="H34" s="346"/>
      <c r="I34" s="347"/>
      <c r="J34" s="346"/>
      <c r="K34" s="346">
        <f t="shared" si="1"/>
        <v>0</v>
      </c>
      <c r="L34" s="346">
        <f t="shared" si="2"/>
        <v>0</v>
      </c>
      <c r="M34" s="346"/>
      <c r="N34" s="346"/>
      <c r="O34" s="346"/>
      <c r="P34" s="346">
        <f t="shared" ref="P34:P75" si="4">M34+N34+O34</f>
        <v>0</v>
      </c>
    </row>
    <row r="35" spans="1:16">
      <c r="A35" s="67" t="s">
        <v>73</v>
      </c>
      <c r="B35" s="826"/>
      <c r="C35" s="303" t="s">
        <v>1212</v>
      </c>
      <c r="D35" s="345"/>
      <c r="E35" s="346"/>
      <c r="F35" s="347"/>
      <c r="G35" s="346">
        <f t="shared" si="3"/>
        <v>0</v>
      </c>
      <c r="H35" s="346"/>
      <c r="I35" s="347"/>
      <c r="J35" s="346"/>
      <c r="K35" s="346">
        <f t="shared" si="1"/>
        <v>0</v>
      </c>
      <c r="L35" s="346">
        <f t="shared" si="2"/>
        <v>0</v>
      </c>
      <c r="M35" s="346"/>
      <c r="N35" s="346"/>
      <c r="O35" s="346"/>
      <c r="P35" s="346">
        <f t="shared" si="4"/>
        <v>0</v>
      </c>
    </row>
    <row r="36" spans="1:16">
      <c r="A36" s="67" t="s">
        <v>74</v>
      </c>
      <c r="B36" s="826"/>
      <c r="C36" s="303" t="s">
        <v>1213</v>
      </c>
      <c r="D36" s="345"/>
      <c r="E36" s="346"/>
      <c r="F36" s="347"/>
      <c r="G36" s="346">
        <f t="shared" si="3"/>
        <v>0</v>
      </c>
      <c r="H36" s="346"/>
      <c r="I36" s="347"/>
      <c r="J36" s="346"/>
      <c r="K36" s="346">
        <f t="shared" si="1"/>
        <v>0</v>
      </c>
      <c r="L36" s="346">
        <f t="shared" si="2"/>
        <v>0</v>
      </c>
      <c r="M36" s="346"/>
      <c r="N36" s="346"/>
      <c r="O36" s="346"/>
      <c r="P36" s="346">
        <f t="shared" si="4"/>
        <v>0</v>
      </c>
    </row>
    <row r="37" spans="1:16">
      <c r="A37" s="67" t="s">
        <v>105</v>
      </c>
      <c r="B37" s="826"/>
      <c r="C37" s="303" t="s">
        <v>1214</v>
      </c>
      <c r="D37" s="345"/>
      <c r="E37" s="346"/>
      <c r="F37" s="347"/>
      <c r="G37" s="346">
        <f t="shared" si="3"/>
        <v>0</v>
      </c>
      <c r="H37" s="346"/>
      <c r="I37" s="347"/>
      <c r="J37" s="346"/>
      <c r="K37" s="346">
        <f t="shared" si="1"/>
        <v>0</v>
      </c>
      <c r="L37" s="346">
        <f t="shared" si="2"/>
        <v>0</v>
      </c>
      <c r="M37" s="346"/>
      <c r="N37" s="346"/>
      <c r="O37" s="346"/>
      <c r="P37" s="346">
        <f t="shared" si="4"/>
        <v>0</v>
      </c>
    </row>
    <row r="38" spans="1:16">
      <c r="A38" s="67" t="s">
        <v>107</v>
      </c>
      <c r="B38" s="826"/>
      <c r="C38" s="303" t="s">
        <v>1215</v>
      </c>
      <c r="D38" s="345"/>
      <c r="E38" s="346"/>
      <c r="F38" s="347"/>
      <c r="G38" s="346">
        <f t="shared" si="3"/>
        <v>0</v>
      </c>
      <c r="H38" s="346"/>
      <c r="I38" s="347"/>
      <c r="J38" s="346"/>
      <c r="K38" s="346">
        <f t="shared" si="1"/>
        <v>0</v>
      </c>
      <c r="L38" s="346">
        <f t="shared" si="2"/>
        <v>0</v>
      </c>
      <c r="M38" s="346"/>
      <c r="N38" s="346"/>
      <c r="O38" s="346"/>
      <c r="P38" s="346">
        <f t="shared" si="4"/>
        <v>0</v>
      </c>
    </row>
    <row r="39" spans="1:16">
      <c r="A39" s="67" t="s">
        <v>109</v>
      </c>
      <c r="B39" s="826"/>
      <c r="C39" s="303" t="s">
        <v>1216</v>
      </c>
      <c r="D39" s="345"/>
      <c r="E39" s="346"/>
      <c r="F39" s="347"/>
      <c r="G39" s="346">
        <f t="shared" si="3"/>
        <v>0</v>
      </c>
      <c r="H39" s="346"/>
      <c r="I39" s="347"/>
      <c r="J39" s="346"/>
      <c r="K39" s="346">
        <f t="shared" si="1"/>
        <v>0</v>
      </c>
      <c r="L39" s="346">
        <f t="shared" si="2"/>
        <v>0</v>
      </c>
      <c r="M39" s="346"/>
      <c r="N39" s="346"/>
      <c r="O39" s="346"/>
      <c r="P39" s="346">
        <f t="shared" si="4"/>
        <v>0</v>
      </c>
    </row>
    <row r="40" spans="1:16">
      <c r="A40" s="67" t="s">
        <v>232</v>
      </c>
      <c r="B40" s="826"/>
      <c r="C40" s="303" t="s">
        <v>1218</v>
      </c>
      <c r="D40" s="345"/>
      <c r="E40" s="346"/>
      <c r="F40" s="347"/>
      <c r="G40" s="346">
        <f t="shared" si="3"/>
        <v>0</v>
      </c>
      <c r="H40" s="346"/>
      <c r="I40" s="347"/>
      <c r="J40" s="346"/>
      <c r="K40" s="346">
        <f t="shared" si="1"/>
        <v>0</v>
      </c>
      <c r="L40" s="346">
        <f t="shared" si="2"/>
        <v>0</v>
      </c>
      <c r="M40" s="346"/>
      <c r="N40" s="346"/>
      <c r="O40" s="346"/>
      <c r="P40" s="346">
        <f t="shared" si="4"/>
        <v>0</v>
      </c>
    </row>
    <row r="41" spans="1:16">
      <c r="A41" s="67" t="s">
        <v>233</v>
      </c>
      <c r="B41" s="826"/>
      <c r="C41" s="303" t="s">
        <v>1220</v>
      </c>
      <c r="D41" s="345"/>
      <c r="E41" s="346"/>
      <c r="F41" s="347"/>
      <c r="G41" s="346">
        <f t="shared" si="3"/>
        <v>0</v>
      </c>
      <c r="H41" s="346"/>
      <c r="I41" s="347"/>
      <c r="J41" s="346"/>
      <c r="K41" s="346">
        <f t="shared" si="1"/>
        <v>0</v>
      </c>
      <c r="L41" s="346">
        <f t="shared" si="2"/>
        <v>0</v>
      </c>
      <c r="M41" s="346"/>
      <c r="N41" s="346"/>
      <c r="O41" s="346"/>
      <c r="P41" s="346">
        <f t="shared" si="4"/>
        <v>0</v>
      </c>
    </row>
    <row r="42" spans="1:16">
      <c r="A42" s="67" t="s">
        <v>1346</v>
      </c>
      <c r="B42" s="826"/>
      <c r="C42" s="303" t="s">
        <v>1222</v>
      </c>
      <c r="D42" s="345"/>
      <c r="E42" s="346"/>
      <c r="F42" s="347"/>
      <c r="G42" s="346">
        <f t="shared" si="3"/>
        <v>0</v>
      </c>
      <c r="H42" s="346"/>
      <c r="I42" s="347"/>
      <c r="J42" s="346"/>
      <c r="K42" s="346">
        <f t="shared" si="1"/>
        <v>0</v>
      </c>
      <c r="L42" s="346">
        <f t="shared" si="2"/>
        <v>0</v>
      </c>
      <c r="M42" s="346"/>
      <c r="N42" s="346"/>
      <c r="O42" s="346"/>
      <c r="P42" s="346">
        <f t="shared" si="4"/>
        <v>0</v>
      </c>
    </row>
    <row r="43" spans="1:16">
      <c r="A43" s="67" t="s">
        <v>1347</v>
      </c>
      <c r="B43" s="826"/>
      <c r="C43" s="303" t="s">
        <v>1224</v>
      </c>
      <c r="D43" s="345"/>
      <c r="E43" s="346"/>
      <c r="F43" s="347"/>
      <c r="G43" s="346">
        <f t="shared" si="3"/>
        <v>0</v>
      </c>
      <c r="H43" s="346"/>
      <c r="I43" s="347"/>
      <c r="J43" s="346"/>
      <c r="K43" s="346">
        <f t="shared" si="1"/>
        <v>0</v>
      </c>
      <c r="L43" s="346">
        <f t="shared" si="2"/>
        <v>0</v>
      </c>
      <c r="M43" s="346"/>
      <c r="N43" s="346"/>
      <c r="O43" s="346"/>
      <c r="P43" s="346">
        <f t="shared" si="4"/>
        <v>0</v>
      </c>
    </row>
    <row r="44" spans="1:16" ht="13.5" customHeight="1">
      <c r="A44" s="67" t="s">
        <v>1348</v>
      </c>
      <c r="B44" s="826"/>
      <c r="C44" s="303" t="s">
        <v>1226</v>
      </c>
      <c r="D44" s="345"/>
      <c r="E44" s="346"/>
      <c r="F44" s="347"/>
      <c r="G44" s="346">
        <f t="shared" si="3"/>
        <v>0</v>
      </c>
      <c r="H44" s="346"/>
      <c r="I44" s="347"/>
      <c r="J44" s="346"/>
      <c r="K44" s="346">
        <f t="shared" si="1"/>
        <v>0</v>
      </c>
      <c r="L44" s="346">
        <f t="shared" si="2"/>
        <v>0</v>
      </c>
      <c r="M44" s="346"/>
      <c r="N44" s="346"/>
      <c r="O44" s="346"/>
      <c r="P44" s="346">
        <f t="shared" si="4"/>
        <v>0</v>
      </c>
    </row>
    <row r="45" spans="1:16" ht="13.5" customHeight="1">
      <c r="A45" s="67" t="s">
        <v>1349</v>
      </c>
      <c r="B45" s="826"/>
      <c r="C45" s="303" t="s">
        <v>1228</v>
      </c>
      <c r="D45" s="345"/>
      <c r="E45" s="346"/>
      <c r="F45" s="347"/>
      <c r="G45" s="346">
        <f t="shared" si="3"/>
        <v>0</v>
      </c>
      <c r="H45" s="346"/>
      <c r="I45" s="347"/>
      <c r="J45" s="346"/>
      <c r="K45" s="346">
        <f t="shared" si="1"/>
        <v>0</v>
      </c>
      <c r="L45" s="346">
        <f t="shared" si="2"/>
        <v>0</v>
      </c>
      <c r="M45" s="346"/>
      <c r="N45" s="346"/>
      <c r="O45" s="346"/>
      <c r="P45" s="346">
        <f t="shared" si="4"/>
        <v>0</v>
      </c>
    </row>
    <row r="46" spans="1:16" ht="13.5" customHeight="1">
      <c r="A46" s="67" t="s">
        <v>1350</v>
      </c>
      <c r="B46" s="826"/>
      <c r="C46" s="303" t="s">
        <v>1230</v>
      </c>
      <c r="D46" s="345"/>
      <c r="E46" s="346"/>
      <c r="F46" s="347"/>
      <c r="G46" s="346">
        <f t="shared" si="3"/>
        <v>0</v>
      </c>
      <c r="H46" s="346"/>
      <c r="I46" s="347"/>
      <c r="J46" s="346"/>
      <c r="K46" s="346">
        <f t="shared" si="1"/>
        <v>0</v>
      </c>
      <c r="L46" s="346">
        <f t="shared" si="2"/>
        <v>0</v>
      </c>
      <c r="M46" s="346"/>
      <c r="N46" s="346"/>
      <c r="O46" s="346"/>
      <c r="P46" s="346">
        <f t="shared" si="4"/>
        <v>0</v>
      </c>
    </row>
    <row r="47" spans="1:16" ht="13.5" customHeight="1">
      <c r="A47" s="67" t="s">
        <v>1351</v>
      </c>
      <c r="B47" s="826"/>
      <c r="C47" s="303" t="s">
        <v>1232</v>
      </c>
      <c r="D47" s="345"/>
      <c r="E47" s="346"/>
      <c r="F47" s="347"/>
      <c r="G47" s="346">
        <f t="shared" si="3"/>
        <v>0</v>
      </c>
      <c r="H47" s="346"/>
      <c r="I47" s="347"/>
      <c r="J47" s="346"/>
      <c r="K47" s="346">
        <f t="shared" si="1"/>
        <v>0</v>
      </c>
      <c r="L47" s="346">
        <f t="shared" si="2"/>
        <v>0</v>
      </c>
      <c r="M47" s="346"/>
      <c r="N47" s="346"/>
      <c r="O47" s="346"/>
      <c r="P47" s="346">
        <f t="shared" si="4"/>
        <v>0</v>
      </c>
    </row>
    <row r="48" spans="1:16" ht="13.5" customHeight="1">
      <c r="A48" s="67" t="s">
        <v>1352</v>
      </c>
      <c r="B48" s="826"/>
      <c r="C48" s="303" t="s">
        <v>1234</v>
      </c>
      <c r="D48" s="345"/>
      <c r="E48" s="346"/>
      <c r="F48" s="347"/>
      <c r="G48" s="346">
        <f t="shared" si="3"/>
        <v>0</v>
      </c>
      <c r="H48" s="346"/>
      <c r="I48" s="347"/>
      <c r="J48" s="346"/>
      <c r="K48" s="346">
        <f t="shared" si="1"/>
        <v>0</v>
      </c>
      <c r="L48" s="346">
        <f t="shared" si="2"/>
        <v>0</v>
      </c>
      <c r="M48" s="346"/>
      <c r="N48" s="346"/>
      <c r="O48" s="346"/>
      <c r="P48" s="346">
        <f t="shared" si="4"/>
        <v>0</v>
      </c>
    </row>
    <row r="49" spans="1:16" ht="13.5" customHeight="1">
      <c r="A49" s="67" t="s">
        <v>1353</v>
      </c>
      <c r="B49" s="826"/>
      <c r="C49" s="303" t="s">
        <v>1236</v>
      </c>
      <c r="D49" s="345"/>
      <c r="E49" s="346"/>
      <c r="F49" s="347"/>
      <c r="G49" s="346">
        <f t="shared" si="3"/>
        <v>0</v>
      </c>
      <c r="H49" s="346"/>
      <c r="I49" s="347"/>
      <c r="J49" s="346"/>
      <c r="K49" s="346">
        <f t="shared" si="1"/>
        <v>0</v>
      </c>
      <c r="L49" s="346">
        <f t="shared" si="2"/>
        <v>0</v>
      </c>
      <c r="M49" s="346"/>
      <c r="N49" s="346"/>
      <c r="O49" s="346"/>
      <c r="P49" s="346">
        <f t="shared" si="4"/>
        <v>0</v>
      </c>
    </row>
    <row r="50" spans="1:16" ht="13.5" customHeight="1">
      <c r="A50" s="67" t="s">
        <v>1354</v>
      </c>
      <c r="B50" s="826"/>
      <c r="C50" s="303" t="s">
        <v>1238</v>
      </c>
      <c r="D50" s="345"/>
      <c r="E50" s="346"/>
      <c r="F50" s="347"/>
      <c r="G50" s="346">
        <f t="shared" si="3"/>
        <v>0</v>
      </c>
      <c r="H50" s="346"/>
      <c r="I50" s="347"/>
      <c r="J50" s="346"/>
      <c r="K50" s="346">
        <f t="shared" si="1"/>
        <v>0</v>
      </c>
      <c r="L50" s="346">
        <f t="shared" si="2"/>
        <v>0</v>
      </c>
      <c r="M50" s="346"/>
      <c r="N50" s="346"/>
      <c r="O50" s="346"/>
      <c r="P50" s="346">
        <f t="shared" si="4"/>
        <v>0</v>
      </c>
    </row>
    <row r="51" spans="1:16" ht="13.5" customHeight="1">
      <c r="A51" s="67" t="s">
        <v>1355</v>
      </c>
      <c r="B51" s="826"/>
      <c r="C51" s="303" t="s">
        <v>1240</v>
      </c>
      <c r="D51" s="345"/>
      <c r="E51" s="346"/>
      <c r="F51" s="347"/>
      <c r="G51" s="346">
        <f t="shared" si="3"/>
        <v>0</v>
      </c>
      <c r="H51" s="346"/>
      <c r="I51" s="347"/>
      <c r="J51" s="346"/>
      <c r="K51" s="346">
        <f t="shared" si="1"/>
        <v>0</v>
      </c>
      <c r="L51" s="346">
        <f t="shared" si="2"/>
        <v>0</v>
      </c>
      <c r="M51" s="346"/>
      <c r="N51" s="346"/>
      <c r="O51" s="346"/>
      <c r="P51" s="346">
        <f t="shared" si="4"/>
        <v>0</v>
      </c>
    </row>
    <row r="52" spans="1:16" ht="13.5" customHeight="1">
      <c r="A52" s="67" t="s">
        <v>1356</v>
      </c>
      <c r="B52" s="826"/>
      <c r="C52" s="303" t="s">
        <v>1242</v>
      </c>
      <c r="D52" s="345"/>
      <c r="E52" s="346"/>
      <c r="F52" s="347"/>
      <c r="G52" s="346">
        <f t="shared" si="3"/>
        <v>0</v>
      </c>
      <c r="H52" s="346"/>
      <c r="I52" s="347"/>
      <c r="J52" s="346"/>
      <c r="K52" s="346">
        <f t="shared" si="1"/>
        <v>0</v>
      </c>
      <c r="L52" s="346">
        <f t="shared" si="2"/>
        <v>0</v>
      </c>
      <c r="M52" s="346"/>
      <c r="N52" s="346"/>
      <c r="O52" s="346"/>
      <c r="P52" s="346">
        <f t="shared" si="4"/>
        <v>0</v>
      </c>
    </row>
    <row r="53" spans="1:16" ht="13.5" customHeight="1">
      <c r="A53" s="67" t="s">
        <v>1357</v>
      </c>
      <c r="B53" s="826"/>
      <c r="C53" s="303" t="s">
        <v>1244</v>
      </c>
      <c r="D53" s="345"/>
      <c r="E53" s="346"/>
      <c r="F53" s="347"/>
      <c r="G53" s="346">
        <f t="shared" si="3"/>
        <v>0</v>
      </c>
      <c r="H53" s="346"/>
      <c r="I53" s="347"/>
      <c r="J53" s="346"/>
      <c r="K53" s="346">
        <f t="shared" si="1"/>
        <v>0</v>
      </c>
      <c r="L53" s="346">
        <f t="shared" si="2"/>
        <v>0</v>
      </c>
      <c r="M53" s="346"/>
      <c r="N53" s="346"/>
      <c r="O53" s="346"/>
      <c r="P53" s="346">
        <f t="shared" si="4"/>
        <v>0</v>
      </c>
    </row>
    <row r="54" spans="1:16">
      <c r="A54" s="67" t="s">
        <v>559</v>
      </c>
      <c r="B54" s="841"/>
      <c r="C54" s="67" t="s">
        <v>581</v>
      </c>
      <c r="D54" s="345">
        <f>SUM(D34:D53)</f>
        <v>0</v>
      </c>
      <c r="E54" s="346">
        <f>SUM(E34:E53)</f>
        <v>0</v>
      </c>
      <c r="F54" s="348"/>
      <c r="G54" s="346">
        <f t="shared" si="3"/>
        <v>0</v>
      </c>
      <c r="H54" s="346">
        <f>SUM(H34:H53)</f>
        <v>0</v>
      </c>
      <c r="I54" s="348"/>
      <c r="J54" s="345">
        <f>SUM(J34:J53)</f>
        <v>0</v>
      </c>
      <c r="K54" s="346">
        <f t="shared" si="1"/>
        <v>0</v>
      </c>
      <c r="L54" s="346">
        <f t="shared" si="2"/>
        <v>0</v>
      </c>
      <c r="M54" s="345">
        <f>SUM(M34:M53)</f>
        <v>0</v>
      </c>
      <c r="N54" s="345">
        <f>SUM(N34:N53)</f>
        <v>0</v>
      </c>
      <c r="O54" s="345">
        <f>SUM(O34:O53)</f>
        <v>0</v>
      </c>
      <c r="P54" s="346">
        <f t="shared" si="4"/>
        <v>0</v>
      </c>
    </row>
    <row r="55" spans="1:16" ht="13.5" customHeight="1">
      <c r="A55" s="67" t="s">
        <v>112</v>
      </c>
      <c r="B55" s="821" t="s">
        <v>1358</v>
      </c>
      <c r="C55" s="303" t="s">
        <v>1211</v>
      </c>
      <c r="D55" s="345"/>
      <c r="E55" s="346">
        <f t="shared" ref="E55:F70" si="5">E13+E34</f>
        <v>0</v>
      </c>
      <c r="F55" s="346">
        <f t="shared" si="5"/>
        <v>0</v>
      </c>
      <c r="G55" s="346">
        <f t="shared" si="3"/>
        <v>0</v>
      </c>
      <c r="H55" s="346">
        <f t="shared" ref="H55:J70" si="6">H13+H34</f>
        <v>0</v>
      </c>
      <c r="I55" s="346">
        <f t="shared" si="6"/>
        <v>0</v>
      </c>
      <c r="J55" s="346">
        <f t="shared" si="6"/>
        <v>0</v>
      </c>
      <c r="K55" s="346">
        <f t="shared" si="1"/>
        <v>0</v>
      </c>
      <c r="L55" s="346">
        <f t="shared" si="2"/>
        <v>0</v>
      </c>
      <c r="M55" s="346">
        <f t="shared" ref="M55:O70" si="7">M13+M34</f>
        <v>0</v>
      </c>
      <c r="N55" s="346">
        <f t="shared" si="7"/>
        <v>0</v>
      </c>
      <c r="O55" s="346">
        <f t="shared" si="7"/>
        <v>0</v>
      </c>
      <c r="P55" s="346">
        <f t="shared" si="4"/>
        <v>0</v>
      </c>
    </row>
    <row r="56" spans="1:16">
      <c r="A56" s="67" t="s">
        <v>115</v>
      </c>
      <c r="B56" s="826"/>
      <c r="C56" s="303" t="s">
        <v>1212</v>
      </c>
      <c r="D56" s="345"/>
      <c r="E56" s="346">
        <f t="shared" si="5"/>
        <v>0</v>
      </c>
      <c r="F56" s="346">
        <f t="shared" si="5"/>
        <v>0</v>
      </c>
      <c r="G56" s="346">
        <f t="shared" si="3"/>
        <v>0</v>
      </c>
      <c r="H56" s="346">
        <f t="shared" si="6"/>
        <v>0</v>
      </c>
      <c r="I56" s="346">
        <f t="shared" si="6"/>
        <v>0</v>
      </c>
      <c r="J56" s="346">
        <f t="shared" si="6"/>
        <v>0</v>
      </c>
      <c r="K56" s="346">
        <f t="shared" si="1"/>
        <v>0</v>
      </c>
      <c r="L56" s="346">
        <f t="shared" si="2"/>
        <v>0</v>
      </c>
      <c r="M56" s="346">
        <f t="shared" si="7"/>
        <v>0</v>
      </c>
      <c r="N56" s="346">
        <f t="shared" si="7"/>
        <v>0</v>
      </c>
      <c r="O56" s="346">
        <f t="shared" si="7"/>
        <v>0</v>
      </c>
      <c r="P56" s="346">
        <f t="shared" si="4"/>
        <v>0</v>
      </c>
    </row>
    <row r="57" spans="1:16">
      <c r="A57" s="67" t="s">
        <v>117</v>
      </c>
      <c r="B57" s="826"/>
      <c r="C57" s="303" t="s">
        <v>1213</v>
      </c>
      <c r="D57" s="345"/>
      <c r="E57" s="346">
        <f t="shared" si="5"/>
        <v>0</v>
      </c>
      <c r="F57" s="346">
        <f t="shared" si="5"/>
        <v>0</v>
      </c>
      <c r="G57" s="346">
        <f t="shared" si="3"/>
        <v>0</v>
      </c>
      <c r="H57" s="346">
        <f t="shared" si="6"/>
        <v>0</v>
      </c>
      <c r="I57" s="346">
        <f t="shared" si="6"/>
        <v>0</v>
      </c>
      <c r="J57" s="346">
        <f t="shared" si="6"/>
        <v>0</v>
      </c>
      <c r="K57" s="346">
        <f t="shared" si="1"/>
        <v>0</v>
      </c>
      <c r="L57" s="346">
        <f t="shared" si="2"/>
        <v>0</v>
      </c>
      <c r="M57" s="346">
        <f t="shared" si="7"/>
        <v>0</v>
      </c>
      <c r="N57" s="346">
        <f t="shared" si="7"/>
        <v>0</v>
      </c>
      <c r="O57" s="346">
        <f t="shared" si="7"/>
        <v>0</v>
      </c>
      <c r="P57" s="346">
        <f t="shared" si="4"/>
        <v>0</v>
      </c>
    </row>
    <row r="58" spans="1:16">
      <c r="A58" s="67" t="s">
        <v>119</v>
      </c>
      <c r="B58" s="826"/>
      <c r="C58" s="303" t="s">
        <v>1214</v>
      </c>
      <c r="D58" s="345"/>
      <c r="E58" s="346">
        <f t="shared" si="5"/>
        <v>0</v>
      </c>
      <c r="F58" s="346">
        <f t="shared" si="5"/>
        <v>0</v>
      </c>
      <c r="G58" s="346">
        <f t="shared" si="3"/>
        <v>0</v>
      </c>
      <c r="H58" s="346">
        <f t="shared" si="6"/>
        <v>0</v>
      </c>
      <c r="I58" s="346">
        <f t="shared" si="6"/>
        <v>0</v>
      </c>
      <c r="J58" s="346">
        <f t="shared" si="6"/>
        <v>0</v>
      </c>
      <c r="K58" s="346">
        <f t="shared" si="1"/>
        <v>0</v>
      </c>
      <c r="L58" s="346">
        <f t="shared" si="2"/>
        <v>0</v>
      </c>
      <c r="M58" s="346">
        <f t="shared" si="7"/>
        <v>0</v>
      </c>
      <c r="N58" s="346">
        <f t="shared" si="7"/>
        <v>0</v>
      </c>
      <c r="O58" s="346">
        <f t="shared" si="7"/>
        <v>0</v>
      </c>
      <c r="P58" s="346">
        <f t="shared" si="4"/>
        <v>0</v>
      </c>
    </row>
    <row r="59" spans="1:16">
      <c r="A59" s="67" t="s">
        <v>121</v>
      </c>
      <c r="B59" s="826"/>
      <c r="C59" s="303" t="s">
        <v>1215</v>
      </c>
      <c r="D59" s="345"/>
      <c r="E59" s="346">
        <f t="shared" si="5"/>
        <v>0</v>
      </c>
      <c r="F59" s="346">
        <f t="shared" si="5"/>
        <v>0</v>
      </c>
      <c r="G59" s="346">
        <f t="shared" si="3"/>
        <v>0</v>
      </c>
      <c r="H59" s="346">
        <f t="shared" si="6"/>
        <v>0</v>
      </c>
      <c r="I59" s="346">
        <f t="shared" si="6"/>
        <v>0</v>
      </c>
      <c r="J59" s="346">
        <f t="shared" si="6"/>
        <v>0</v>
      </c>
      <c r="K59" s="346">
        <f t="shared" si="1"/>
        <v>0</v>
      </c>
      <c r="L59" s="346">
        <f t="shared" si="2"/>
        <v>0</v>
      </c>
      <c r="M59" s="346">
        <f t="shared" si="7"/>
        <v>0</v>
      </c>
      <c r="N59" s="346">
        <f t="shared" si="7"/>
        <v>0</v>
      </c>
      <c r="O59" s="346">
        <f t="shared" si="7"/>
        <v>0</v>
      </c>
      <c r="P59" s="346">
        <f t="shared" si="4"/>
        <v>0</v>
      </c>
    </row>
    <row r="60" spans="1:16">
      <c r="A60" s="67" t="s">
        <v>123</v>
      </c>
      <c r="B60" s="826"/>
      <c r="C60" s="303" t="s">
        <v>1216</v>
      </c>
      <c r="D60" s="345"/>
      <c r="E60" s="346">
        <f t="shared" si="5"/>
        <v>0</v>
      </c>
      <c r="F60" s="346">
        <f t="shared" si="5"/>
        <v>0</v>
      </c>
      <c r="G60" s="346">
        <f t="shared" si="3"/>
        <v>0</v>
      </c>
      <c r="H60" s="346">
        <f t="shared" si="6"/>
        <v>0</v>
      </c>
      <c r="I60" s="346">
        <f t="shared" si="6"/>
        <v>0</v>
      </c>
      <c r="J60" s="346">
        <f t="shared" si="6"/>
        <v>0</v>
      </c>
      <c r="K60" s="346">
        <f t="shared" si="1"/>
        <v>0</v>
      </c>
      <c r="L60" s="346">
        <f t="shared" si="2"/>
        <v>0</v>
      </c>
      <c r="M60" s="346">
        <f t="shared" si="7"/>
        <v>0</v>
      </c>
      <c r="N60" s="346">
        <f t="shared" si="7"/>
        <v>0</v>
      </c>
      <c r="O60" s="346">
        <f t="shared" si="7"/>
        <v>0</v>
      </c>
      <c r="P60" s="346">
        <f t="shared" si="4"/>
        <v>0</v>
      </c>
    </row>
    <row r="61" spans="1:16">
      <c r="A61" s="67" t="s">
        <v>125</v>
      </c>
      <c r="B61" s="826"/>
      <c r="C61" s="303" t="s">
        <v>1218</v>
      </c>
      <c r="D61" s="345"/>
      <c r="E61" s="346">
        <f t="shared" si="5"/>
        <v>0</v>
      </c>
      <c r="F61" s="346">
        <f t="shared" si="5"/>
        <v>0</v>
      </c>
      <c r="G61" s="346">
        <f t="shared" si="3"/>
        <v>0</v>
      </c>
      <c r="H61" s="346">
        <f t="shared" si="6"/>
        <v>0</v>
      </c>
      <c r="I61" s="346">
        <f t="shared" si="6"/>
        <v>0</v>
      </c>
      <c r="J61" s="346">
        <f t="shared" si="6"/>
        <v>0</v>
      </c>
      <c r="K61" s="346">
        <f t="shared" si="1"/>
        <v>0</v>
      </c>
      <c r="L61" s="346">
        <f t="shared" si="2"/>
        <v>0</v>
      </c>
      <c r="M61" s="346">
        <f t="shared" si="7"/>
        <v>0</v>
      </c>
      <c r="N61" s="346">
        <f t="shared" si="7"/>
        <v>0</v>
      </c>
      <c r="O61" s="346">
        <f t="shared" si="7"/>
        <v>0</v>
      </c>
      <c r="P61" s="346">
        <f t="shared" si="4"/>
        <v>0</v>
      </c>
    </row>
    <row r="62" spans="1:16">
      <c r="A62" s="67" t="s">
        <v>127</v>
      </c>
      <c r="B62" s="826"/>
      <c r="C62" s="303" t="s">
        <v>1220</v>
      </c>
      <c r="D62" s="345"/>
      <c r="E62" s="346">
        <f t="shared" si="5"/>
        <v>0</v>
      </c>
      <c r="F62" s="346">
        <f t="shared" si="5"/>
        <v>0</v>
      </c>
      <c r="G62" s="346">
        <f t="shared" si="3"/>
        <v>0</v>
      </c>
      <c r="H62" s="346">
        <f t="shared" si="6"/>
        <v>0</v>
      </c>
      <c r="I62" s="346">
        <f t="shared" si="6"/>
        <v>0</v>
      </c>
      <c r="J62" s="346">
        <f t="shared" si="6"/>
        <v>0</v>
      </c>
      <c r="K62" s="346">
        <f t="shared" si="1"/>
        <v>0</v>
      </c>
      <c r="L62" s="346">
        <f t="shared" si="2"/>
        <v>0</v>
      </c>
      <c r="M62" s="346">
        <f t="shared" si="7"/>
        <v>0</v>
      </c>
      <c r="N62" s="346">
        <f t="shared" si="7"/>
        <v>0</v>
      </c>
      <c r="O62" s="346">
        <f t="shared" si="7"/>
        <v>0</v>
      </c>
      <c r="P62" s="346">
        <f t="shared" si="4"/>
        <v>0</v>
      </c>
    </row>
    <row r="63" spans="1:16">
      <c r="A63" s="67" t="s">
        <v>1359</v>
      </c>
      <c r="B63" s="826"/>
      <c r="C63" s="303" t="s">
        <v>1222</v>
      </c>
      <c r="D63" s="345"/>
      <c r="E63" s="346">
        <f t="shared" si="5"/>
        <v>0</v>
      </c>
      <c r="F63" s="346">
        <f t="shared" si="5"/>
        <v>0</v>
      </c>
      <c r="G63" s="346">
        <f t="shared" si="3"/>
        <v>0</v>
      </c>
      <c r="H63" s="346">
        <f t="shared" si="6"/>
        <v>0</v>
      </c>
      <c r="I63" s="346">
        <f t="shared" si="6"/>
        <v>0</v>
      </c>
      <c r="J63" s="346">
        <f t="shared" si="6"/>
        <v>0</v>
      </c>
      <c r="K63" s="346">
        <f t="shared" si="1"/>
        <v>0</v>
      </c>
      <c r="L63" s="346">
        <f t="shared" si="2"/>
        <v>0</v>
      </c>
      <c r="M63" s="346">
        <f t="shared" si="7"/>
        <v>0</v>
      </c>
      <c r="N63" s="346">
        <f t="shared" si="7"/>
        <v>0</v>
      </c>
      <c r="O63" s="346">
        <f t="shared" si="7"/>
        <v>0</v>
      </c>
      <c r="P63" s="346">
        <f t="shared" si="4"/>
        <v>0</v>
      </c>
    </row>
    <row r="64" spans="1:16">
      <c r="A64" s="67" t="s">
        <v>1360</v>
      </c>
      <c r="B64" s="826"/>
      <c r="C64" s="303" t="s">
        <v>1224</v>
      </c>
      <c r="D64" s="345"/>
      <c r="E64" s="346">
        <f t="shared" si="5"/>
        <v>0</v>
      </c>
      <c r="F64" s="346">
        <f t="shared" si="5"/>
        <v>0</v>
      </c>
      <c r="G64" s="346">
        <f t="shared" si="3"/>
        <v>0</v>
      </c>
      <c r="H64" s="346">
        <f t="shared" si="6"/>
        <v>0</v>
      </c>
      <c r="I64" s="346">
        <f t="shared" si="6"/>
        <v>0</v>
      </c>
      <c r="J64" s="346">
        <f t="shared" si="6"/>
        <v>0</v>
      </c>
      <c r="K64" s="346">
        <f t="shared" si="1"/>
        <v>0</v>
      </c>
      <c r="L64" s="346">
        <f t="shared" si="2"/>
        <v>0</v>
      </c>
      <c r="M64" s="346">
        <f t="shared" si="7"/>
        <v>0</v>
      </c>
      <c r="N64" s="346">
        <f t="shared" si="7"/>
        <v>0</v>
      </c>
      <c r="O64" s="346">
        <f t="shared" si="7"/>
        <v>0</v>
      </c>
      <c r="P64" s="346">
        <f t="shared" si="4"/>
        <v>0</v>
      </c>
    </row>
    <row r="65" spans="1:16" ht="13.5" customHeight="1">
      <c r="A65" s="67" t="s">
        <v>1361</v>
      </c>
      <c r="B65" s="826"/>
      <c r="C65" s="303" t="s">
        <v>1226</v>
      </c>
      <c r="D65" s="345"/>
      <c r="E65" s="346">
        <f t="shared" si="5"/>
        <v>0</v>
      </c>
      <c r="F65" s="346">
        <f t="shared" si="5"/>
        <v>0</v>
      </c>
      <c r="G65" s="346">
        <f t="shared" si="3"/>
        <v>0</v>
      </c>
      <c r="H65" s="346">
        <f t="shared" si="6"/>
        <v>0</v>
      </c>
      <c r="I65" s="346">
        <f t="shared" si="6"/>
        <v>0</v>
      </c>
      <c r="J65" s="346">
        <f t="shared" si="6"/>
        <v>0</v>
      </c>
      <c r="K65" s="346">
        <f t="shared" si="1"/>
        <v>0</v>
      </c>
      <c r="L65" s="346">
        <f t="shared" si="2"/>
        <v>0</v>
      </c>
      <c r="M65" s="346">
        <f t="shared" si="7"/>
        <v>0</v>
      </c>
      <c r="N65" s="346">
        <f t="shared" si="7"/>
        <v>0</v>
      </c>
      <c r="O65" s="346">
        <f t="shared" si="7"/>
        <v>0</v>
      </c>
      <c r="P65" s="346">
        <f t="shared" si="4"/>
        <v>0</v>
      </c>
    </row>
    <row r="66" spans="1:16" ht="13.5" customHeight="1">
      <c r="A66" s="67" t="s">
        <v>1362</v>
      </c>
      <c r="B66" s="826"/>
      <c r="C66" s="303" t="s">
        <v>1228</v>
      </c>
      <c r="D66" s="345"/>
      <c r="E66" s="346">
        <f t="shared" si="5"/>
        <v>0</v>
      </c>
      <c r="F66" s="346">
        <f t="shared" si="5"/>
        <v>0</v>
      </c>
      <c r="G66" s="346">
        <f t="shared" si="3"/>
        <v>0</v>
      </c>
      <c r="H66" s="346">
        <f t="shared" si="6"/>
        <v>0</v>
      </c>
      <c r="I66" s="346">
        <f t="shared" si="6"/>
        <v>0</v>
      </c>
      <c r="J66" s="346">
        <f t="shared" si="6"/>
        <v>0</v>
      </c>
      <c r="K66" s="346">
        <f t="shared" si="1"/>
        <v>0</v>
      </c>
      <c r="L66" s="346">
        <f t="shared" si="2"/>
        <v>0</v>
      </c>
      <c r="M66" s="346">
        <f t="shared" si="7"/>
        <v>0</v>
      </c>
      <c r="N66" s="346">
        <f t="shared" si="7"/>
        <v>0</v>
      </c>
      <c r="O66" s="346">
        <f t="shared" si="7"/>
        <v>0</v>
      </c>
      <c r="P66" s="346">
        <f t="shared" si="4"/>
        <v>0</v>
      </c>
    </row>
    <row r="67" spans="1:16" ht="13.5" customHeight="1">
      <c r="A67" s="67" t="s">
        <v>1363</v>
      </c>
      <c r="B67" s="826"/>
      <c r="C67" s="303" t="s">
        <v>1230</v>
      </c>
      <c r="D67" s="345"/>
      <c r="E67" s="346">
        <f t="shared" si="5"/>
        <v>0</v>
      </c>
      <c r="F67" s="346">
        <f t="shared" si="5"/>
        <v>0</v>
      </c>
      <c r="G67" s="346">
        <f t="shared" si="3"/>
        <v>0</v>
      </c>
      <c r="H67" s="346">
        <f t="shared" si="6"/>
        <v>0</v>
      </c>
      <c r="I67" s="346">
        <f t="shared" si="6"/>
        <v>0</v>
      </c>
      <c r="J67" s="346">
        <f t="shared" si="6"/>
        <v>0</v>
      </c>
      <c r="K67" s="346">
        <f t="shared" si="1"/>
        <v>0</v>
      </c>
      <c r="L67" s="346">
        <f t="shared" si="2"/>
        <v>0</v>
      </c>
      <c r="M67" s="346">
        <f t="shared" si="7"/>
        <v>0</v>
      </c>
      <c r="N67" s="346">
        <f t="shared" si="7"/>
        <v>0</v>
      </c>
      <c r="O67" s="346">
        <f t="shared" si="7"/>
        <v>0</v>
      </c>
      <c r="P67" s="346">
        <f t="shared" si="4"/>
        <v>0</v>
      </c>
    </row>
    <row r="68" spans="1:16" ht="13.5" customHeight="1">
      <c r="A68" s="67" t="s">
        <v>1364</v>
      </c>
      <c r="B68" s="826"/>
      <c r="C68" s="303" t="s">
        <v>1232</v>
      </c>
      <c r="D68" s="345"/>
      <c r="E68" s="346">
        <f t="shared" si="5"/>
        <v>0</v>
      </c>
      <c r="F68" s="346">
        <f t="shared" si="5"/>
        <v>0</v>
      </c>
      <c r="G68" s="346">
        <f t="shared" si="3"/>
        <v>0</v>
      </c>
      <c r="H68" s="346">
        <f t="shared" si="6"/>
        <v>0</v>
      </c>
      <c r="I68" s="346">
        <f t="shared" si="6"/>
        <v>0</v>
      </c>
      <c r="J68" s="346">
        <f t="shared" si="6"/>
        <v>0</v>
      </c>
      <c r="K68" s="346">
        <f t="shared" si="1"/>
        <v>0</v>
      </c>
      <c r="L68" s="346">
        <f t="shared" si="2"/>
        <v>0</v>
      </c>
      <c r="M68" s="346">
        <f t="shared" si="7"/>
        <v>0</v>
      </c>
      <c r="N68" s="346">
        <f t="shared" si="7"/>
        <v>0</v>
      </c>
      <c r="O68" s="346">
        <f t="shared" si="7"/>
        <v>0</v>
      </c>
      <c r="P68" s="346">
        <f t="shared" si="4"/>
        <v>0</v>
      </c>
    </row>
    <row r="69" spans="1:16" ht="13.5" customHeight="1">
      <c r="A69" s="67" t="s">
        <v>1365</v>
      </c>
      <c r="B69" s="826"/>
      <c r="C69" s="303" t="s">
        <v>1234</v>
      </c>
      <c r="D69" s="345"/>
      <c r="E69" s="346">
        <f t="shared" si="5"/>
        <v>0</v>
      </c>
      <c r="F69" s="346">
        <f t="shared" si="5"/>
        <v>0</v>
      </c>
      <c r="G69" s="346">
        <f t="shared" si="3"/>
        <v>0</v>
      </c>
      <c r="H69" s="346">
        <f t="shared" si="6"/>
        <v>0</v>
      </c>
      <c r="I69" s="346">
        <f t="shared" si="6"/>
        <v>0</v>
      </c>
      <c r="J69" s="346">
        <f t="shared" si="6"/>
        <v>0</v>
      </c>
      <c r="K69" s="346">
        <f t="shared" si="1"/>
        <v>0</v>
      </c>
      <c r="L69" s="346">
        <f t="shared" si="2"/>
        <v>0</v>
      </c>
      <c r="M69" s="346">
        <f t="shared" si="7"/>
        <v>0</v>
      </c>
      <c r="N69" s="346">
        <f t="shared" si="7"/>
        <v>0</v>
      </c>
      <c r="O69" s="346">
        <f t="shared" si="7"/>
        <v>0</v>
      </c>
      <c r="P69" s="346">
        <f t="shared" si="4"/>
        <v>0</v>
      </c>
    </row>
    <row r="70" spans="1:16" ht="13.5" customHeight="1">
      <c r="A70" s="67" t="s">
        <v>1366</v>
      </c>
      <c r="B70" s="826"/>
      <c r="C70" s="303" t="s">
        <v>1236</v>
      </c>
      <c r="D70" s="345"/>
      <c r="E70" s="346">
        <f t="shared" si="5"/>
        <v>0</v>
      </c>
      <c r="F70" s="346">
        <f t="shared" si="5"/>
        <v>0</v>
      </c>
      <c r="G70" s="346">
        <f t="shared" si="3"/>
        <v>0</v>
      </c>
      <c r="H70" s="346">
        <f t="shared" si="6"/>
        <v>0</v>
      </c>
      <c r="I70" s="346">
        <f t="shared" si="6"/>
        <v>0</v>
      </c>
      <c r="J70" s="346">
        <f t="shared" si="6"/>
        <v>0</v>
      </c>
      <c r="K70" s="346">
        <f t="shared" si="1"/>
        <v>0</v>
      </c>
      <c r="L70" s="346">
        <f t="shared" si="2"/>
        <v>0</v>
      </c>
      <c r="M70" s="346">
        <f t="shared" si="7"/>
        <v>0</v>
      </c>
      <c r="N70" s="346">
        <f t="shared" si="7"/>
        <v>0</v>
      </c>
      <c r="O70" s="346">
        <f t="shared" si="7"/>
        <v>0</v>
      </c>
      <c r="P70" s="346">
        <f t="shared" si="4"/>
        <v>0</v>
      </c>
    </row>
    <row r="71" spans="1:16" ht="13.5" customHeight="1">
      <c r="A71" s="67" t="s">
        <v>1367</v>
      </c>
      <c r="B71" s="826"/>
      <c r="C71" s="303" t="s">
        <v>1238</v>
      </c>
      <c r="D71" s="345"/>
      <c r="E71" s="346">
        <f t="shared" ref="E71:F74" si="8">E29+E50</f>
        <v>0</v>
      </c>
      <c r="F71" s="346">
        <f t="shared" si="8"/>
        <v>0</v>
      </c>
      <c r="G71" s="346">
        <f t="shared" si="3"/>
        <v>0</v>
      </c>
      <c r="H71" s="346">
        <f t="shared" ref="H71:J74" si="9">H29+H50</f>
        <v>0</v>
      </c>
      <c r="I71" s="346">
        <f t="shared" si="9"/>
        <v>0</v>
      </c>
      <c r="J71" s="346">
        <f t="shared" si="9"/>
        <v>0</v>
      </c>
      <c r="K71" s="346">
        <f t="shared" si="1"/>
        <v>0</v>
      </c>
      <c r="L71" s="346">
        <f t="shared" si="2"/>
        <v>0</v>
      </c>
      <c r="M71" s="346">
        <f t="shared" ref="M71:O74" si="10">M29+M50</f>
        <v>0</v>
      </c>
      <c r="N71" s="346">
        <f t="shared" si="10"/>
        <v>0</v>
      </c>
      <c r="O71" s="346">
        <f t="shared" si="10"/>
        <v>0</v>
      </c>
      <c r="P71" s="346">
        <f t="shared" si="4"/>
        <v>0</v>
      </c>
    </row>
    <row r="72" spans="1:16" ht="13.5" customHeight="1">
      <c r="A72" s="67" t="s">
        <v>1368</v>
      </c>
      <c r="B72" s="826"/>
      <c r="C72" s="303" t="s">
        <v>1240</v>
      </c>
      <c r="D72" s="345"/>
      <c r="E72" s="346">
        <f t="shared" si="8"/>
        <v>0</v>
      </c>
      <c r="F72" s="346">
        <f t="shared" si="8"/>
        <v>0</v>
      </c>
      <c r="G72" s="346">
        <f t="shared" si="3"/>
        <v>0</v>
      </c>
      <c r="H72" s="346">
        <f t="shared" si="9"/>
        <v>0</v>
      </c>
      <c r="I72" s="346">
        <f t="shared" si="9"/>
        <v>0</v>
      </c>
      <c r="J72" s="346">
        <f t="shared" si="9"/>
        <v>0</v>
      </c>
      <c r="K72" s="346">
        <f t="shared" si="1"/>
        <v>0</v>
      </c>
      <c r="L72" s="346">
        <f t="shared" si="2"/>
        <v>0</v>
      </c>
      <c r="M72" s="346">
        <f t="shared" si="10"/>
        <v>0</v>
      </c>
      <c r="N72" s="346">
        <f t="shared" si="10"/>
        <v>0</v>
      </c>
      <c r="O72" s="346">
        <f t="shared" si="10"/>
        <v>0</v>
      </c>
      <c r="P72" s="346">
        <f t="shared" si="4"/>
        <v>0</v>
      </c>
    </row>
    <row r="73" spans="1:16" ht="13.5" customHeight="1">
      <c r="A73" s="67" t="s">
        <v>1369</v>
      </c>
      <c r="B73" s="826"/>
      <c r="C73" s="303" t="s">
        <v>1242</v>
      </c>
      <c r="D73" s="345"/>
      <c r="E73" s="346">
        <f t="shared" si="8"/>
        <v>0</v>
      </c>
      <c r="F73" s="346">
        <f t="shared" si="8"/>
        <v>0</v>
      </c>
      <c r="G73" s="346">
        <f t="shared" si="3"/>
        <v>0</v>
      </c>
      <c r="H73" s="346">
        <f t="shared" si="9"/>
        <v>0</v>
      </c>
      <c r="I73" s="346">
        <f t="shared" si="9"/>
        <v>0</v>
      </c>
      <c r="J73" s="346">
        <f t="shared" si="9"/>
        <v>0</v>
      </c>
      <c r="K73" s="346">
        <f t="shared" si="1"/>
        <v>0</v>
      </c>
      <c r="L73" s="346">
        <f t="shared" si="2"/>
        <v>0</v>
      </c>
      <c r="M73" s="346">
        <f t="shared" si="10"/>
        <v>0</v>
      </c>
      <c r="N73" s="346">
        <f t="shared" si="10"/>
        <v>0</v>
      </c>
      <c r="O73" s="346">
        <f t="shared" si="10"/>
        <v>0</v>
      </c>
      <c r="P73" s="346">
        <f t="shared" si="4"/>
        <v>0</v>
      </c>
    </row>
    <row r="74" spans="1:16" ht="13.5" customHeight="1">
      <c r="A74" s="67" t="s">
        <v>1370</v>
      </c>
      <c r="B74" s="826"/>
      <c r="C74" s="303" t="s">
        <v>1244</v>
      </c>
      <c r="D74" s="345"/>
      <c r="E74" s="346">
        <f t="shared" si="8"/>
        <v>0</v>
      </c>
      <c r="F74" s="346">
        <f t="shared" si="8"/>
        <v>0</v>
      </c>
      <c r="G74" s="346">
        <f t="shared" si="3"/>
        <v>0</v>
      </c>
      <c r="H74" s="346">
        <f t="shared" si="9"/>
        <v>0</v>
      </c>
      <c r="I74" s="346">
        <f t="shared" si="9"/>
        <v>0</v>
      </c>
      <c r="J74" s="346">
        <f t="shared" si="9"/>
        <v>0</v>
      </c>
      <c r="K74" s="346">
        <f t="shared" si="1"/>
        <v>0</v>
      </c>
      <c r="L74" s="346">
        <f t="shared" si="2"/>
        <v>0</v>
      </c>
      <c r="M74" s="346">
        <f t="shared" si="10"/>
        <v>0</v>
      </c>
      <c r="N74" s="346">
        <f t="shared" si="10"/>
        <v>0</v>
      </c>
      <c r="O74" s="346">
        <f t="shared" si="10"/>
        <v>0</v>
      </c>
      <c r="P74" s="346">
        <f t="shared" si="4"/>
        <v>0</v>
      </c>
    </row>
    <row r="75" spans="1:16">
      <c r="A75" s="67" t="s">
        <v>560</v>
      </c>
      <c r="B75" s="841"/>
      <c r="C75" s="67" t="s">
        <v>581</v>
      </c>
      <c r="D75" s="345">
        <f>SUM(D55:D74)</f>
        <v>0</v>
      </c>
      <c r="E75" s="345">
        <f>SUM(E55:E74)</f>
        <v>0</v>
      </c>
      <c r="F75" s="345">
        <f>SUM(F55:F74)</f>
        <v>0</v>
      </c>
      <c r="G75" s="346">
        <f t="shared" si="3"/>
        <v>0</v>
      </c>
      <c r="H75" s="345">
        <f>SUM(H55:H74)</f>
        <v>0</v>
      </c>
      <c r="I75" s="345">
        <f>SUM(I55:I74)</f>
        <v>0</v>
      </c>
      <c r="J75" s="345">
        <f>SUM(J55:J74)</f>
        <v>0</v>
      </c>
      <c r="K75" s="346">
        <f t="shared" si="1"/>
        <v>0</v>
      </c>
      <c r="L75" s="346">
        <f t="shared" si="2"/>
        <v>0</v>
      </c>
      <c r="M75" s="345">
        <f>SUM(M55:M74)</f>
        <v>0</v>
      </c>
      <c r="N75" s="345">
        <f>SUM(N55:N74)</f>
        <v>0</v>
      </c>
      <c r="O75" s="345">
        <f>SUM(O55:O74)</f>
        <v>0</v>
      </c>
      <c r="P75" s="346">
        <f t="shared" si="4"/>
        <v>0</v>
      </c>
    </row>
    <row r="77" spans="1:16">
      <c r="A77" s="130" t="s">
        <v>283</v>
      </c>
    </row>
    <row r="78" spans="1:16">
      <c r="A78" s="5"/>
    </row>
    <row r="79" spans="1:16">
      <c r="A79" s="130" t="s">
        <v>59</v>
      </c>
    </row>
    <row r="81" spans="1:14" s="30" customFormat="1">
      <c r="A81" s="138" t="s">
        <v>1371</v>
      </c>
      <c r="I81" s="282"/>
      <c r="J81" s="282"/>
      <c r="K81" s="282"/>
    </row>
    <row r="83" spans="1:14">
      <c r="A83" s="7" t="s">
        <v>1372</v>
      </c>
    </row>
    <row r="85" spans="1:14">
      <c r="A85" s="138" t="s">
        <v>1373</v>
      </c>
      <c r="B85" s="138"/>
      <c r="C85" s="138"/>
      <c r="D85" s="138"/>
      <c r="E85" s="138"/>
      <c r="F85" s="138"/>
      <c r="G85" s="138"/>
      <c r="H85" s="138"/>
      <c r="I85" s="138"/>
      <c r="J85" s="138"/>
      <c r="K85" s="138"/>
      <c r="L85" s="138"/>
      <c r="M85" s="138"/>
      <c r="N85" s="138"/>
    </row>
    <row r="86" spans="1:14">
      <c r="A86" s="138"/>
      <c r="B86" s="138"/>
      <c r="C86" s="138"/>
      <c r="D86" s="138"/>
      <c r="E86" s="138"/>
      <c r="F86" s="138"/>
      <c r="G86" s="138"/>
      <c r="H86" s="138"/>
      <c r="I86" s="138"/>
      <c r="J86" s="138"/>
      <c r="K86" s="138"/>
      <c r="L86" s="138"/>
      <c r="M86" s="138"/>
      <c r="N86" s="138"/>
    </row>
    <row r="87" spans="1:14">
      <c r="A87" s="138" t="s">
        <v>1374</v>
      </c>
      <c r="B87" s="149"/>
      <c r="C87" s="138"/>
      <c r="D87" s="138"/>
      <c r="E87" s="138"/>
      <c r="F87" s="138"/>
      <c r="G87" s="138"/>
      <c r="H87" s="138"/>
      <c r="I87" s="138"/>
      <c r="J87" s="138"/>
      <c r="K87" s="138"/>
      <c r="L87" s="138"/>
      <c r="M87" s="138"/>
      <c r="N87" s="138"/>
    </row>
    <row r="88" spans="1:14">
      <c r="A88" s="138" t="s">
        <v>1375</v>
      </c>
      <c r="B88" s="138"/>
      <c r="C88" s="138"/>
      <c r="D88" s="138"/>
      <c r="E88" s="138"/>
      <c r="F88" s="138"/>
      <c r="G88" s="138"/>
      <c r="H88" s="138"/>
      <c r="I88" s="138"/>
      <c r="J88" s="138"/>
      <c r="K88" s="138"/>
      <c r="L88" s="138"/>
      <c r="M88" s="138"/>
      <c r="N88" s="138"/>
    </row>
    <row r="89" spans="1:14">
      <c r="A89" s="138" t="s">
        <v>1376</v>
      </c>
      <c r="B89" s="138"/>
      <c r="C89" s="138"/>
      <c r="D89" s="138"/>
      <c r="E89" s="138"/>
      <c r="F89" s="138"/>
      <c r="G89" s="138"/>
      <c r="H89" s="138"/>
      <c r="I89" s="138"/>
      <c r="J89" s="138"/>
      <c r="K89" s="138"/>
      <c r="L89" s="138"/>
      <c r="M89" s="138"/>
      <c r="N89" s="138"/>
    </row>
    <row r="90" spans="1:14">
      <c r="A90" s="138" t="s">
        <v>1377</v>
      </c>
      <c r="B90" s="138"/>
      <c r="C90" s="138"/>
      <c r="D90" s="138"/>
      <c r="E90" s="138"/>
      <c r="F90" s="138"/>
      <c r="G90" s="138"/>
      <c r="H90" s="138"/>
      <c r="I90" s="138"/>
      <c r="J90" s="138"/>
      <c r="K90" s="138"/>
      <c r="L90" s="138"/>
      <c r="M90" s="138"/>
      <c r="N90" s="138"/>
    </row>
    <row r="91" spans="1:14">
      <c r="A91" s="138" t="s">
        <v>1378</v>
      </c>
      <c r="B91" s="138"/>
      <c r="C91" s="138"/>
      <c r="D91" s="138"/>
      <c r="E91" s="138"/>
      <c r="F91" s="138"/>
      <c r="G91" s="138"/>
      <c r="H91" s="138"/>
      <c r="I91" s="138"/>
      <c r="J91" s="138"/>
      <c r="K91" s="138"/>
      <c r="L91" s="138"/>
      <c r="M91" s="138"/>
      <c r="N91" s="138"/>
    </row>
    <row r="92" spans="1:14">
      <c r="A92" s="138" t="s">
        <v>1379</v>
      </c>
      <c r="B92" s="138"/>
      <c r="C92" s="138"/>
      <c r="D92" s="138"/>
      <c r="E92" s="138"/>
      <c r="F92" s="138"/>
      <c r="G92" s="138"/>
      <c r="H92" s="138"/>
      <c r="I92" s="138"/>
      <c r="J92" s="138"/>
      <c r="K92" s="138"/>
      <c r="L92" s="138"/>
      <c r="M92" s="138"/>
      <c r="N92" s="138"/>
    </row>
    <row r="93" spans="1:14">
      <c r="A93" s="138" t="s">
        <v>1380</v>
      </c>
      <c r="B93" s="138"/>
      <c r="C93" s="138"/>
      <c r="D93" s="138"/>
      <c r="E93" s="138"/>
      <c r="F93" s="138"/>
      <c r="G93" s="138"/>
      <c r="H93" s="138"/>
      <c r="I93" s="138"/>
      <c r="J93" s="138"/>
      <c r="K93" s="138"/>
      <c r="L93" s="138"/>
      <c r="M93" s="138"/>
      <c r="N93" s="138"/>
    </row>
    <row r="94" spans="1:14">
      <c r="A94" s="138" t="s">
        <v>1381</v>
      </c>
      <c r="B94" s="138"/>
      <c r="C94" s="138"/>
      <c r="D94" s="138"/>
      <c r="E94" s="138"/>
      <c r="F94" s="138"/>
      <c r="G94" s="138"/>
      <c r="H94" s="138"/>
      <c r="I94" s="138"/>
      <c r="J94" s="138"/>
      <c r="K94" s="138"/>
      <c r="L94" s="138"/>
      <c r="M94" s="138"/>
      <c r="N94" s="138"/>
    </row>
    <row r="95" spans="1:14">
      <c r="A95" s="138" t="s">
        <v>1382</v>
      </c>
      <c r="B95" s="138"/>
      <c r="C95" s="138"/>
      <c r="D95" s="138"/>
      <c r="E95" s="138"/>
      <c r="F95" s="138"/>
      <c r="G95" s="138"/>
      <c r="H95" s="138"/>
      <c r="I95" s="138"/>
      <c r="J95" s="138"/>
      <c r="K95" s="138"/>
      <c r="L95" s="138"/>
      <c r="M95" s="138"/>
      <c r="N95" s="138"/>
    </row>
    <row r="96" spans="1:14">
      <c r="A96" s="138"/>
      <c r="B96" s="138"/>
      <c r="C96" s="138"/>
      <c r="D96" s="138"/>
      <c r="E96" s="138"/>
      <c r="F96" s="138"/>
      <c r="G96" s="138"/>
      <c r="H96" s="138"/>
      <c r="I96" s="138"/>
      <c r="J96" s="138"/>
      <c r="K96" s="138"/>
      <c r="L96" s="138"/>
      <c r="M96" s="138"/>
      <c r="N96" s="138"/>
    </row>
    <row r="97" spans="1:14">
      <c r="A97" s="138" t="s">
        <v>1383</v>
      </c>
      <c r="B97" s="138"/>
      <c r="C97" s="138"/>
      <c r="D97" s="138"/>
      <c r="E97" s="138"/>
      <c r="F97" s="138"/>
      <c r="G97" s="138"/>
      <c r="H97" s="138"/>
      <c r="I97" s="138"/>
      <c r="J97" s="138"/>
      <c r="K97" s="138"/>
      <c r="L97" s="138"/>
      <c r="M97" s="138"/>
      <c r="N97" s="138"/>
    </row>
    <row r="98" spans="1:14">
      <c r="A98" s="138"/>
      <c r="B98" s="138"/>
      <c r="C98" s="138"/>
      <c r="D98" s="138"/>
      <c r="E98" s="138"/>
      <c r="F98" s="138"/>
      <c r="G98" s="138"/>
      <c r="H98" s="138"/>
      <c r="I98" s="138"/>
      <c r="J98" s="138"/>
      <c r="K98" s="138"/>
      <c r="L98" s="138"/>
      <c r="M98" s="138"/>
      <c r="N98" s="138"/>
    </row>
    <row r="99" spans="1:14">
      <c r="A99" s="138" t="s">
        <v>1522</v>
      </c>
      <c r="B99" s="138"/>
      <c r="C99" s="138"/>
      <c r="D99" s="272"/>
      <c r="E99" s="272"/>
      <c r="F99" s="272"/>
      <c r="G99" s="272"/>
      <c r="H99" s="272"/>
      <c r="I99" s="138"/>
      <c r="J99" s="138"/>
      <c r="K99" s="138"/>
      <c r="L99" s="138"/>
      <c r="M99" s="138"/>
      <c r="N99" s="138"/>
    </row>
    <row r="100" spans="1:14">
      <c r="A100" s="138" t="s">
        <v>1385</v>
      </c>
      <c r="B100" s="138"/>
      <c r="C100" s="138"/>
      <c r="D100" s="138"/>
      <c r="E100" s="138"/>
      <c r="F100" s="138"/>
      <c r="G100" s="138"/>
      <c r="H100" s="138"/>
      <c r="I100" s="138"/>
      <c r="J100" s="138"/>
      <c r="K100" s="138"/>
      <c r="L100" s="138"/>
      <c r="M100" s="138"/>
      <c r="N100" s="138"/>
    </row>
    <row r="101" spans="1:14">
      <c r="A101" s="138"/>
      <c r="B101" s="138"/>
      <c r="C101" s="138"/>
      <c r="D101" s="138"/>
      <c r="E101" s="138"/>
      <c r="F101" s="138"/>
      <c r="G101" s="138"/>
      <c r="H101" s="138"/>
      <c r="I101" s="138"/>
      <c r="J101" s="138"/>
      <c r="K101" s="138"/>
      <c r="L101" s="138"/>
      <c r="M101" s="138"/>
      <c r="N101" s="138"/>
    </row>
    <row r="102" spans="1:14">
      <c r="A102" s="7" t="s">
        <v>1386</v>
      </c>
    </row>
    <row r="104" spans="1:14">
      <c r="A104" s="7" t="s">
        <v>1387</v>
      </c>
    </row>
    <row r="105" spans="1:14">
      <c r="A105" s="7" t="s">
        <v>1388</v>
      </c>
    </row>
    <row r="106" spans="1:14">
      <c r="A106" s="7" t="s">
        <v>1389</v>
      </c>
    </row>
    <row r="107" spans="1:14">
      <c r="A107" s="7" t="s">
        <v>1390</v>
      </c>
    </row>
    <row r="109" spans="1:14" s="138" customFormat="1">
      <c r="A109" s="149" t="s">
        <v>1245</v>
      </c>
    </row>
    <row r="110" spans="1:14" s="138" customFormat="1"/>
    <row r="111" spans="1:14" s="138" customFormat="1">
      <c r="A111" s="138" t="s">
        <v>1246</v>
      </c>
    </row>
    <row r="112" spans="1:14">
      <c r="A112" s="442" t="s">
        <v>1745</v>
      </c>
      <c r="B112" s="442"/>
      <c r="C112" s="442"/>
      <c r="D112" s="442"/>
      <c r="E112" s="442"/>
      <c r="F112" s="442"/>
      <c r="G112" s="442"/>
    </row>
  </sheetData>
  <mergeCells count="11">
    <mergeCell ref="N11:O11"/>
    <mergeCell ref="P11:P12"/>
    <mergeCell ref="B13:B33"/>
    <mergeCell ref="B34:B54"/>
    <mergeCell ref="B55:B75"/>
    <mergeCell ref="A8:C12"/>
    <mergeCell ref="D9:D12"/>
    <mergeCell ref="E11:G11"/>
    <mergeCell ref="H11:K11"/>
    <mergeCell ref="L11:L12"/>
    <mergeCell ref="M11:M12"/>
  </mergeCells>
  <phoneticPr fontId="6" type="noConversion"/>
  <pageMargins left="0.7" right="0.7" top="0.75" bottom="0.75" header="0.3" footer="0.3"/>
  <pageSetup paperSize="12" scale="41" orientation="landscape" r:id="rId1"/>
  <drawing r:id="rId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186739-1DCC-4F0B-ADA9-B3B37E802188}">
  <sheetPr codeName="Sheet28">
    <tabColor theme="0" tint="-0.249977111117893"/>
    <pageSetUpPr fitToPage="1"/>
  </sheetPr>
  <dimension ref="A1:O123"/>
  <sheetViews>
    <sheetView showGridLines="0" view="pageBreakPreview" zoomScale="70" zoomScaleNormal="85" zoomScaleSheetLayoutView="70" workbookViewId="0">
      <pane xSplit="6" ySplit="10" topLeftCell="G87" activePane="bottomRight" state="frozen"/>
      <selection pane="topRight" activeCell="G1" sqref="G1"/>
      <selection pane="bottomLeft" activeCell="A11" sqref="A11"/>
      <selection pane="bottomRight" activeCell="K84" sqref="K84"/>
    </sheetView>
  </sheetViews>
  <sheetFormatPr defaultColWidth="8.8984375" defaultRowHeight="14.4"/>
  <cols>
    <col min="1" max="1" width="7.796875" style="14" customWidth="1"/>
    <col min="2" max="4" width="2.796875" style="61" customWidth="1"/>
    <col min="5" max="6" width="2.796875" style="60" customWidth="1"/>
    <col min="7" max="12" width="12.296875" style="14" customWidth="1"/>
    <col min="13" max="16384" width="8.8984375" style="14"/>
  </cols>
  <sheetData>
    <row r="1" spans="1:12">
      <c r="A1" s="520"/>
      <c r="E1" s="61"/>
      <c r="F1" s="61"/>
    </row>
    <row r="2" spans="1:12">
      <c r="E2" s="61"/>
      <c r="F2" s="61"/>
    </row>
    <row r="3" spans="1:12">
      <c r="E3" s="61"/>
      <c r="F3" s="61"/>
    </row>
    <row r="4" spans="1:12">
      <c r="E4" s="61"/>
      <c r="F4" s="61"/>
    </row>
    <row r="5" spans="1:12" ht="20.25" customHeight="1">
      <c r="A5" s="16" t="s">
        <v>553</v>
      </c>
      <c r="B5" s="618"/>
      <c r="C5" s="619"/>
      <c r="D5" s="619"/>
      <c r="E5" s="620"/>
      <c r="F5" s="620"/>
      <c r="G5" s="373"/>
      <c r="H5" s="373"/>
      <c r="I5" s="373"/>
      <c r="J5" s="373"/>
      <c r="K5" s="373"/>
      <c r="L5" s="373"/>
    </row>
    <row r="6" spans="1:12" ht="13.5" customHeight="1">
      <c r="G6" s="373"/>
      <c r="H6" s="373"/>
      <c r="I6" s="373"/>
      <c r="J6" s="373"/>
      <c r="K6" s="373"/>
      <c r="L6" s="373"/>
    </row>
    <row r="7" spans="1:12" ht="13.5" customHeight="1">
      <c r="A7" s="44" t="s">
        <v>1689</v>
      </c>
      <c r="B7" s="621"/>
      <c r="C7" s="396"/>
      <c r="D7" s="396"/>
      <c r="G7" s="374"/>
      <c r="H7" s="374"/>
      <c r="I7" s="374"/>
      <c r="J7" s="374"/>
      <c r="K7" s="374"/>
      <c r="L7" s="374"/>
    </row>
    <row r="8" spans="1:12">
      <c r="A8" s="850" t="s">
        <v>555</v>
      </c>
      <c r="B8" s="851"/>
      <c r="C8" s="851"/>
      <c r="D8" s="851"/>
      <c r="E8" s="851"/>
      <c r="F8" s="852"/>
      <c r="G8" s="47" t="s">
        <v>556</v>
      </c>
      <c r="H8" s="47" t="s">
        <v>557</v>
      </c>
      <c r="I8" s="47" t="s">
        <v>558</v>
      </c>
      <c r="J8" s="47" t="s">
        <v>559</v>
      </c>
      <c r="K8" s="47" t="s">
        <v>560</v>
      </c>
      <c r="L8" s="47" t="s">
        <v>561</v>
      </c>
    </row>
    <row r="9" spans="1:12" ht="13.5" customHeight="1">
      <c r="A9" s="813"/>
      <c r="B9" s="814"/>
      <c r="C9" s="814"/>
      <c r="D9" s="814"/>
      <c r="E9" s="814"/>
      <c r="F9" s="815"/>
      <c r="G9" s="855" t="s">
        <v>562</v>
      </c>
      <c r="H9" s="850" t="s">
        <v>563</v>
      </c>
      <c r="I9" s="851"/>
      <c r="J9" s="851"/>
      <c r="K9" s="852"/>
      <c r="L9" s="855" t="s">
        <v>564</v>
      </c>
    </row>
    <row r="10" spans="1:12" ht="28.8">
      <c r="A10" s="853"/>
      <c r="B10" s="817"/>
      <c r="C10" s="817"/>
      <c r="D10" s="817"/>
      <c r="E10" s="817"/>
      <c r="F10" s="854"/>
      <c r="G10" s="800"/>
      <c r="H10" s="48" t="s">
        <v>565</v>
      </c>
      <c r="I10" s="48" t="s">
        <v>566</v>
      </c>
      <c r="J10" s="48" t="s">
        <v>567</v>
      </c>
      <c r="K10" s="48" t="s">
        <v>68</v>
      </c>
      <c r="L10" s="800"/>
    </row>
    <row r="11" spans="1:12">
      <c r="A11" s="53" t="s">
        <v>568</v>
      </c>
      <c r="B11" s="855" t="s">
        <v>569</v>
      </c>
      <c r="C11" s="855" t="s">
        <v>570</v>
      </c>
      <c r="D11" s="856" t="s">
        <v>571</v>
      </c>
      <c r="E11" s="857"/>
      <c r="F11" s="858"/>
      <c r="G11" s="49"/>
      <c r="H11" s="50"/>
      <c r="I11" s="50"/>
      <c r="J11" s="51">
        <f t="shared" ref="J11:J56" si="0">H11-I11</f>
        <v>0</v>
      </c>
      <c r="K11" s="49"/>
      <c r="L11" s="52">
        <f>G11+J11+K11</f>
        <v>0</v>
      </c>
    </row>
    <row r="12" spans="1:12">
      <c r="A12" s="53" t="s">
        <v>265</v>
      </c>
      <c r="B12" s="799"/>
      <c r="C12" s="799"/>
      <c r="D12" s="856" t="s">
        <v>572</v>
      </c>
      <c r="E12" s="857"/>
      <c r="F12" s="858"/>
      <c r="G12" s="51"/>
      <c r="H12" s="51"/>
      <c r="I12" s="51"/>
      <c r="J12" s="51">
        <f t="shared" si="0"/>
        <v>0</v>
      </c>
      <c r="K12" s="51"/>
      <c r="L12" s="52">
        <f t="shared" ref="L12:L99" si="1">G12+J12+K12</f>
        <v>0</v>
      </c>
    </row>
    <row r="13" spans="1:12" ht="13.5" customHeight="1">
      <c r="A13" s="53" t="s">
        <v>65</v>
      </c>
      <c r="B13" s="799"/>
      <c r="C13" s="799"/>
      <c r="D13" s="855" t="s">
        <v>573</v>
      </c>
      <c r="E13" s="855" t="s">
        <v>574</v>
      </c>
      <c r="F13" s="48" t="s">
        <v>575</v>
      </c>
      <c r="G13" s="51"/>
      <c r="H13" s="51"/>
      <c r="I13" s="51"/>
      <c r="J13" s="51">
        <f t="shared" si="0"/>
        <v>0</v>
      </c>
      <c r="K13" s="51"/>
      <c r="L13" s="52">
        <f t="shared" si="1"/>
        <v>0</v>
      </c>
    </row>
    <row r="14" spans="1:12" ht="57.6">
      <c r="A14" s="53" t="s">
        <v>69</v>
      </c>
      <c r="B14" s="799"/>
      <c r="C14" s="799"/>
      <c r="D14" s="799"/>
      <c r="E14" s="800"/>
      <c r="F14" s="48" t="s">
        <v>576</v>
      </c>
      <c r="G14" s="51"/>
      <c r="H14" s="51"/>
      <c r="I14" s="51"/>
      <c r="J14" s="51">
        <f t="shared" si="0"/>
        <v>0</v>
      </c>
      <c r="K14" s="51"/>
      <c r="L14" s="52">
        <f t="shared" si="1"/>
        <v>0</v>
      </c>
    </row>
    <row r="15" spans="1:12" ht="57.6">
      <c r="A15" s="53" t="s">
        <v>577</v>
      </c>
      <c r="B15" s="799"/>
      <c r="C15" s="799"/>
      <c r="D15" s="799"/>
      <c r="E15" s="855" t="s">
        <v>578</v>
      </c>
      <c r="F15" s="48" t="s">
        <v>575</v>
      </c>
      <c r="G15" s="51"/>
      <c r="H15" s="51"/>
      <c r="I15" s="51"/>
      <c r="J15" s="51">
        <f t="shared" si="0"/>
        <v>0</v>
      </c>
      <c r="K15" s="51"/>
      <c r="L15" s="52">
        <f t="shared" si="1"/>
        <v>0</v>
      </c>
    </row>
    <row r="16" spans="1:12" ht="57.6">
      <c r="A16" s="53" t="s">
        <v>579</v>
      </c>
      <c r="B16" s="799"/>
      <c r="C16" s="799"/>
      <c r="D16" s="799"/>
      <c r="E16" s="800"/>
      <c r="F16" s="48" t="s">
        <v>576</v>
      </c>
      <c r="G16" s="51"/>
      <c r="H16" s="51"/>
      <c r="I16" s="51"/>
      <c r="J16" s="51">
        <f t="shared" si="0"/>
        <v>0</v>
      </c>
      <c r="K16" s="51"/>
      <c r="L16" s="52">
        <f t="shared" si="1"/>
        <v>0</v>
      </c>
    </row>
    <row r="17" spans="1:12" ht="57.6">
      <c r="A17" s="53" t="s">
        <v>580</v>
      </c>
      <c r="B17" s="799"/>
      <c r="C17" s="799"/>
      <c r="D17" s="799"/>
      <c r="E17" s="855" t="s">
        <v>581</v>
      </c>
      <c r="F17" s="48" t="s">
        <v>575</v>
      </c>
      <c r="G17" s="51">
        <f t="shared" ref="G17:I18" si="2">G13+G15</f>
        <v>0</v>
      </c>
      <c r="H17" s="51">
        <f t="shared" si="2"/>
        <v>0</v>
      </c>
      <c r="I17" s="51">
        <f t="shared" si="2"/>
        <v>0</v>
      </c>
      <c r="J17" s="51">
        <f t="shared" si="0"/>
        <v>0</v>
      </c>
      <c r="K17" s="51">
        <f t="shared" ref="K17:K18" si="3">K13+K15</f>
        <v>0</v>
      </c>
      <c r="L17" s="52">
        <f t="shared" si="1"/>
        <v>0</v>
      </c>
    </row>
    <row r="18" spans="1:12" ht="57.6">
      <c r="A18" s="53" t="s">
        <v>582</v>
      </c>
      <c r="B18" s="799"/>
      <c r="C18" s="799"/>
      <c r="D18" s="800"/>
      <c r="E18" s="800"/>
      <c r="F18" s="48" t="s">
        <v>576</v>
      </c>
      <c r="G18" s="51">
        <f t="shared" si="2"/>
        <v>0</v>
      </c>
      <c r="H18" s="51">
        <f t="shared" si="2"/>
        <v>0</v>
      </c>
      <c r="I18" s="51">
        <f t="shared" si="2"/>
        <v>0</v>
      </c>
      <c r="J18" s="51">
        <f t="shared" si="0"/>
        <v>0</v>
      </c>
      <c r="K18" s="51">
        <f t="shared" si="3"/>
        <v>0</v>
      </c>
      <c r="L18" s="52">
        <f t="shared" si="1"/>
        <v>0</v>
      </c>
    </row>
    <row r="19" spans="1:12" ht="13.5" customHeight="1">
      <c r="A19" s="53" t="s">
        <v>583</v>
      </c>
      <c r="B19" s="799"/>
      <c r="C19" s="799"/>
      <c r="D19" s="855" t="s">
        <v>584</v>
      </c>
      <c r="E19" s="859" t="s">
        <v>585</v>
      </c>
      <c r="F19" s="622" t="s">
        <v>575</v>
      </c>
      <c r="G19" s="51"/>
      <c r="H19" s="51"/>
      <c r="I19" s="51"/>
      <c r="J19" s="51">
        <f t="shared" si="0"/>
        <v>0</v>
      </c>
      <c r="K19" s="51"/>
      <c r="L19" s="52">
        <f t="shared" si="1"/>
        <v>0</v>
      </c>
    </row>
    <row r="20" spans="1:12" ht="57.6">
      <c r="A20" s="53" t="s">
        <v>586</v>
      </c>
      <c r="B20" s="799"/>
      <c r="C20" s="799"/>
      <c r="D20" s="799"/>
      <c r="E20" s="860"/>
      <c r="F20" s="622" t="s">
        <v>576</v>
      </c>
      <c r="G20" s="51"/>
      <c r="H20" s="51"/>
      <c r="I20" s="51"/>
      <c r="J20" s="51">
        <f t="shared" si="0"/>
        <v>0</v>
      </c>
      <c r="K20" s="51"/>
      <c r="L20" s="52">
        <f t="shared" si="1"/>
        <v>0</v>
      </c>
    </row>
    <row r="21" spans="1:12" ht="57.6">
      <c r="A21" s="53" t="s">
        <v>587</v>
      </c>
      <c r="B21" s="799"/>
      <c r="C21" s="799"/>
      <c r="D21" s="799"/>
      <c r="E21" s="859" t="s">
        <v>588</v>
      </c>
      <c r="F21" s="622" t="s">
        <v>575</v>
      </c>
      <c r="G21" s="51"/>
      <c r="H21" s="51"/>
      <c r="I21" s="51"/>
      <c r="J21" s="51">
        <f t="shared" si="0"/>
        <v>0</v>
      </c>
      <c r="K21" s="51"/>
      <c r="L21" s="52">
        <f t="shared" si="1"/>
        <v>0</v>
      </c>
    </row>
    <row r="22" spans="1:12" ht="57.6">
      <c r="A22" s="53" t="s">
        <v>589</v>
      </c>
      <c r="B22" s="799"/>
      <c r="C22" s="799"/>
      <c r="D22" s="799"/>
      <c r="E22" s="860"/>
      <c r="F22" s="622" t="s">
        <v>576</v>
      </c>
      <c r="G22" s="51"/>
      <c r="H22" s="51"/>
      <c r="I22" s="51"/>
      <c r="J22" s="51">
        <f t="shared" si="0"/>
        <v>0</v>
      </c>
      <c r="K22" s="51"/>
      <c r="L22" s="52">
        <f t="shared" si="1"/>
        <v>0</v>
      </c>
    </row>
    <row r="23" spans="1:12" ht="57.6">
      <c r="A23" s="53" t="s">
        <v>590</v>
      </c>
      <c r="B23" s="799"/>
      <c r="C23" s="799"/>
      <c r="D23" s="799"/>
      <c r="E23" s="861" t="s">
        <v>66</v>
      </c>
      <c r="F23" s="623" t="s">
        <v>575</v>
      </c>
      <c r="G23" s="51"/>
      <c r="H23" s="51"/>
      <c r="I23" s="51"/>
      <c r="J23" s="51">
        <f t="shared" si="0"/>
        <v>0</v>
      </c>
      <c r="K23" s="51"/>
      <c r="L23" s="52">
        <f t="shared" si="1"/>
        <v>0</v>
      </c>
    </row>
    <row r="24" spans="1:12" ht="57.6">
      <c r="A24" s="53" t="s">
        <v>591</v>
      </c>
      <c r="B24" s="799"/>
      <c r="C24" s="799"/>
      <c r="D24" s="799"/>
      <c r="E24" s="862"/>
      <c r="F24" s="623" t="s">
        <v>576</v>
      </c>
      <c r="G24" s="51"/>
      <c r="H24" s="51"/>
      <c r="I24" s="51"/>
      <c r="J24" s="51">
        <f t="shared" si="0"/>
        <v>0</v>
      </c>
      <c r="K24" s="51"/>
      <c r="L24" s="52">
        <f t="shared" si="1"/>
        <v>0</v>
      </c>
    </row>
    <row r="25" spans="1:12" ht="57.6">
      <c r="A25" s="53" t="s">
        <v>592</v>
      </c>
      <c r="B25" s="799"/>
      <c r="C25" s="799"/>
      <c r="D25" s="799"/>
      <c r="E25" s="859" t="s">
        <v>581</v>
      </c>
      <c r="F25" s="622" t="s">
        <v>575</v>
      </c>
      <c r="G25" s="51">
        <f>G19+G21+G23</f>
        <v>0</v>
      </c>
      <c r="H25" s="51">
        <f t="shared" ref="H25:I26" si="4">H19+H21+H23</f>
        <v>0</v>
      </c>
      <c r="I25" s="51">
        <f t="shared" si="4"/>
        <v>0</v>
      </c>
      <c r="J25" s="51">
        <f t="shared" si="0"/>
        <v>0</v>
      </c>
      <c r="K25" s="51">
        <f t="shared" ref="K25:K26" si="5">K19+K21+K23</f>
        <v>0</v>
      </c>
      <c r="L25" s="52">
        <f t="shared" si="1"/>
        <v>0</v>
      </c>
    </row>
    <row r="26" spans="1:12" ht="57.6">
      <c r="A26" s="53" t="s">
        <v>1690</v>
      </c>
      <c r="B26" s="799"/>
      <c r="C26" s="799"/>
      <c r="D26" s="800"/>
      <c r="E26" s="860"/>
      <c r="F26" s="622" t="s">
        <v>576</v>
      </c>
      <c r="G26" s="51">
        <f>G20+G22+G24</f>
        <v>0</v>
      </c>
      <c r="H26" s="51">
        <f t="shared" si="4"/>
        <v>0</v>
      </c>
      <c r="I26" s="51">
        <f t="shared" si="4"/>
        <v>0</v>
      </c>
      <c r="J26" s="51">
        <f t="shared" si="0"/>
        <v>0</v>
      </c>
      <c r="K26" s="51">
        <f t="shared" si="5"/>
        <v>0</v>
      </c>
      <c r="L26" s="52">
        <f t="shared" si="1"/>
        <v>0</v>
      </c>
    </row>
    <row r="27" spans="1:12" ht="57.6">
      <c r="A27" s="53" t="s">
        <v>593</v>
      </c>
      <c r="B27" s="799"/>
      <c r="C27" s="799"/>
      <c r="D27" s="866" t="s">
        <v>594</v>
      </c>
      <c r="E27" s="867"/>
      <c r="F27" s="48" t="s">
        <v>575</v>
      </c>
      <c r="G27" s="51"/>
      <c r="H27" s="51"/>
      <c r="I27" s="51"/>
      <c r="J27" s="51">
        <f t="shared" si="0"/>
        <v>0</v>
      </c>
      <c r="K27" s="51"/>
      <c r="L27" s="52">
        <f t="shared" si="1"/>
        <v>0</v>
      </c>
    </row>
    <row r="28" spans="1:12" ht="57.6">
      <c r="A28" s="53" t="s">
        <v>595</v>
      </c>
      <c r="B28" s="799"/>
      <c r="C28" s="799"/>
      <c r="D28" s="664"/>
      <c r="E28" s="666"/>
      <c r="F28" s="48" t="s">
        <v>576</v>
      </c>
      <c r="G28" s="51"/>
      <c r="H28" s="51"/>
      <c r="I28" s="51"/>
      <c r="J28" s="51">
        <f t="shared" si="0"/>
        <v>0</v>
      </c>
      <c r="K28" s="51"/>
      <c r="L28" s="52">
        <f t="shared" si="1"/>
        <v>0</v>
      </c>
    </row>
    <row r="29" spans="1:12" ht="57.6">
      <c r="A29" s="53" t="s">
        <v>596</v>
      </c>
      <c r="B29" s="799"/>
      <c r="C29" s="799"/>
      <c r="D29" s="866" t="s">
        <v>68</v>
      </c>
      <c r="E29" s="867"/>
      <c r="F29" s="48" t="s">
        <v>575</v>
      </c>
      <c r="G29" s="51"/>
      <c r="H29" s="51"/>
      <c r="I29" s="51"/>
      <c r="J29" s="51">
        <f t="shared" si="0"/>
        <v>0</v>
      </c>
      <c r="K29" s="51"/>
      <c r="L29" s="52">
        <f t="shared" si="1"/>
        <v>0</v>
      </c>
    </row>
    <row r="30" spans="1:12" ht="57.6">
      <c r="A30" s="53" t="s">
        <v>597</v>
      </c>
      <c r="B30" s="799"/>
      <c r="C30" s="799"/>
      <c r="D30" s="664"/>
      <c r="E30" s="666"/>
      <c r="F30" s="616" t="s">
        <v>576</v>
      </c>
      <c r="G30" s="51"/>
      <c r="H30" s="51"/>
      <c r="I30" s="51"/>
      <c r="J30" s="51">
        <f t="shared" si="0"/>
        <v>0</v>
      </c>
      <c r="K30" s="51"/>
      <c r="L30" s="52">
        <f t="shared" si="1"/>
        <v>0</v>
      </c>
    </row>
    <row r="31" spans="1:12" ht="86.4">
      <c r="A31" s="53" t="s">
        <v>598</v>
      </c>
      <c r="B31" s="799"/>
      <c r="C31" s="799"/>
      <c r="D31" s="866" t="s">
        <v>599</v>
      </c>
      <c r="E31" s="867"/>
      <c r="F31" s="48" t="s">
        <v>600</v>
      </c>
      <c r="G31" s="51">
        <f>G17+G25+G27+G29</f>
        <v>0</v>
      </c>
      <c r="H31" s="51">
        <f t="shared" ref="H31:L31" si="6">H17+H25+H27+H29</f>
        <v>0</v>
      </c>
      <c r="I31" s="51">
        <f t="shared" si="6"/>
        <v>0</v>
      </c>
      <c r="J31" s="51">
        <f t="shared" si="6"/>
        <v>0</v>
      </c>
      <c r="K31" s="51">
        <f t="shared" si="6"/>
        <v>0</v>
      </c>
      <c r="L31" s="51">
        <f t="shared" si="6"/>
        <v>0</v>
      </c>
    </row>
    <row r="32" spans="1:12" ht="57.6">
      <c r="A32" s="53" t="s">
        <v>601</v>
      </c>
      <c r="B32" s="799"/>
      <c r="C32" s="800"/>
      <c r="D32" s="664"/>
      <c r="E32" s="666"/>
      <c r="F32" s="616" t="s">
        <v>576</v>
      </c>
      <c r="G32" s="51">
        <f>G18+G26+G28+G30</f>
        <v>0</v>
      </c>
      <c r="H32" s="51">
        <f t="shared" ref="H32:L32" si="7">H18+H26+H28+H30</f>
        <v>0</v>
      </c>
      <c r="I32" s="51">
        <f t="shared" si="7"/>
        <v>0</v>
      </c>
      <c r="J32" s="51">
        <f t="shared" si="7"/>
        <v>0</v>
      </c>
      <c r="K32" s="51">
        <f t="shared" si="7"/>
        <v>0</v>
      </c>
      <c r="L32" s="51">
        <f t="shared" si="7"/>
        <v>0</v>
      </c>
    </row>
    <row r="33" spans="1:12" ht="57.6">
      <c r="A33" s="53" t="s">
        <v>602</v>
      </c>
      <c r="B33" s="799"/>
      <c r="C33" s="866" t="s">
        <v>603</v>
      </c>
      <c r="D33" s="659"/>
      <c r="E33" s="867"/>
      <c r="F33" s="48" t="s">
        <v>604</v>
      </c>
      <c r="G33" s="51"/>
      <c r="H33" s="51"/>
      <c r="I33" s="51"/>
      <c r="J33" s="51"/>
      <c r="K33" s="51"/>
      <c r="L33" s="52">
        <f t="shared" si="1"/>
        <v>0</v>
      </c>
    </row>
    <row r="34" spans="1:12" ht="57.6">
      <c r="A34" s="53" t="s">
        <v>605</v>
      </c>
      <c r="B34" s="799"/>
      <c r="C34" s="664"/>
      <c r="D34" s="868"/>
      <c r="E34" s="666"/>
      <c r="F34" s="616" t="s">
        <v>606</v>
      </c>
      <c r="G34" s="55"/>
      <c r="H34" s="55"/>
      <c r="I34" s="55"/>
      <c r="J34" s="55"/>
      <c r="K34" s="55"/>
      <c r="L34" s="52">
        <f t="shared" si="1"/>
        <v>0</v>
      </c>
    </row>
    <row r="35" spans="1:12" s="37" customFormat="1">
      <c r="A35" s="624" t="s">
        <v>607</v>
      </c>
      <c r="B35" s="800"/>
      <c r="C35" s="869" t="s">
        <v>608</v>
      </c>
      <c r="D35" s="870"/>
      <c r="E35" s="870"/>
      <c r="F35" s="871"/>
      <c r="G35" s="585">
        <f>G31+G34</f>
        <v>0</v>
      </c>
      <c r="H35" s="585">
        <f>H32+H34</f>
        <v>0</v>
      </c>
      <c r="I35" s="585">
        <f>I32+I34</f>
        <v>0</v>
      </c>
      <c r="J35" s="585">
        <f>J32+J34</f>
        <v>0</v>
      </c>
      <c r="K35" s="585">
        <f>K31+K34</f>
        <v>0</v>
      </c>
      <c r="L35" s="586">
        <f>G35+J35+K35</f>
        <v>0</v>
      </c>
    </row>
    <row r="36" spans="1:12" ht="13.5" customHeight="1">
      <c r="A36" s="53" t="s">
        <v>609</v>
      </c>
      <c r="B36" s="863" t="s">
        <v>610</v>
      </c>
      <c r="C36" s="856" t="s">
        <v>611</v>
      </c>
      <c r="D36" s="857"/>
      <c r="E36" s="857"/>
      <c r="F36" s="858"/>
      <c r="G36" s="51"/>
      <c r="H36" s="51"/>
      <c r="I36" s="51"/>
      <c r="J36" s="51">
        <f t="shared" si="0"/>
        <v>0</v>
      </c>
      <c r="K36" s="52"/>
      <c r="L36" s="52">
        <f t="shared" si="1"/>
        <v>0</v>
      </c>
    </row>
    <row r="37" spans="1:12">
      <c r="A37" s="53" t="s">
        <v>612</v>
      </c>
      <c r="B37" s="864"/>
      <c r="C37" s="855" t="s">
        <v>570</v>
      </c>
      <c r="D37" s="856" t="s">
        <v>571</v>
      </c>
      <c r="E37" s="857"/>
      <c r="F37" s="858"/>
      <c r="G37" s="51"/>
      <c r="H37" s="51"/>
      <c r="I37" s="51"/>
      <c r="J37" s="51">
        <f t="shared" si="0"/>
        <v>0</v>
      </c>
      <c r="K37" s="52"/>
      <c r="L37" s="52">
        <f t="shared" si="1"/>
        <v>0</v>
      </c>
    </row>
    <row r="38" spans="1:12">
      <c r="A38" s="53" t="s">
        <v>229</v>
      </c>
      <c r="B38" s="864"/>
      <c r="C38" s="799"/>
      <c r="D38" s="856" t="s">
        <v>572</v>
      </c>
      <c r="E38" s="857"/>
      <c r="F38" s="858"/>
      <c r="G38" s="51"/>
      <c r="H38" s="51"/>
      <c r="I38" s="51"/>
      <c r="J38" s="51">
        <f t="shared" si="0"/>
        <v>0</v>
      </c>
      <c r="K38" s="52"/>
      <c r="L38" s="52">
        <f t="shared" si="1"/>
        <v>0</v>
      </c>
    </row>
    <row r="39" spans="1:12" ht="15.9" customHeight="1">
      <c r="A39" s="53" t="s">
        <v>613</v>
      </c>
      <c r="B39" s="864"/>
      <c r="C39" s="799"/>
      <c r="D39" s="855" t="s">
        <v>573</v>
      </c>
      <c r="E39" s="855" t="s">
        <v>574</v>
      </c>
      <c r="F39" s="48" t="s">
        <v>575</v>
      </c>
      <c r="G39" s="51"/>
      <c r="H39" s="51"/>
      <c r="I39" s="51"/>
      <c r="J39" s="51">
        <f t="shared" si="0"/>
        <v>0</v>
      </c>
      <c r="K39" s="52"/>
      <c r="L39" s="52">
        <f t="shared" si="1"/>
        <v>0</v>
      </c>
    </row>
    <row r="40" spans="1:12" ht="15.9" customHeight="1">
      <c r="A40" s="53" t="s">
        <v>614</v>
      </c>
      <c r="B40" s="864"/>
      <c r="C40" s="799"/>
      <c r="D40" s="799"/>
      <c r="E40" s="800"/>
      <c r="F40" s="48" t="s">
        <v>576</v>
      </c>
      <c r="G40" s="51"/>
      <c r="H40" s="51"/>
      <c r="I40" s="51"/>
      <c r="J40" s="51">
        <f t="shared" si="0"/>
        <v>0</v>
      </c>
      <c r="K40" s="52"/>
      <c r="L40" s="52">
        <f t="shared" si="1"/>
        <v>0</v>
      </c>
    </row>
    <row r="41" spans="1:12" ht="15.9" customHeight="1">
      <c r="A41" s="53" t="s">
        <v>615</v>
      </c>
      <c r="B41" s="864"/>
      <c r="C41" s="799"/>
      <c r="D41" s="799"/>
      <c r="E41" s="855" t="s">
        <v>578</v>
      </c>
      <c r="F41" s="48" t="s">
        <v>575</v>
      </c>
      <c r="G41" s="51"/>
      <c r="H41" s="51"/>
      <c r="I41" s="51"/>
      <c r="J41" s="51">
        <f t="shared" si="0"/>
        <v>0</v>
      </c>
      <c r="K41" s="52"/>
      <c r="L41" s="52">
        <f t="shared" si="1"/>
        <v>0</v>
      </c>
    </row>
    <row r="42" spans="1:12" ht="15.9" customHeight="1">
      <c r="A42" s="53" t="s">
        <v>616</v>
      </c>
      <c r="B42" s="864"/>
      <c r="C42" s="799"/>
      <c r="D42" s="799"/>
      <c r="E42" s="800"/>
      <c r="F42" s="48" t="s">
        <v>576</v>
      </c>
      <c r="G42" s="51"/>
      <c r="H42" s="51"/>
      <c r="I42" s="51"/>
      <c r="J42" s="51">
        <f t="shared" si="0"/>
        <v>0</v>
      </c>
      <c r="K42" s="52"/>
      <c r="L42" s="52">
        <f t="shared" si="1"/>
        <v>0</v>
      </c>
    </row>
    <row r="43" spans="1:12" ht="15.9" customHeight="1">
      <c r="A43" s="53" t="s">
        <v>224</v>
      </c>
      <c r="B43" s="864"/>
      <c r="C43" s="799"/>
      <c r="D43" s="799"/>
      <c r="E43" s="855" t="s">
        <v>581</v>
      </c>
      <c r="F43" s="48" t="s">
        <v>575</v>
      </c>
      <c r="G43" s="51">
        <f t="shared" ref="G43:K44" si="8">G39+G41</f>
        <v>0</v>
      </c>
      <c r="H43" s="51">
        <f t="shared" si="8"/>
        <v>0</v>
      </c>
      <c r="I43" s="51">
        <f t="shared" si="8"/>
        <v>0</v>
      </c>
      <c r="J43" s="51">
        <f>H43-I43</f>
        <v>0</v>
      </c>
      <c r="K43" s="51">
        <f t="shared" si="8"/>
        <v>0</v>
      </c>
      <c r="L43" s="52">
        <f t="shared" si="1"/>
        <v>0</v>
      </c>
    </row>
    <row r="44" spans="1:12" ht="15.9" customHeight="1">
      <c r="A44" s="53" t="s">
        <v>225</v>
      </c>
      <c r="B44" s="864"/>
      <c r="C44" s="799"/>
      <c r="D44" s="800"/>
      <c r="E44" s="800"/>
      <c r="F44" s="48" t="s">
        <v>576</v>
      </c>
      <c r="G44" s="51">
        <f t="shared" si="8"/>
        <v>0</v>
      </c>
      <c r="H44" s="51">
        <f t="shared" si="8"/>
        <v>0</v>
      </c>
      <c r="I44" s="51">
        <f t="shared" si="8"/>
        <v>0</v>
      </c>
      <c r="J44" s="51">
        <f t="shared" si="0"/>
        <v>0</v>
      </c>
      <c r="K44" s="51">
        <f t="shared" si="8"/>
        <v>0</v>
      </c>
      <c r="L44" s="52">
        <f t="shared" si="1"/>
        <v>0</v>
      </c>
    </row>
    <row r="45" spans="1:12" ht="13.5" customHeight="1">
      <c r="A45" s="53" t="s">
        <v>617</v>
      </c>
      <c r="B45" s="864"/>
      <c r="C45" s="799"/>
      <c r="D45" s="855" t="s">
        <v>584</v>
      </c>
      <c r="E45" s="861" t="s">
        <v>585</v>
      </c>
      <c r="F45" s="623" t="s">
        <v>575</v>
      </c>
      <c r="G45" s="51"/>
      <c r="H45" s="51"/>
      <c r="I45" s="51"/>
      <c r="J45" s="51">
        <f t="shared" si="0"/>
        <v>0</v>
      </c>
      <c r="K45" s="52"/>
      <c r="L45" s="52">
        <f t="shared" si="1"/>
        <v>0</v>
      </c>
    </row>
    <row r="46" spans="1:12" ht="57.6">
      <c r="A46" s="53" t="s">
        <v>618</v>
      </c>
      <c r="B46" s="864"/>
      <c r="C46" s="799"/>
      <c r="D46" s="799"/>
      <c r="E46" s="862"/>
      <c r="F46" s="623" t="s">
        <v>576</v>
      </c>
      <c r="G46" s="51"/>
      <c r="H46" s="51"/>
      <c r="I46" s="51"/>
      <c r="J46" s="51">
        <f t="shared" si="0"/>
        <v>0</v>
      </c>
      <c r="K46" s="52"/>
      <c r="L46" s="52">
        <f t="shared" si="1"/>
        <v>0</v>
      </c>
    </row>
    <row r="47" spans="1:12" ht="57.6">
      <c r="A47" s="53" t="s">
        <v>619</v>
      </c>
      <c r="B47" s="864"/>
      <c r="C47" s="799"/>
      <c r="D47" s="799"/>
      <c r="E47" s="861" t="s">
        <v>588</v>
      </c>
      <c r="F47" s="623" t="s">
        <v>575</v>
      </c>
      <c r="G47" s="51"/>
      <c r="H47" s="51"/>
      <c r="I47" s="51"/>
      <c r="J47" s="51">
        <f t="shared" si="0"/>
        <v>0</v>
      </c>
      <c r="K47" s="52"/>
      <c r="L47" s="52">
        <f t="shared" si="1"/>
        <v>0</v>
      </c>
    </row>
    <row r="48" spans="1:12" ht="57.6">
      <c r="A48" s="53" t="s">
        <v>620</v>
      </c>
      <c r="B48" s="864"/>
      <c r="C48" s="799"/>
      <c r="D48" s="799"/>
      <c r="E48" s="862"/>
      <c r="F48" s="623" t="s">
        <v>576</v>
      </c>
      <c r="G48" s="51"/>
      <c r="H48" s="51"/>
      <c r="I48" s="51"/>
      <c r="J48" s="51">
        <f t="shared" si="0"/>
        <v>0</v>
      </c>
      <c r="K48" s="52"/>
      <c r="L48" s="52">
        <f t="shared" si="1"/>
        <v>0</v>
      </c>
    </row>
    <row r="49" spans="1:12" ht="57.6">
      <c r="A49" s="53" t="s">
        <v>621</v>
      </c>
      <c r="B49" s="864"/>
      <c r="C49" s="799"/>
      <c r="D49" s="799"/>
      <c r="E49" s="861" t="s">
        <v>66</v>
      </c>
      <c r="F49" s="623" t="s">
        <v>575</v>
      </c>
      <c r="G49" s="51"/>
      <c r="H49" s="51"/>
      <c r="I49" s="51"/>
      <c r="J49" s="51">
        <f t="shared" si="0"/>
        <v>0</v>
      </c>
      <c r="K49" s="52"/>
      <c r="L49" s="52">
        <f t="shared" si="1"/>
        <v>0</v>
      </c>
    </row>
    <row r="50" spans="1:12" ht="57.6">
      <c r="A50" s="53" t="s">
        <v>622</v>
      </c>
      <c r="B50" s="864"/>
      <c r="C50" s="799"/>
      <c r="D50" s="799"/>
      <c r="E50" s="862"/>
      <c r="F50" s="623" t="s">
        <v>576</v>
      </c>
      <c r="G50" s="51"/>
      <c r="H50" s="51"/>
      <c r="I50" s="51"/>
      <c r="J50" s="51">
        <f t="shared" si="0"/>
        <v>0</v>
      </c>
      <c r="K50" s="52"/>
      <c r="L50" s="52">
        <f t="shared" si="1"/>
        <v>0</v>
      </c>
    </row>
    <row r="51" spans="1:12" ht="57.6">
      <c r="A51" s="53" t="s">
        <v>623</v>
      </c>
      <c r="B51" s="864"/>
      <c r="C51" s="799"/>
      <c r="D51" s="799"/>
      <c r="E51" s="855" t="s">
        <v>581</v>
      </c>
      <c r="F51" s="622" t="s">
        <v>575</v>
      </c>
      <c r="G51" s="51">
        <f t="shared" ref="G51:K52" si="9">G45+G47+G49</f>
        <v>0</v>
      </c>
      <c r="H51" s="51">
        <f t="shared" si="9"/>
        <v>0</v>
      </c>
      <c r="I51" s="51">
        <f t="shared" si="9"/>
        <v>0</v>
      </c>
      <c r="J51" s="51">
        <f t="shared" si="0"/>
        <v>0</v>
      </c>
      <c r="K51" s="51">
        <f t="shared" si="9"/>
        <v>0</v>
      </c>
      <c r="L51" s="52">
        <f t="shared" si="1"/>
        <v>0</v>
      </c>
    </row>
    <row r="52" spans="1:12" ht="57.6">
      <c r="A52" s="53" t="s">
        <v>1691</v>
      </c>
      <c r="B52" s="864"/>
      <c r="C52" s="799"/>
      <c r="D52" s="800"/>
      <c r="E52" s="800"/>
      <c r="F52" s="622" t="s">
        <v>576</v>
      </c>
      <c r="G52" s="51">
        <f t="shared" si="9"/>
        <v>0</v>
      </c>
      <c r="H52" s="51">
        <f t="shared" si="9"/>
        <v>0</v>
      </c>
      <c r="I52" s="51">
        <f t="shared" si="9"/>
        <v>0</v>
      </c>
      <c r="J52" s="51">
        <f t="shared" si="0"/>
        <v>0</v>
      </c>
      <c r="K52" s="51">
        <f t="shared" si="9"/>
        <v>0</v>
      </c>
      <c r="L52" s="52">
        <f t="shared" si="1"/>
        <v>0</v>
      </c>
    </row>
    <row r="53" spans="1:12" ht="57.6">
      <c r="A53" s="53" t="s">
        <v>624</v>
      </c>
      <c r="B53" s="864"/>
      <c r="C53" s="799"/>
      <c r="D53" s="866" t="s">
        <v>594</v>
      </c>
      <c r="E53" s="867"/>
      <c r="F53" s="48" t="s">
        <v>575</v>
      </c>
      <c r="G53" s="51"/>
      <c r="H53" s="51"/>
      <c r="I53" s="51"/>
      <c r="J53" s="51">
        <f t="shared" si="0"/>
        <v>0</v>
      </c>
      <c r="K53" s="52"/>
      <c r="L53" s="52">
        <f t="shared" si="1"/>
        <v>0</v>
      </c>
    </row>
    <row r="54" spans="1:12" ht="57.6">
      <c r="A54" s="53" t="s">
        <v>625</v>
      </c>
      <c r="B54" s="864"/>
      <c r="C54" s="799"/>
      <c r="D54" s="664"/>
      <c r="E54" s="666"/>
      <c r="F54" s="48" t="s">
        <v>576</v>
      </c>
      <c r="G54" s="51"/>
      <c r="H54" s="51"/>
      <c r="I54" s="51"/>
      <c r="J54" s="51">
        <f t="shared" si="0"/>
        <v>0</v>
      </c>
      <c r="K54" s="52"/>
      <c r="L54" s="52">
        <f t="shared" si="1"/>
        <v>0</v>
      </c>
    </row>
    <row r="55" spans="1:12" ht="57.6">
      <c r="A55" s="53" t="s">
        <v>626</v>
      </c>
      <c r="B55" s="864"/>
      <c r="C55" s="799"/>
      <c r="D55" s="866" t="s">
        <v>68</v>
      </c>
      <c r="E55" s="867"/>
      <c r="F55" s="48" t="s">
        <v>575</v>
      </c>
      <c r="G55" s="51"/>
      <c r="H55" s="51"/>
      <c r="I55" s="51"/>
      <c r="J55" s="51">
        <f t="shared" si="0"/>
        <v>0</v>
      </c>
      <c r="K55" s="52"/>
      <c r="L55" s="52">
        <f t="shared" si="1"/>
        <v>0</v>
      </c>
    </row>
    <row r="56" spans="1:12" ht="57.6">
      <c r="A56" s="53" t="s">
        <v>627</v>
      </c>
      <c r="B56" s="864"/>
      <c r="C56" s="799"/>
      <c r="D56" s="664"/>
      <c r="E56" s="666"/>
      <c r="F56" s="48" t="s">
        <v>576</v>
      </c>
      <c r="G56" s="51"/>
      <c r="H56" s="51"/>
      <c r="I56" s="51"/>
      <c r="J56" s="51">
        <f t="shared" si="0"/>
        <v>0</v>
      </c>
      <c r="K56" s="52"/>
      <c r="L56" s="52">
        <f t="shared" si="1"/>
        <v>0</v>
      </c>
    </row>
    <row r="57" spans="1:12" ht="86.4">
      <c r="A57" s="53" t="s">
        <v>94</v>
      </c>
      <c r="B57" s="864"/>
      <c r="C57" s="799"/>
      <c r="D57" s="866" t="s">
        <v>599</v>
      </c>
      <c r="E57" s="867"/>
      <c r="F57" s="48" t="s">
        <v>628</v>
      </c>
      <c r="G57" s="51">
        <f>G43+G51+G53+G55</f>
        <v>0</v>
      </c>
      <c r="H57" s="51">
        <f t="shared" ref="H57:L57" si="10">H43+H51+H53+H55</f>
        <v>0</v>
      </c>
      <c r="I57" s="51">
        <f t="shared" si="10"/>
        <v>0</v>
      </c>
      <c r="J57" s="51">
        <f t="shared" si="10"/>
        <v>0</v>
      </c>
      <c r="K57" s="51">
        <f t="shared" si="10"/>
        <v>0</v>
      </c>
      <c r="L57" s="51">
        <f t="shared" si="10"/>
        <v>0</v>
      </c>
    </row>
    <row r="58" spans="1:12" ht="57.6">
      <c r="A58" s="53" t="s">
        <v>629</v>
      </c>
      <c r="B58" s="864"/>
      <c r="C58" s="615"/>
      <c r="D58" s="664"/>
      <c r="E58" s="666"/>
      <c r="F58" s="48" t="s">
        <v>576</v>
      </c>
      <c r="G58" s="51">
        <f>G44+G52+G54+G56</f>
        <v>0</v>
      </c>
      <c r="H58" s="51">
        <f t="shared" ref="H58:L58" si="11">H44+H52+H54+H56</f>
        <v>0</v>
      </c>
      <c r="I58" s="51">
        <f t="shared" si="11"/>
        <v>0</v>
      </c>
      <c r="J58" s="51">
        <f t="shared" si="11"/>
        <v>0</v>
      </c>
      <c r="K58" s="51">
        <f t="shared" si="11"/>
        <v>0</v>
      </c>
      <c r="L58" s="51">
        <f t="shared" si="11"/>
        <v>0</v>
      </c>
    </row>
    <row r="59" spans="1:12" ht="57.6">
      <c r="A59" s="53" t="s">
        <v>630</v>
      </c>
      <c r="B59" s="864"/>
      <c r="C59" s="866" t="s">
        <v>603</v>
      </c>
      <c r="D59" s="659"/>
      <c r="E59" s="867"/>
      <c r="F59" s="48" t="s">
        <v>604</v>
      </c>
      <c r="G59" s="51"/>
      <c r="H59" s="51"/>
      <c r="I59" s="51"/>
      <c r="J59" s="51">
        <f t="shared" ref="J59:J99" si="12">H59-I59</f>
        <v>0</v>
      </c>
      <c r="K59" s="52"/>
      <c r="L59" s="52">
        <f t="shared" si="1"/>
        <v>0</v>
      </c>
    </row>
    <row r="60" spans="1:12" ht="57.6">
      <c r="A60" s="53" t="s">
        <v>631</v>
      </c>
      <c r="B60" s="864"/>
      <c r="C60" s="664"/>
      <c r="D60" s="868"/>
      <c r="E60" s="666"/>
      <c r="F60" s="616" t="s">
        <v>606</v>
      </c>
      <c r="G60" s="55"/>
      <c r="H60" s="55"/>
      <c r="I60" s="55"/>
      <c r="J60" s="55"/>
      <c r="K60" s="382"/>
      <c r="L60" s="52">
        <f t="shared" si="1"/>
        <v>0</v>
      </c>
    </row>
    <row r="61" spans="1:12">
      <c r="A61" s="53" t="s">
        <v>56</v>
      </c>
      <c r="B61" s="865"/>
      <c r="C61" s="872" t="s">
        <v>632</v>
      </c>
      <c r="D61" s="873"/>
      <c r="E61" s="873"/>
      <c r="F61" s="874"/>
      <c r="G61" s="56">
        <f>G57+G60</f>
        <v>0</v>
      </c>
      <c r="H61" s="56">
        <f>H58+H60</f>
        <v>0</v>
      </c>
      <c r="I61" s="56">
        <f>I58+I60</f>
        <v>0</v>
      </c>
      <c r="J61" s="56">
        <f>J58+J60</f>
        <v>0</v>
      </c>
      <c r="K61" s="56">
        <f>K57+K60</f>
        <v>0</v>
      </c>
      <c r="L61" s="52">
        <f t="shared" si="1"/>
        <v>0</v>
      </c>
    </row>
    <row r="62" spans="1:12" ht="13.5" customHeight="1">
      <c r="A62" s="53" t="s">
        <v>633</v>
      </c>
      <c r="B62" s="855" t="s">
        <v>634</v>
      </c>
      <c r="C62" s="856" t="s">
        <v>611</v>
      </c>
      <c r="D62" s="857"/>
      <c r="E62" s="857"/>
      <c r="F62" s="858"/>
      <c r="G62" s="51"/>
      <c r="H62" s="51"/>
      <c r="I62" s="51"/>
      <c r="J62" s="51">
        <f t="shared" si="12"/>
        <v>0</v>
      </c>
      <c r="K62" s="52"/>
      <c r="L62" s="52">
        <f t="shared" si="1"/>
        <v>0</v>
      </c>
    </row>
    <row r="63" spans="1:12">
      <c r="A63" s="53" t="s">
        <v>635</v>
      </c>
      <c r="B63" s="799"/>
      <c r="C63" s="855" t="s">
        <v>570</v>
      </c>
      <c r="D63" s="856" t="s">
        <v>571</v>
      </c>
      <c r="E63" s="857"/>
      <c r="F63" s="858"/>
      <c r="G63" s="51"/>
      <c r="H63" s="51"/>
      <c r="I63" s="51"/>
      <c r="J63" s="51">
        <f t="shared" si="12"/>
        <v>0</v>
      </c>
      <c r="K63" s="52"/>
      <c r="L63" s="52">
        <f t="shared" si="1"/>
        <v>0</v>
      </c>
    </row>
    <row r="64" spans="1:12">
      <c r="A64" s="53" t="s">
        <v>636</v>
      </c>
      <c r="B64" s="799"/>
      <c r="C64" s="799"/>
      <c r="D64" s="856" t="s">
        <v>572</v>
      </c>
      <c r="E64" s="857"/>
      <c r="F64" s="858"/>
      <c r="G64" s="51"/>
      <c r="H64" s="51"/>
      <c r="I64" s="51"/>
      <c r="J64" s="51">
        <f t="shared" si="12"/>
        <v>0</v>
      </c>
      <c r="K64" s="52"/>
      <c r="L64" s="52">
        <f t="shared" si="1"/>
        <v>0</v>
      </c>
    </row>
    <row r="65" spans="1:12" ht="15.9" customHeight="1">
      <c r="A65" s="53" t="s">
        <v>637</v>
      </c>
      <c r="B65" s="799"/>
      <c r="C65" s="799"/>
      <c r="D65" s="855" t="s">
        <v>573</v>
      </c>
      <c r="E65" s="855" t="s">
        <v>574</v>
      </c>
      <c r="F65" s="48" t="s">
        <v>575</v>
      </c>
      <c r="G65" s="51"/>
      <c r="H65" s="51"/>
      <c r="I65" s="51"/>
      <c r="J65" s="51">
        <f t="shared" si="12"/>
        <v>0</v>
      </c>
      <c r="K65" s="52"/>
      <c r="L65" s="52">
        <f t="shared" si="1"/>
        <v>0</v>
      </c>
    </row>
    <row r="66" spans="1:12" ht="15.9" customHeight="1">
      <c r="A66" s="53" t="s">
        <v>638</v>
      </c>
      <c r="B66" s="799"/>
      <c r="C66" s="799"/>
      <c r="D66" s="799"/>
      <c r="E66" s="800"/>
      <c r="F66" s="48" t="s">
        <v>576</v>
      </c>
      <c r="G66" s="51"/>
      <c r="H66" s="51"/>
      <c r="I66" s="51"/>
      <c r="J66" s="51">
        <f t="shared" si="12"/>
        <v>0</v>
      </c>
      <c r="K66" s="52"/>
      <c r="L66" s="52">
        <f t="shared" si="1"/>
        <v>0</v>
      </c>
    </row>
    <row r="67" spans="1:12" ht="15.9" customHeight="1">
      <c r="A67" s="53" t="s">
        <v>639</v>
      </c>
      <c r="B67" s="799"/>
      <c r="C67" s="799"/>
      <c r="D67" s="799"/>
      <c r="E67" s="855" t="s">
        <v>578</v>
      </c>
      <c r="F67" s="48" t="s">
        <v>575</v>
      </c>
      <c r="G67" s="51"/>
      <c r="H67" s="51"/>
      <c r="I67" s="51"/>
      <c r="J67" s="51">
        <f t="shared" si="12"/>
        <v>0</v>
      </c>
      <c r="K67" s="52"/>
      <c r="L67" s="52">
        <f t="shared" si="1"/>
        <v>0</v>
      </c>
    </row>
    <row r="68" spans="1:12" ht="15.9" customHeight="1">
      <c r="A68" s="53" t="s">
        <v>640</v>
      </c>
      <c r="B68" s="799"/>
      <c r="C68" s="799"/>
      <c r="D68" s="799"/>
      <c r="E68" s="800"/>
      <c r="F68" s="48" t="s">
        <v>576</v>
      </c>
      <c r="G68" s="51"/>
      <c r="H68" s="51"/>
      <c r="I68" s="51"/>
      <c r="J68" s="51">
        <f t="shared" si="12"/>
        <v>0</v>
      </c>
      <c r="K68" s="52"/>
      <c r="L68" s="52">
        <f t="shared" si="1"/>
        <v>0</v>
      </c>
    </row>
    <row r="69" spans="1:12" ht="15.9" customHeight="1">
      <c r="A69" s="53" t="s">
        <v>641</v>
      </c>
      <c r="B69" s="799"/>
      <c r="C69" s="799"/>
      <c r="D69" s="799"/>
      <c r="E69" s="855" t="s">
        <v>581</v>
      </c>
      <c r="F69" s="48" t="s">
        <v>575</v>
      </c>
      <c r="G69" s="51">
        <f t="shared" ref="G69:I70" si="13">G65+G67</f>
        <v>0</v>
      </c>
      <c r="H69" s="51">
        <f t="shared" si="13"/>
        <v>0</v>
      </c>
      <c r="I69" s="51">
        <f t="shared" si="13"/>
        <v>0</v>
      </c>
      <c r="J69" s="51">
        <f t="shared" si="12"/>
        <v>0</v>
      </c>
      <c r="K69" s="52"/>
      <c r="L69" s="52">
        <f t="shared" si="1"/>
        <v>0</v>
      </c>
    </row>
    <row r="70" spans="1:12" ht="15.9" customHeight="1">
      <c r="A70" s="53" t="s">
        <v>642</v>
      </c>
      <c r="B70" s="799"/>
      <c r="C70" s="799"/>
      <c r="D70" s="800"/>
      <c r="E70" s="800"/>
      <c r="F70" s="48" t="s">
        <v>576</v>
      </c>
      <c r="G70" s="51">
        <f t="shared" si="13"/>
        <v>0</v>
      </c>
      <c r="H70" s="51">
        <f t="shared" si="13"/>
        <v>0</v>
      </c>
      <c r="I70" s="51">
        <f t="shared" si="13"/>
        <v>0</v>
      </c>
      <c r="J70" s="51">
        <f t="shared" si="12"/>
        <v>0</v>
      </c>
      <c r="K70" s="52"/>
      <c r="L70" s="52">
        <f t="shared" si="1"/>
        <v>0</v>
      </c>
    </row>
    <row r="71" spans="1:12" ht="13.5" customHeight="1">
      <c r="A71" s="53" t="s">
        <v>643</v>
      </c>
      <c r="B71" s="799"/>
      <c r="C71" s="799"/>
      <c r="D71" s="855" t="s">
        <v>584</v>
      </c>
      <c r="E71" s="861" t="s">
        <v>585</v>
      </c>
      <c r="F71" s="623" t="s">
        <v>575</v>
      </c>
      <c r="G71" s="51"/>
      <c r="H71" s="51"/>
      <c r="I71" s="51"/>
      <c r="J71" s="51">
        <f t="shared" si="12"/>
        <v>0</v>
      </c>
      <c r="K71" s="52"/>
      <c r="L71" s="52">
        <f t="shared" si="1"/>
        <v>0</v>
      </c>
    </row>
    <row r="72" spans="1:12" ht="57.6">
      <c r="A72" s="53" t="s">
        <v>644</v>
      </c>
      <c r="B72" s="799"/>
      <c r="C72" s="799"/>
      <c r="D72" s="799"/>
      <c r="E72" s="862"/>
      <c r="F72" s="623" t="s">
        <v>576</v>
      </c>
      <c r="G72" s="51"/>
      <c r="H72" s="51"/>
      <c r="I72" s="51"/>
      <c r="J72" s="51">
        <f t="shared" si="12"/>
        <v>0</v>
      </c>
      <c r="K72" s="52"/>
      <c r="L72" s="52">
        <f t="shared" si="1"/>
        <v>0</v>
      </c>
    </row>
    <row r="73" spans="1:12" ht="57.6">
      <c r="A73" s="53" t="s">
        <v>645</v>
      </c>
      <c r="B73" s="799"/>
      <c r="C73" s="799"/>
      <c r="D73" s="799"/>
      <c r="E73" s="861" t="s">
        <v>588</v>
      </c>
      <c r="F73" s="623" t="s">
        <v>575</v>
      </c>
      <c r="G73" s="51"/>
      <c r="H73" s="51"/>
      <c r="I73" s="51"/>
      <c r="J73" s="51">
        <f t="shared" si="12"/>
        <v>0</v>
      </c>
      <c r="K73" s="52"/>
      <c r="L73" s="52">
        <f t="shared" si="1"/>
        <v>0</v>
      </c>
    </row>
    <row r="74" spans="1:12" ht="57.6">
      <c r="A74" s="53" t="s">
        <v>646</v>
      </c>
      <c r="B74" s="799"/>
      <c r="C74" s="799"/>
      <c r="D74" s="799"/>
      <c r="E74" s="862"/>
      <c r="F74" s="623" t="s">
        <v>576</v>
      </c>
      <c r="G74" s="51"/>
      <c r="H74" s="51"/>
      <c r="I74" s="51"/>
      <c r="J74" s="51">
        <f t="shared" si="12"/>
        <v>0</v>
      </c>
      <c r="K74" s="52"/>
      <c r="L74" s="52">
        <f t="shared" si="1"/>
        <v>0</v>
      </c>
    </row>
    <row r="75" spans="1:12" ht="57.6">
      <c r="A75" s="53" t="s">
        <v>647</v>
      </c>
      <c r="B75" s="799"/>
      <c r="C75" s="799"/>
      <c r="D75" s="799"/>
      <c r="E75" s="861" t="s">
        <v>66</v>
      </c>
      <c r="F75" s="623" t="s">
        <v>575</v>
      </c>
      <c r="G75" s="51"/>
      <c r="H75" s="51"/>
      <c r="I75" s="51"/>
      <c r="J75" s="51">
        <f t="shared" si="12"/>
        <v>0</v>
      </c>
      <c r="K75" s="52"/>
      <c r="L75" s="52">
        <f t="shared" si="1"/>
        <v>0</v>
      </c>
    </row>
    <row r="76" spans="1:12" ht="57.6">
      <c r="A76" s="53" t="s">
        <v>648</v>
      </c>
      <c r="B76" s="799"/>
      <c r="C76" s="799"/>
      <c r="D76" s="799"/>
      <c r="E76" s="862"/>
      <c r="F76" s="623" t="s">
        <v>576</v>
      </c>
      <c r="G76" s="51"/>
      <c r="H76" s="51"/>
      <c r="I76" s="51"/>
      <c r="J76" s="51">
        <f t="shared" si="12"/>
        <v>0</v>
      </c>
      <c r="K76" s="52"/>
      <c r="L76" s="52">
        <f t="shared" si="1"/>
        <v>0</v>
      </c>
    </row>
    <row r="77" spans="1:12" ht="57.6">
      <c r="A77" s="53" t="s">
        <v>649</v>
      </c>
      <c r="B77" s="799"/>
      <c r="C77" s="799"/>
      <c r="D77" s="799"/>
      <c r="E77" s="861" t="s">
        <v>581</v>
      </c>
      <c r="F77" s="623" t="s">
        <v>575</v>
      </c>
      <c r="G77" s="51">
        <f t="shared" ref="G77:I78" si="14">G71+G73+G75</f>
        <v>0</v>
      </c>
      <c r="H77" s="51">
        <f t="shared" si="14"/>
        <v>0</v>
      </c>
      <c r="I77" s="51">
        <f t="shared" si="14"/>
        <v>0</v>
      </c>
      <c r="J77" s="51">
        <f t="shared" si="12"/>
        <v>0</v>
      </c>
      <c r="K77" s="52"/>
      <c r="L77" s="52">
        <f t="shared" si="1"/>
        <v>0</v>
      </c>
    </row>
    <row r="78" spans="1:12" ht="57.6">
      <c r="A78" s="53" t="s">
        <v>1692</v>
      </c>
      <c r="B78" s="799"/>
      <c r="C78" s="799"/>
      <c r="D78" s="800"/>
      <c r="E78" s="862"/>
      <c r="F78" s="623" t="s">
        <v>576</v>
      </c>
      <c r="G78" s="51">
        <f t="shared" si="14"/>
        <v>0</v>
      </c>
      <c r="H78" s="51">
        <f t="shared" si="14"/>
        <v>0</v>
      </c>
      <c r="I78" s="51">
        <f t="shared" si="14"/>
        <v>0</v>
      </c>
      <c r="J78" s="51">
        <f t="shared" si="12"/>
        <v>0</v>
      </c>
      <c r="K78" s="52"/>
      <c r="L78" s="52">
        <f t="shared" si="1"/>
        <v>0</v>
      </c>
    </row>
    <row r="79" spans="1:12" ht="57.6">
      <c r="A79" s="53" t="s">
        <v>650</v>
      </c>
      <c r="B79" s="799"/>
      <c r="C79" s="799"/>
      <c r="D79" s="866" t="s">
        <v>594</v>
      </c>
      <c r="E79" s="867"/>
      <c r="F79" s="48" t="s">
        <v>575</v>
      </c>
      <c r="G79" s="51"/>
      <c r="H79" s="51"/>
      <c r="I79" s="51"/>
      <c r="J79" s="51">
        <f t="shared" si="12"/>
        <v>0</v>
      </c>
      <c r="K79" s="52"/>
      <c r="L79" s="52">
        <f t="shared" si="1"/>
        <v>0</v>
      </c>
    </row>
    <row r="80" spans="1:12" ht="57.6">
      <c r="A80" s="53" t="s">
        <v>651</v>
      </c>
      <c r="B80" s="799"/>
      <c r="C80" s="799"/>
      <c r="D80" s="664"/>
      <c r="E80" s="666"/>
      <c r="F80" s="48" t="s">
        <v>576</v>
      </c>
      <c r="G80" s="51"/>
      <c r="H80" s="51"/>
      <c r="I80" s="51"/>
      <c r="J80" s="51">
        <f t="shared" si="12"/>
        <v>0</v>
      </c>
      <c r="K80" s="52"/>
      <c r="L80" s="52">
        <f t="shared" si="1"/>
        <v>0</v>
      </c>
    </row>
    <row r="81" spans="1:12" ht="57.6">
      <c r="A81" s="53" t="s">
        <v>652</v>
      </c>
      <c r="B81" s="799"/>
      <c r="C81" s="799"/>
      <c r="D81" s="866" t="s">
        <v>68</v>
      </c>
      <c r="E81" s="867"/>
      <c r="F81" s="48" t="s">
        <v>575</v>
      </c>
      <c r="G81" s="51"/>
      <c r="H81" s="51"/>
      <c r="I81" s="51"/>
      <c r="J81" s="51">
        <f t="shared" si="12"/>
        <v>0</v>
      </c>
      <c r="K81" s="52"/>
      <c r="L81" s="52">
        <f t="shared" si="1"/>
        <v>0</v>
      </c>
    </row>
    <row r="82" spans="1:12" ht="57.6">
      <c r="A82" s="53" t="s">
        <v>653</v>
      </c>
      <c r="B82" s="799"/>
      <c r="C82" s="799"/>
      <c r="D82" s="664"/>
      <c r="E82" s="666"/>
      <c r="F82" s="48" t="s">
        <v>576</v>
      </c>
      <c r="G82" s="51"/>
      <c r="H82" s="51"/>
      <c r="I82" s="51"/>
      <c r="J82" s="51">
        <f t="shared" si="12"/>
        <v>0</v>
      </c>
      <c r="K82" s="52"/>
      <c r="L82" s="52">
        <f t="shared" si="1"/>
        <v>0</v>
      </c>
    </row>
    <row r="83" spans="1:12" ht="86.4">
      <c r="A83" s="53" t="s">
        <v>154</v>
      </c>
      <c r="B83" s="799"/>
      <c r="C83" s="799"/>
      <c r="D83" s="866" t="s">
        <v>599</v>
      </c>
      <c r="E83" s="867"/>
      <c r="F83" s="48" t="s">
        <v>654</v>
      </c>
      <c r="G83" s="51">
        <f>G69+G77+G79+G81</f>
        <v>0</v>
      </c>
      <c r="H83" s="51">
        <f t="shared" ref="H83:L83" si="15">H69+H77+H79+H81</f>
        <v>0</v>
      </c>
      <c r="I83" s="51">
        <f t="shared" si="15"/>
        <v>0</v>
      </c>
      <c r="J83" s="51">
        <f t="shared" si="15"/>
        <v>0</v>
      </c>
      <c r="K83" s="51">
        <f t="shared" si="15"/>
        <v>0</v>
      </c>
      <c r="L83" s="51">
        <f t="shared" si="15"/>
        <v>0</v>
      </c>
    </row>
    <row r="84" spans="1:12" ht="57.6">
      <c r="A84" s="53" t="s">
        <v>655</v>
      </c>
      <c r="B84" s="799"/>
      <c r="C84" s="615"/>
      <c r="D84" s="664"/>
      <c r="E84" s="666"/>
      <c r="F84" s="48" t="s">
        <v>576</v>
      </c>
      <c r="G84" s="51">
        <f>G70+G78+G80+G82</f>
        <v>0</v>
      </c>
      <c r="H84" s="51">
        <f t="shared" ref="H84:L84" si="16">H70+H78+H80+H82</f>
        <v>0</v>
      </c>
      <c r="I84" s="51">
        <f t="shared" si="16"/>
        <v>0</v>
      </c>
      <c r="J84" s="51">
        <f t="shared" si="16"/>
        <v>0</v>
      </c>
      <c r="K84" s="51">
        <f t="shared" si="16"/>
        <v>0</v>
      </c>
      <c r="L84" s="51">
        <f t="shared" si="16"/>
        <v>0</v>
      </c>
    </row>
    <row r="85" spans="1:12" ht="27.75" customHeight="1">
      <c r="A85" s="53" t="s">
        <v>163</v>
      </c>
      <c r="B85" s="800"/>
      <c r="C85" s="872" t="s">
        <v>656</v>
      </c>
      <c r="D85" s="873"/>
      <c r="E85" s="873"/>
      <c r="F85" s="874"/>
      <c r="G85" s="56">
        <f>G83</f>
        <v>0</v>
      </c>
      <c r="H85" s="56">
        <f>H83</f>
        <v>0</v>
      </c>
      <c r="I85" s="56">
        <f>I83</f>
        <v>0</v>
      </c>
      <c r="J85" s="56">
        <f t="shared" ref="J85:L85" si="17">J83</f>
        <v>0</v>
      </c>
      <c r="K85" s="56">
        <f t="shared" si="17"/>
        <v>0</v>
      </c>
      <c r="L85" s="56">
        <f t="shared" si="17"/>
        <v>0</v>
      </c>
    </row>
    <row r="86" spans="1:12" ht="86.4">
      <c r="A86" s="53" t="s">
        <v>657</v>
      </c>
      <c r="B86" s="872" t="s">
        <v>658</v>
      </c>
      <c r="C86" s="873"/>
      <c r="D86" s="873"/>
      <c r="E86" s="874"/>
      <c r="F86" s="616" t="s">
        <v>659</v>
      </c>
      <c r="G86" s="56">
        <f>G31+G57+G83</f>
        <v>0</v>
      </c>
      <c r="H86" s="56">
        <f>H31+H57+H83</f>
        <v>0</v>
      </c>
      <c r="I86" s="56">
        <f>I31+I57+I83</f>
        <v>0</v>
      </c>
      <c r="J86" s="56">
        <f>J31+J57+J83</f>
        <v>0</v>
      </c>
      <c r="K86" s="56">
        <f>K31+K57+K83</f>
        <v>0</v>
      </c>
      <c r="L86" s="56">
        <f t="shared" ref="L86" si="18">L31+L57+L83</f>
        <v>0</v>
      </c>
    </row>
    <row r="87" spans="1:12">
      <c r="A87" s="53" t="s">
        <v>558</v>
      </c>
      <c r="B87" s="872" t="s">
        <v>660</v>
      </c>
      <c r="C87" s="873"/>
      <c r="D87" s="873"/>
      <c r="E87" s="874"/>
      <c r="F87" s="616"/>
      <c r="G87" s="56">
        <f>G35+G61+G86</f>
        <v>0</v>
      </c>
      <c r="H87" s="56">
        <f t="shared" ref="H87:L87" si="19">H35+H61+H86</f>
        <v>0</v>
      </c>
      <c r="I87" s="56">
        <f t="shared" si="19"/>
        <v>0</v>
      </c>
      <c r="J87" s="56">
        <f t="shared" si="19"/>
        <v>0</v>
      </c>
      <c r="K87" s="56">
        <f t="shared" si="19"/>
        <v>0</v>
      </c>
      <c r="L87" s="56">
        <f t="shared" si="19"/>
        <v>0</v>
      </c>
    </row>
    <row r="88" spans="1:12" ht="13.5" customHeight="1">
      <c r="A88" s="53" t="s">
        <v>559</v>
      </c>
      <c r="B88" s="855" t="s">
        <v>661</v>
      </c>
      <c r="C88" s="855" t="s">
        <v>662</v>
      </c>
      <c r="D88" s="855" t="s">
        <v>663</v>
      </c>
      <c r="E88" s="872" t="s">
        <v>664</v>
      </c>
      <c r="F88" s="874"/>
      <c r="G88" s="51"/>
      <c r="H88" s="51"/>
      <c r="I88" s="51"/>
      <c r="J88" s="51"/>
      <c r="K88" s="52"/>
      <c r="L88" s="52">
        <f t="shared" si="1"/>
        <v>0</v>
      </c>
    </row>
    <row r="89" spans="1:12">
      <c r="A89" s="53" t="s">
        <v>561</v>
      </c>
      <c r="B89" s="799"/>
      <c r="C89" s="799"/>
      <c r="D89" s="799"/>
      <c r="E89" s="872" t="s">
        <v>665</v>
      </c>
      <c r="F89" s="874"/>
      <c r="G89" s="51"/>
      <c r="H89" s="51"/>
      <c r="I89" s="51"/>
      <c r="J89" s="51"/>
      <c r="K89" s="52"/>
      <c r="L89" s="52">
        <f t="shared" si="1"/>
        <v>0</v>
      </c>
    </row>
    <row r="90" spans="1:12">
      <c r="A90" s="53" t="s">
        <v>560</v>
      </c>
      <c r="B90" s="799"/>
      <c r="C90" s="799"/>
      <c r="D90" s="800"/>
      <c r="E90" s="872" t="s">
        <v>666</v>
      </c>
      <c r="F90" s="874"/>
      <c r="G90" s="51"/>
      <c r="H90" s="51"/>
      <c r="I90" s="51"/>
      <c r="J90" s="51"/>
      <c r="K90" s="52"/>
      <c r="L90" s="52">
        <f t="shared" si="1"/>
        <v>0</v>
      </c>
    </row>
    <row r="91" spans="1:12" ht="13.5" customHeight="1">
      <c r="A91" s="53" t="s">
        <v>667</v>
      </c>
      <c r="B91" s="799"/>
      <c r="C91" s="799"/>
      <c r="D91" s="855" t="s">
        <v>668</v>
      </c>
      <c r="E91" s="872" t="s">
        <v>664</v>
      </c>
      <c r="F91" s="874"/>
      <c r="G91" s="51"/>
      <c r="H91" s="51"/>
      <c r="I91" s="51"/>
      <c r="J91" s="51"/>
      <c r="K91" s="52"/>
      <c r="L91" s="52">
        <f t="shared" si="1"/>
        <v>0</v>
      </c>
    </row>
    <row r="92" spans="1:12">
      <c r="A92" s="53" t="s">
        <v>669</v>
      </c>
      <c r="B92" s="799"/>
      <c r="C92" s="799"/>
      <c r="D92" s="799"/>
      <c r="E92" s="872" t="s">
        <v>665</v>
      </c>
      <c r="F92" s="874"/>
      <c r="G92" s="51"/>
      <c r="H92" s="51"/>
      <c r="I92" s="51"/>
      <c r="J92" s="51"/>
      <c r="K92" s="52"/>
      <c r="L92" s="52">
        <f t="shared" si="1"/>
        <v>0</v>
      </c>
    </row>
    <row r="93" spans="1:12" ht="13.5" customHeight="1">
      <c r="A93" s="53" t="s">
        <v>670</v>
      </c>
      <c r="B93" s="799"/>
      <c r="C93" s="800"/>
      <c r="D93" s="800"/>
      <c r="E93" s="872" t="s">
        <v>666</v>
      </c>
      <c r="F93" s="874"/>
      <c r="G93" s="51"/>
      <c r="H93" s="51"/>
      <c r="I93" s="51"/>
      <c r="J93" s="51"/>
      <c r="K93" s="52"/>
      <c r="L93" s="52">
        <f t="shared" si="1"/>
        <v>0</v>
      </c>
    </row>
    <row r="94" spans="1:12" ht="13.5" customHeight="1">
      <c r="A94" s="53" t="s">
        <v>671</v>
      </c>
      <c r="B94" s="799"/>
      <c r="C94" s="855" t="s">
        <v>672</v>
      </c>
      <c r="D94" s="855" t="s">
        <v>663</v>
      </c>
      <c r="E94" s="872" t="s">
        <v>664</v>
      </c>
      <c r="F94" s="874"/>
      <c r="G94" s="51"/>
      <c r="H94" s="51"/>
      <c r="I94" s="51"/>
      <c r="J94" s="51">
        <f t="shared" si="12"/>
        <v>0</v>
      </c>
      <c r="K94" s="51"/>
      <c r="L94" s="52">
        <f t="shared" si="1"/>
        <v>0</v>
      </c>
    </row>
    <row r="95" spans="1:12" ht="13.5" customHeight="1">
      <c r="A95" s="53" t="s">
        <v>673</v>
      </c>
      <c r="B95" s="799"/>
      <c r="C95" s="799"/>
      <c r="D95" s="799"/>
      <c r="E95" s="872" t="s">
        <v>665</v>
      </c>
      <c r="F95" s="874"/>
      <c r="G95" s="51"/>
      <c r="H95" s="51"/>
      <c r="I95" s="51"/>
      <c r="J95" s="51">
        <f t="shared" si="12"/>
        <v>0</v>
      </c>
      <c r="K95" s="51"/>
      <c r="L95" s="52">
        <f t="shared" si="1"/>
        <v>0</v>
      </c>
    </row>
    <row r="96" spans="1:12" ht="13.5" customHeight="1">
      <c r="A96" s="53" t="s">
        <v>674</v>
      </c>
      <c r="B96" s="799"/>
      <c r="C96" s="799"/>
      <c r="D96" s="800"/>
      <c r="E96" s="872" t="s">
        <v>666</v>
      </c>
      <c r="F96" s="874"/>
      <c r="G96" s="51"/>
      <c r="H96" s="51"/>
      <c r="I96" s="51"/>
      <c r="J96" s="51">
        <f t="shared" si="12"/>
        <v>0</v>
      </c>
      <c r="K96" s="51"/>
      <c r="L96" s="52">
        <f t="shared" si="1"/>
        <v>0</v>
      </c>
    </row>
    <row r="97" spans="1:12" ht="13.5" customHeight="1">
      <c r="A97" s="53" t="s">
        <v>675</v>
      </c>
      <c r="B97" s="799"/>
      <c r="C97" s="799"/>
      <c r="D97" s="855" t="s">
        <v>668</v>
      </c>
      <c r="E97" s="872" t="s">
        <v>664</v>
      </c>
      <c r="F97" s="874"/>
      <c r="G97" s="51"/>
      <c r="H97" s="51"/>
      <c r="I97" s="51"/>
      <c r="J97" s="51">
        <f>H97-I97</f>
        <v>0</v>
      </c>
      <c r="K97" s="51"/>
      <c r="L97" s="52">
        <f t="shared" si="1"/>
        <v>0</v>
      </c>
    </row>
    <row r="98" spans="1:12" ht="13.5" customHeight="1">
      <c r="A98" s="53" t="s">
        <v>676</v>
      </c>
      <c r="B98" s="799"/>
      <c r="C98" s="799"/>
      <c r="D98" s="799"/>
      <c r="E98" s="872" t="s">
        <v>665</v>
      </c>
      <c r="F98" s="874"/>
      <c r="G98" s="51"/>
      <c r="H98" s="51"/>
      <c r="I98" s="51"/>
      <c r="J98" s="51">
        <f t="shared" si="12"/>
        <v>0</v>
      </c>
      <c r="K98" s="51"/>
      <c r="L98" s="52">
        <f t="shared" si="1"/>
        <v>0</v>
      </c>
    </row>
    <row r="99" spans="1:12" ht="13.5" customHeight="1">
      <c r="A99" s="53" t="s">
        <v>677</v>
      </c>
      <c r="B99" s="800"/>
      <c r="C99" s="800"/>
      <c r="D99" s="800"/>
      <c r="E99" s="872" t="s">
        <v>666</v>
      </c>
      <c r="F99" s="874"/>
      <c r="G99" s="51"/>
      <c r="H99" s="51"/>
      <c r="I99" s="51"/>
      <c r="J99" s="51">
        <f t="shared" si="12"/>
        <v>0</v>
      </c>
      <c r="K99" s="51"/>
      <c r="L99" s="52">
        <f t="shared" si="1"/>
        <v>0</v>
      </c>
    </row>
    <row r="101" spans="1:12">
      <c r="A101" s="37" t="s">
        <v>547</v>
      </c>
      <c r="C101" s="396"/>
      <c r="D101" s="396"/>
    </row>
    <row r="102" spans="1:12">
      <c r="C102" s="396"/>
      <c r="D102" s="396"/>
    </row>
    <row r="103" spans="1:12">
      <c r="A103" s="37" t="s">
        <v>59</v>
      </c>
    </row>
    <row r="104" spans="1:12">
      <c r="A104" s="14" t="s">
        <v>678</v>
      </c>
    </row>
    <row r="105" spans="1:12">
      <c r="A105" s="875" t="s">
        <v>679</v>
      </c>
      <c r="B105" s="875"/>
      <c r="C105" s="875"/>
      <c r="D105" s="875"/>
      <c r="E105" s="875"/>
      <c r="F105" s="875"/>
      <c r="G105" s="875"/>
      <c r="H105" s="875"/>
      <c r="I105" s="875"/>
      <c r="J105" s="875"/>
      <c r="K105" s="875"/>
      <c r="L105" s="875"/>
    </row>
    <row r="106" spans="1:12">
      <c r="A106" s="58" t="s">
        <v>680</v>
      </c>
      <c r="B106" s="617"/>
      <c r="C106" s="617"/>
      <c r="D106" s="617"/>
      <c r="E106" s="617"/>
      <c r="F106" s="617"/>
      <c r="G106" s="132"/>
      <c r="H106" s="132"/>
      <c r="I106" s="132"/>
      <c r="J106" s="132"/>
      <c r="K106" s="132"/>
      <c r="L106" s="132"/>
    </row>
    <row r="107" spans="1:12">
      <c r="A107" s="14" t="s">
        <v>681</v>
      </c>
    </row>
    <row r="108" spans="1:12">
      <c r="A108" s="14" t="s">
        <v>682</v>
      </c>
    </row>
    <row r="109" spans="1:12">
      <c r="A109" s="14" t="s">
        <v>683</v>
      </c>
    </row>
    <row r="110" spans="1:12">
      <c r="A110" s="14" t="s">
        <v>684</v>
      </c>
    </row>
    <row r="111" spans="1:12">
      <c r="A111" s="14" t="s">
        <v>685</v>
      </c>
    </row>
    <row r="112" spans="1:12">
      <c r="A112" s="14" t="s">
        <v>686</v>
      </c>
    </row>
    <row r="113" spans="1:15">
      <c r="A113" s="14" t="s">
        <v>687</v>
      </c>
    </row>
    <row r="114" spans="1:15">
      <c r="A114" s="14" t="s">
        <v>688</v>
      </c>
    </row>
    <row r="115" spans="1:15">
      <c r="A115" s="14" t="s">
        <v>689</v>
      </c>
      <c r="C115" s="60"/>
      <c r="E115" s="61"/>
      <c r="F115" s="61"/>
      <c r="G115" s="61"/>
      <c r="H115" s="61"/>
      <c r="I115" s="61"/>
      <c r="J115" s="61"/>
      <c r="K115" s="61"/>
    </row>
    <row r="117" spans="1:15">
      <c r="A117" s="62" t="s">
        <v>173</v>
      </c>
    </row>
    <row r="118" spans="1:15" ht="17.399999999999999">
      <c r="A118" s="14" t="s">
        <v>690</v>
      </c>
    </row>
    <row r="123" spans="1:15">
      <c r="O123" s="14" t="s">
        <v>784</v>
      </c>
    </row>
  </sheetData>
  <mergeCells count="81">
    <mergeCell ref="B86:E86"/>
    <mergeCell ref="B62:B85"/>
    <mergeCell ref="A105:L105"/>
    <mergeCell ref="C94:C99"/>
    <mergeCell ref="D94:D96"/>
    <mergeCell ref="E94:F94"/>
    <mergeCell ref="E95:F95"/>
    <mergeCell ref="E96:F96"/>
    <mergeCell ref="D97:D99"/>
    <mergeCell ref="E97:F97"/>
    <mergeCell ref="E98:F98"/>
    <mergeCell ref="E99:F99"/>
    <mergeCell ref="B88:B99"/>
    <mergeCell ref="C88:C93"/>
    <mergeCell ref="D88:D90"/>
    <mergeCell ref="E88:F88"/>
    <mergeCell ref="D91:D93"/>
    <mergeCell ref="E91:F91"/>
    <mergeCell ref="E92:F92"/>
    <mergeCell ref="E93:F93"/>
    <mergeCell ref="B87:E87"/>
    <mergeCell ref="E89:F89"/>
    <mergeCell ref="E90:F90"/>
    <mergeCell ref="E77:E78"/>
    <mergeCell ref="D79:E80"/>
    <mergeCell ref="D81:E82"/>
    <mergeCell ref="D83:E84"/>
    <mergeCell ref="C85:F85"/>
    <mergeCell ref="D55:E56"/>
    <mergeCell ref="D57:E58"/>
    <mergeCell ref="C59:E60"/>
    <mergeCell ref="C61:F61"/>
    <mergeCell ref="D65:D70"/>
    <mergeCell ref="E65:E66"/>
    <mergeCell ref="E67:E68"/>
    <mergeCell ref="E69:E70"/>
    <mergeCell ref="C62:F62"/>
    <mergeCell ref="C63:C83"/>
    <mergeCell ref="D63:F63"/>
    <mergeCell ref="D64:F64"/>
    <mergeCell ref="D71:D78"/>
    <mergeCell ref="E71:E72"/>
    <mergeCell ref="E73:E74"/>
    <mergeCell ref="E75:E76"/>
    <mergeCell ref="E45:E46"/>
    <mergeCell ref="E47:E48"/>
    <mergeCell ref="E49:E50"/>
    <mergeCell ref="E51:E52"/>
    <mergeCell ref="D53:E54"/>
    <mergeCell ref="E25:E26"/>
    <mergeCell ref="B36:B61"/>
    <mergeCell ref="C36:F36"/>
    <mergeCell ref="C37:C57"/>
    <mergeCell ref="D37:F37"/>
    <mergeCell ref="D38:F38"/>
    <mergeCell ref="D27:E28"/>
    <mergeCell ref="D29:E30"/>
    <mergeCell ref="D31:E32"/>
    <mergeCell ref="C33:E34"/>
    <mergeCell ref="C35:F35"/>
    <mergeCell ref="D39:D44"/>
    <mergeCell ref="E39:E40"/>
    <mergeCell ref="E41:E42"/>
    <mergeCell ref="E43:E44"/>
    <mergeCell ref="D45:D52"/>
    <mergeCell ref="A8:F10"/>
    <mergeCell ref="G9:G10"/>
    <mergeCell ref="H9:K9"/>
    <mergeCell ref="L9:L10"/>
    <mergeCell ref="B11:B35"/>
    <mergeCell ref="C11:C32"/>
    <mergeCell ref="D11:F11"/>
    <mergeCell ref="D12:F12"/>
    <mergeCell ref="D13:D18"/>
    <mergeCell ref="E13:E14"/>
    <mergeCell ref="E15:E16"/>
    <mergeCell ref="E17:E18"/>
    <mergeCell ref="D19:D26"/>
    <mergeCell ref="E19:E20"/>
    <mergeCell ref="E21:E22"/>
    <mergeCell ref="E23:E24"/>
  </mergeCells>
  <phoneticPr fontId="6" type="noConversion"/>
  <pageMargins left="0.7" right="0.7" top="0.75" bottom="0.75" header="0.3" footer="0.3"/>
  <pageSetup paperSize="9" scale="19" orientation="portrait" r:id="rId1"/>
  <rowBreaks count="1" manualBreakCount="1">
    <brk id="99" max="11" man="1"/>
  </rowBreaks>
  <drawing r:id="rId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0D97B7-66D1-4516-A824-C8FCA272BF98}">
  <sheetPr codeName="Sheet29">
    <tabColor rgb="FFFFFF00"/>
    <pageSetUpPr fitToPage="1"/>
  </sheetPr>
  <dimension ref="A1:O129"/>
  <sheetViews>
    <sheetView showGridLines="0" view="pageBreakPreview" zoomScale="85" zoomScaleNormal="85" zoomScaleSheetLayoutView="85" workbookViewId="0">
      <pane xSplit="6" ySplit="10" topLeftCell="G74" activePane="bottomRight" state="frozen"/>
      <selection pane="topRight" activeCell="G1" sqref="G1"/>
      <selection pane="bottomLeft" activeCell="A11" sqref="A11"/>
      <selection pane="bottomRight" activeCell="L13" sqref="L13"/>
    </sheetView>
  </sheetViews>
  <sheetFormatPr defaultColWidth="8.8984375" defaultRowHeight="14.4"/>
  <cols>
    <col min="1" max="1" width="7.796875" style="14" customWidth="1"/>
    <col min="2" max="2" width="9.8984375" style="14" customWidth="1"/>
    <col min="3" max="3" width="12" style="14" customWidth="1"/>
    <col min="4" max="4" width="11.796875" style="14" customWidth="1"/>
    <col min="5" max="5" width="10.59765625" style="46" customWidth="1"/>
    <col min="6" max="6" width="12.796875" style="46" customWidth="1"/>
    <col min="7" max="12" width="12.296875" style="14" customWidth="1"/>
    <col min="13" max="16384" width="8.8984375" style="14"/>
  </cols>
  <sheetData>
    <row r="1" spans="1:12">
      <c r="E1" s="14"/>
      <c r="F1" s="14"/>
    </row>
    <row r="2" spans="1:12">
      <c r="E2" s="14"/>
      <c r="F2" s="14"/>
    </row>
    <row r="3" spans="1:12">
      <c r="E3" s="14"/>
      <c r="F3" s="14"/>
    </row>
    <row r="4" spans="1:12">
      <c r="E4" s="14"/>
      <c r="F4" s="14"/>
    </row>
    <row r="5" spans="1:12" ht="20.25" customHeight="1">
      <c r="A5" s="16" t="s">
        <v>553</v>
      </c>
      <c r="B5" s="16"/>
      <c r="C5" s="42"/>
      <c r="D5" s="42"/>
      <c r="E5" s="43"/>
      <c r="F5" s="43"/>
      <c r="G5" s="16"/>
    </row>
    <row r="7" spans="1:12">
      <c r="A7" s="44" t="s">
        <v>554</v>
      </c>
      <c r="B7" s="45"/>
      <c r="C7" s="44"/>
      <c r="D7" s="44"/>
      <c r="L7" s="45"/>
    </row>
    <row r="8" spans="1:12">
      <c r="A8" s="850" t="s">
        <v>555</v>
      </c>
      <c r="B8" s="851"/>
      <c r="C8" s="851"/>
      <c r="D8" s="851"/>
      <c r="E8" s="851"/>
      <c r="F8" s="852"/>
      <c r="G8" s="47" t="s">
        <v>556</v>
      </c>
      <c r="H8" s="47" t="s">
        <v>557</v>
      </c>
      <c r="I8" s="47" t="s">
        <v>558</v>
      </c>
      <c r="J8" s="47" t="s">
        <v>559</v>
      </c>
      <c r="K8" s="47" t="s">
        <v>560</v>
      </c>
      <c r="L8" s="47" t="s">
        <v>561</v>
      </c>
    </row>
    <row r="9" spans="1:12" ht="13.5" customHeight="1">
      <c r="A9" s="813"/>
      <c r="B9" s="814"/>
      <c r="C9" s="814"/>
      <c r="D9" s="814"/>
      <c r="E9" s="814"/>
      <c r="F9" s="815"/>
      <c r="G9" s="855" t="s">
        <v>562</v>
      </c>
      <c r="H9" s="850" t="s">
        <v>563</v>
      </c>
      <c r="I9" s="851"/>
      <c r="J9" s="851"/>
      <c r="K9" s="852"/>
      <c r="L9" s="855" t="s">
        <v>564</v>
      </c>
    </row>
    <row r="10" spans="1:12" ht="28.8">
      <c r="A10" s="853"/>
      <c r="B10" s="817"/>
      <c r="C10" s="817"/>
      <c r="D10" s="817"/>
      <c r="E10" s="817"/>
      <c r="F10" s="854"/>
      <c r="G10" s="800"/>
      <c r="H10" s="48" t="s">
        <v>565</v>
      </c>
      <c r="I10" s="48" t="s">
        <v>566</v>
      </c>
      <c r="J10" s="48" t="s">
        <v>567</v>
      </c>
      <c r="K10" s="48" t="s">
        <v>68</v>
      </c>
      <c r="L10" s="800"/>
    </row>
    <row r="11" spans="1:12">
      <c r="A11" s="47" t="s">
        <v>568</v>
      </c>
      <c r="B11" s="876" t="s">
        <v>569</v>
      </c>
      <c r="C11" s="876" t="s">
        <v>570</v>
      </c>
      <c r="D11" s="879" t="s">
        <v>571</v>
      </c>
      <c r="E11" s="880"/>
      <c r="F11" s="881"/>
      <c r="G11" s="49"/>
      <c r="H11" s="50"/>
      <c r="I11" s="50"/>
      <c r="J11" s="51">
        <f t="shared" ref="J11:J74" si="0">H11-I11</f>
        <v>0</v>
      </c>
      <c r="K11" s="49"/>
      <c r="L11" s="52">
        <f>G11+J11+K11</f>
        <v>0</v>
      </c>
    </row>
    <row r="12" spans="1:12">
      <c r="A12" s="47" t="s">
        <v>265</v>
      </c>
      <c r="B12" s="877"/>
      <c r="C12" s="877"/>
      <c r="D12" s="882" t="s">
        <v>572</v>
      </c>
      <c r="E12" s="883"/>
      <c r="F12" s="884"/>
      <c r="G12" s="51"/>
      <c r="H12" s="51"/>
      <c r="I12" s="51"/>
      <c r="J12" s="51">
        <f t="shared" si="0"/>
        <v>0</v>
      </c>
      <c r="K12" s="51"/>
      <c r="L12" s="52">
        <f t="shared" ref="L12:L105" si="1">G12+J12+K12</f>
        <v>0</v>
      </c>
    </row>
    <row r="13" spans="1:12" ht="13.5" customHeight="1">
      <c r="A13" s="47" t="s">
        <v>65</v>
      </c>
      <c r="B13" s="877"/>
      <c r="C13" s="877"/>
      <c r="D13" s="855" t="s">
        <v>573</v>
      </c>
      <c r="E13" s="855" t="s">
        <v>574</v>
      </c>
      <c r="F13" s="53" t="s">
        <v>575</v>
      </c>
      <c r="G13" s="51"/>
      <c r="H13" s="51"/>
      <c r="I13" s="51"/>
      <c r="J13" s="51">
        <f t="shared" si="0"/>
        <v>0</v>
      </c>
      <c r="K13" s="51"/>
      <c r="L13" s="52">
        <f t="shared" si="1"/>
        <v>0</v>
      </c>
    </row>
    <row r="14" spans="1:12">
      <c r="A14" s="47" t="s">
        <v>69</v>
      </c>
      <c r="B14" s="877"/>
      <c r="C14" s="877"/>
      <c r="D14" s="799"/>
      <c r="E14" s="800"/>
      <c r="F14" s="53" t="s">
        <v>576</v>
      </c>
      <c r="G14" s="51"/>
      <c r="H14" s="51"/>
      <c r="I14" s="51"/>
      <c r="J14" s="51">
        <f t="shared" si="0"/>
        <v>0</v>
      </c>
      <c r="K14" s="51"/>
      <c r="L14" s="52">
        <f t="shared" si="1"/>
        <v>0</v>
      </c>
    </row>
    <row r="15" spans="1:12">
      <c r="A15" s="47" t="s">
        <v>577</v>
      </c>
      <c r="B15" s="877"/>
      <c r="C15" s="877"/>
      <c r="D15" s="799"/>
      <c r="E15" s="876" t="s">
        <v>578</v>
      </c>
      <c r="F15" s="53" t="s">
        <v>575</v>
      </c>
      <c r="G15" s="51"/>
      <c r="H15" s="51"/>
      <c r="I15" s="51"/>
      <c r="J15" s="51">
        <f t="shared" si="0"/>
        <v>0</v>
      </c>
      <c r="K15" s="51"/>
      <c r="L15" s="52">
        <f t="shared" si="1"/>
        <v>0</v>
      </c>
    </row>
    <row r="16" spans="1:12">
      <c r="A16" s="47" t="s">
        <v>579</v>
      </c>
      <c r="B16" s="877"/>
      <c r="C16" s="877"/>
      <c r="D16" s="799"/>
      <c r="E16" s="878"/>
      <c r="F16" s="53" t="s">
        <v>576</v>
      </c>
      <c r="G16" s="51"/>
      <c r="H16" s="51"/>
      <c r="I16" s="51"/>
      <c r="J16" s="51">
        <f t="shared" si="0"/>
        <v>0</v>
      </c>
      <c r="K16" s="51"/>
      <c r="L16" s="52">
        <f t="shared" si="1"/>
        <v>0</v>
      </c>
    </row>
    <row r="17" spans="1:12">
      <c r="A17" s="47" t="s">
        <v>580</v>
      </c>
      <c r="B17" s="877"/>
      <c r="C17" s="877"/>
      <c r="D17" s="799"/>
      <c r="E17" s="876" t="s">
        <v>581</v>
      </c>
      <c r="F17" s="53" t="s">
        <v>575</v>
      </c>
      <c r="G17" s="51">
        <f t="shared" ref="G17:I18" si="2">G13+G15</f>
        <v>0</v>
      </c>
      <c r="H17" s="51">
        <f t="shared" si="2"/>
        <v>0</v>
      </c>
      <c r="I17" s="51">
        <f t="shared" si="2"/>
        <v>0</v>
      </c>
      <c r="J17" s="51">
        <f t="shared" si="0"/>
        <v>0</v>
      </c>
      <c r="K17" s="51">
        <f>K13+K15</f>
        <v>0</v>
      </c>
      <c r="L17" s="52">
        <f t="shared" si="1"/>
        <v>0</v>
      </c>
    </row>
    <row r="18" spans="1:12">
      <c r="A18" s="47" t="s">
        <v>582</v>
      </c>
      <c r="B18" s="877"/>
      <c r="C18" s="877"/>
      <c r="D18" s="800"/>
      <c r="E18" s="878"/>
      <c r="F18" s="53" t="s">
        <v>576</v>
      </c>
      <c r="G18" s="51">
        <f t="shared" si="2"/>
        <v>0</v>
      </c>
      <c r="H18" s="51">
        <f t="shared" si="2"/>
        <v>0</v>
      </c>
      <c r="I18" s="51">
        <f t="shared" si="2"/>
        <v>0</v>
      </c>
      <c r="J18" s="51">
        <f t="shared" si="0"/>
        <v>0</v>
      </c>
      <c r="K18" s="51">
        <f t="shared" ref="K18" si="3">K14+K16</f>
        <v>0</v>
      </c>
      <c r="L18" s="52">
        <f t="shared" si="1"/>
        <v>0</v>
      </c>
    </row>
    <row r="19" spans="1:12" ht="13.5" customHeight="1">
      <c r="A19" s="47" t="s">
        <v>583</v>
      </c>
      <c r="B19" s="877"/>
      <c r="C19" s="877"/>
      <c r="D19" s="855" t="s">
        <v>584</v>
      </c>
      <c r="E19" s="885" t="s">
        <v>585</v>
      </c>
      <c r="F19" s="384" t="s">
        <v>575</v>
      </c>
      <c r="G19" s="51"/>
      <c r="H19" s="51"/>
      <c r="I19" s="51"/>
      <c r="J19" s="51">
        <f t="shared" si="0"/>
        <v>0</v>
      </c>
      <c r="K19" s="51"/>
      <c r="L19" s="52">
        <f t="shared" si="1"/>
        <v>0</v>
      </c>
    </row>
    <row r="20" spans="1:12">
      <c r="A20" s="47" t="s">
        <v>586</v>
      </c>
      <c r="B20" s="877"/>
      <c r="C20" s="877"/>
      <c r="D20" s="799"/>
      <c r="E20" s="886"/>
      <c r="F20" s="384" t="s">
        <v>576</v>
      </c>
      <c r="G20" s="51"/>
      <c r="H20" s="51"/>
      <c r="I20" s="51"/>
      <c r="J20" s="51">
        <f t="shared" si="0"/>
        <v>0</v>
      </c>
      <c r="K20" s="51"/>
      <c r="L20" s="52">
        <f t="shared" si="1"/>
        <v>0</v>
      </c>
    </row>
    <row r="21" spans="1:12">
      <c r="A21" s="47" t="s">
        <v>587</v>
      </c>
      <c r="B21" s="877"/>
      <c r="C21" s="877"/>
      <c r="D21" s="799"/>
      <c r="E21" s="885" t="s">
        <v>588</v>
      </c>
      <c r="F21" s="384" t="s">
        <v>575</v>
      </c>
      <c r="G21" s="51"/>
      <c r="H21" s="51"/>
      <c r="I21" s="51"/>
      <c r="J21" s="51">
        <f t="shared" si="0"/>
        <v>0</v>
      </c>
      <c r="K21" s="51"/>
      <c r="L21" s="52">
        <f t="shared" si="1"/>
        <v>0</v>
      </c>
    </row>
    <row r="22" spans="1:12">
      <c r="A22" s="47" t="s">
        <v>589</v>
      </c>
      <c r="B22" s="877"/>
      <c r="C22" s="877"/>
      <c r="D22" s="799"/>
      <c r="E22" s="886"/>
      <c r="F22" s="384" t="s">
        <v>576</v>
      </c>
      <c r="G22" s="51"/>
      <c r="H22" s="51"/>
      <c r="I22" s="51"/>
      <c r="J22" s="51">
        <f t="shared" si="0"/>
        <v>0</v>
      </c>
      <c r="K22" s="51"/>
      <c r="L22" s="52">
        <f t="shared" si="1"/>
        <v>0</v>
      </c>
    </row>
    <row r="23" spans="1:12">
      <c r="A23" s="426" t="s">
        <v>1406</v>
      </c>
      <c r="B23" s="877"/>
      <c r="C23" s="877"/>
      <c r="D23" s="799"/>
      <c r="E23" s="890" t="s">
        <v>1394</v>
      </c>
      <c r="F23" s="426" t="s">
        <v>575</v>
      </c>
      <c r="G23" s="51"/>
      <c r="H23" s="51"/>
      <c r="I23" s="51"/>
      <c r="J23" s="51">
        <f t="shared" si="0"/>
        <v>0</v>
      </c>
      <c r="K23" s="51"/>
      <c r="L23" s="52">
        <f t="shared" si="1"/>
        <v>0</v>
      </c>
    </row>
    <row r="24" spans="1:12">
      <c r="A24" s="426" t="s">
        <v>1407</v>
      </c>
      <c r="B24" s="877"/>
      <c r="C24" s="877"/>
      <c r="D24" s="799"/>
      <c r="E24" s="891"/>
      <c r="F24" s="426" t="s">
        <v>576</v>
      </c>
      <c r="G24" s="51"/>
      <c r="H24" s="51"/>
      <c r="I24" s="51"/>
      <c r="J24" s="51">
        <f t="shared" si="0"/>
        <v>0</v>
      </c>
      <c r="K24" s="51"/>
      <c r="L24" s="52">
        <f t="shared" si="1"/>
        <v>0</v>
      </c>
    </row>
    <row r="25" spans="1:12">
      <c r="A25" s="47" t="s">
        <v>590</v>
      </c>
      <c r="B25" s="877"/>
      <c r="C25" s="877"/>
      <c r="D25" s="799"/>
      <c r="E25" s="876" t="s">
        <v>66</v>
      </c>
      <c r="F25" s="53" t="s">
        <v>575</v>
      </c>
      <c r="G25" s="51"/>
      <c r="H25" s="51"/>
      <c r="I25" s="51"/>
      <c r="J25" s="51">
        <f t="shared" si="0"/>
        <v>0</v>
      </c>
      <c r="K25" s="51"/>
      <c r="L25" s="52">
        <f t="shared" si="1"/>
        <v>0</v>
      </c>
    </row>
    <row r="26" spans="1:12">
      <c r="A26" s="47" t="s">
        <v>591</v>
      </c>
      <c r="B26" s="877"/>
      <c r="C26" s="877"/>
      <c r="D26" s="799"/>
      <c r="E26" s="878"/>
      <c r="F26" s="53" t="s">
        <v>576</v>
      </c>
      <c r="G26" s="51"/>
      <c r="H26" s="51"/>
      <c r="I26" s="51"/>
      <c r="J26" s="51">
        <f t="shared" ref="J26:J32" si="4">H26-I26</f>
        <v>0</v>
      </c>
      <c r="K26" s="51"/>
      <c r="L26" s="52">
        <f t="shared" si="1"/>
        <v>0</v>
      </c>
    </row>
    <row r="27" spans="1:12">
      <c r="A27" s="47" t="s">
        <v>592</v>
      </c>
      <c r="B27" s="877"/>
      <c r="C27" s="877"/>
      <c r="D27" s="799"/>
      <c r="E27" s="876" t="s">
        <v>581</v>
      </c>
      <c r="F27" s="53" t="s">
        <v>575</v>
      </c>
      <c r="G27" s="51">
        <f>G19+G21+G25+G23</f>
        <v>0</v>
      </c>
      <c r="H27" s="51">
        <f t="shared" ref="H27:I27" si="5">H19+H21+H25+H23</f>
        <v>0</v>
      </c>
      <c r="I27" s="51">
        <f t="shared" si="5"/>
        <v>0</v>
      </c>
      <c r="J27" s="51">
        <f t="shared" si="4"/>
        <v>0</v>
      </c>
      <c r="K27" s="51">
        <f>K19+K21+K25+K23</f>
        <v>0</v>
      </c>
      <c r="L27" s="52">
        <f t="shared" si="1"/>
        <v>0</v>
      </c>
    </row>
    <row r="28" spans="1:12">
      <c r="A28" s="47" t="s">
        <v>1690</v>
      </c>
      <c r="B28" s="877"/>
      <c r="C28" s="877"/>
      <c r="D28" s="800"/>
      <c r="E28" s="878"/>
      <c r="F28" s="53" t="s">
        <v>576</v>
      </c>
      <c r="G28" s="51">
        <f>G20+G22+G26+G24</f>
        <v>0</v>
      </c>
      <c r="H28" s="51">
        <f t="shared" ref="H28:I28" si="6">H20+H22+H26+H24</f>
        <v>0</v>
      </c>
      <c r="I28" s="51">
        <f t="shared" si="6"/>
        <v>0</v>
      </c>
      <c r="J28" s="51">
        <f t="shared" si="4"/>
        <v>0</v>
      </c>
      <c r="K28" s="51">
        <f>K20+K22+K26+K24</f>
        <v>0</v>
      </c>
      <c r="L28" s="52">
        <f t="shared" si="1"/>
        <v>0</v>
      </c>
    </row>
    <row r="29" spans="1:12">
      <c r="A29" s="47" t="s">
        <v>593</v>
      </c>
      <c r="B29" s="877"/>
      <c r="C29" s="877"/>
      <c r="D29" s="850" t="s">
        <v>594</v>
      </c>
      <c r="E29" s="852"/>
      <c r="F29" s="53" t="s">
        <v>575</v>
      </c>
      <c r="G29" s="51"/>
      <c r="H29" s="51"/>
      <c r="I29" s="51"/>
      <c r="J29" s="51">
        <f t="shared" si="4"/>
        <v>0</v>
      </c>
      <c r="K29" s="51"/>
      <c r="L29" s="52">
        <f t="shared" si="1"/>
        <v>0</v>
      </c>
    </row>
    <row r="30" spans="1:12">
      <c r="A30" s="47" t="s">
        <v>595</v>
      </c>
      <c r="B30" s="877"/>
      <c r="C30" s="877"/>
      <c r="D30" s="853"/>
      <c r="E30" s="854"/>
      <c r="F30" s="53" t="s">
        <v>576</v>
      </c>
      <c r="G30" s="51"/>
      <c r="H30" s="51"/>
      <c r="I30" s="51"/>
      <c r="J30" s="51">
        <f t="shared" si="4"/>
        <v>0</v>
      </c>
      <c r="K30" s="51"/>
      <c r="L30" s="52">
        <f t="shared" si="1"/>
        <v>0</v>
      </c>
    </row>
    <row r="31" spans="1:12">
      <c r="A31" s="47" t="s">
        <v>596</v>
      </c>
      <c r="B31" s="877"/>
      <c r="C31" s="877"/>
      <c r="D31" s="850" t="s">
        <v>68</v>
      </c>
      <c r="E31" s="852"/>
      <c r="F31" s="53" t="s">
        <v>575</v>
      </c>
      <c r="G31" s="51"/>
      <c r="H31" s="51"/>
      <c r="I31" s="51"/>
      <c r="J31" s="51">
        <f t="shared" si="4"/>
        <v>0</v>
      </c>
      <c r="K31" s="51"/>
      <c r="L31" s="52">
        <f t="shared" si="1"/>
        <v>0</v>
      </c>
    </row>
    <row r="32" spans="1:12">
      <c r="A32" s="47" t="s">
        <v>597</v>
      </c>
      <c r="B32" s="877"/>
      <c r="C32" s="877"/>
      <c r="D32" s="853"/>
      <c r="E32" s="854"/>
      <c r="F32" s="430" t="s">
        <v>576</v>
      </c>
      <c r="G32" s="51"/>
      <c r="H32" s="51"/>
      <c r="I32" s="51"/>
      <c r="J32" s="51">
        <f t="shared" si="4"/>
        <v>0</v>
      </c>
      <c r="K32" s="51"/>
      <c r="L32" s="52">
        <f t="shared" si="1"/>
        <v>0</v>
      </c>
    </row>
    <row r="33" spans="1:13">
      <c r="A33" s="47" t="s">
        <v>598</v>
      </c>
      <c r="B33" s="877"/>
      <c r="C33" s="877"/>
      <c r="D33" s="850" t="s">
        <v>599</v>
      </c>
      <c r="E33" s="852"/>
      <c r="F33" s="53" t="s">
        <v>600</v>
      </c>
      <c r="G33" s="51">
        <f>G17+G27+G29+G31</f>
        <v>0</v>
      </c>
      <c r="H33" s="51">
        <f t="shared" ref="H33:L33" si="7">H17+H27+H29+H31</f>
        <v>0</v>
      </c>
      <c r="I33" s="51">
        <f t="shared" si="7"/>
        <v>0</v>
      </c>
      <c r="J33" s="51">
        <f t="shared" si="7"/>
        <v>0</v>
      </c>
      <c r="K33" s="51">
        <f t="shared" si="7"/>
        <v>0</v>
      </c>
      <c r="L33" s="51">
        <f t="shared" si="7"/>
        <v>0</v>
      </c>
    </row>
    <row r="34" spans="1:13">
      <c r="A34" s="47" t="s">
        <v>601</v>
      </c>
      <c r="B34" s="877"/>
      <c r="C34" s="878"/>
      <c r="D34" s="853"/>
      <c r="E34" s="854"/>
      <c r="F34" s="430" t="s">
        <v>576</v>
      </c>
      <c r="G34" s="51">
        <f>G18+G28+G30+G32</f>
        <v>0</v>
      </c>
      <c r="H34" s="51">
        <f t="shared" ref="H34:L34" si="8">H18+H28+H30+H32</f>
        <v>0</v>
      </c>
      <c r="I34" s="51">
        <f t="shared" si="8"/>
        <v>0</v>
      </c>
      <c r="J34" s="51">
        <f t="shared" si="8"/>
        <v>0</v>
      </c>
      <c r="K34" s="51">
        <f t="shared" si="8"/>
        <v>0</v>
      </c>
      <c r="L34" s="51">
        <f t="shared" si="8"/>
        <v>0</v>
      </c>
    </row>
    <row r="35" spans="1:13">
      <c r="A35" s="47" t="s">
        <v>602</v>
      </c>
      <c r="B35" s="877"/>
      <c r="C35" s="850" t="s">
        <v>603</v>
      </c>
      <c r="D35" s="851"/>
      <c r="E35" s="852"/>
      <c r="F35" s="53" t="s">
        <v>604</v>
      </c>
      <c r="G35" s="51"/>
      <c r="H35" s="51"/>
      <c r="I35" s="51"/>
      <c r="J35" s="51">
        <f t="shared" si="0"/>
        <v>0</v>
      </c>
      <c r="K35" s="51"/>
      <c r="L35" s="52">
        <f t="shared" si="1"/>
        <v>0</v>
      </c>
    </row>
    <row r="36" spans="1:13">
      <c r="A36" s="47" t="s">
        <v>605</v>
      </c>
      <c r="B36" s="877"/>
      <c r="C36" s="853"/>
      <c r="D36" s="817"/>
      <c r="E36" s="854"/>
      <c r="F36" s="430" t="s">
        <v>606</v>
      </c>
      <c r="G36" s="55"/>
      <c r="H36" s="55"/>
      <c r="I36" s="55"/>
      <c r="J36" s="51">
        <f t="shared" si="0"/>
        <v>0</v>
      </c>
      <c r="K36" s="55"/>
      <c r="L36" s="52">
        <f t="shared" si="1"/>
        <v>0</v>
      </c>
    </row>
    <row r="37" spans="1:13">
      <c r="A37" s="47" t="s">
        <v>607</v>
      </c>
      <c r="B37" s="878"/>
      <c r="C37" s="887" t="s">
        <v>608</v>
      </c>
      <c r="D37" s="888"/>
      <c r="E37" s="888"/>
      <c r="F37" s="889"/>
      <c r="G37" s="56">
        <f>G33+G36</f>
        <v>0</v>
      </c>
      <c r="H37" s="56">
        <f>H33+H36</f>
        <v>0</v>
      </c>
      <c r="I37" s="56">
        <f t="shared" ref="I37:L37" si="9">I33+I36</f>
        <v>0</v>
      </c>
      <c r="J37" s="56">
        <f t="shared" si="9"/>
        <v>0</v>
      </c>
      <c r="K37" s="56">
        <f t="shared" si="9"/>
        <v>0</v>
      </c>
      <c r="L37" s="56">
        <f t="shared" si="9"/>
        <v>0</v>
      </c>
      <c r="M37" s="14" t="s">
        <v>1764</v>
      </c>
    </row>
    <row r="38" spans="1:13" ht="13.5" customHeight="1">
      <c r="A38" s="47" t="s">
        <v>609</v>
      </c>
      <c r="B38" s="863" t="s">
        <v>610</v>
      </c>
      <c r="C38" s="882" t="s">
        <v>611</v>
      </c>
      <c r="D38" s="883"/>
      <c r="E38" s="883"/>
      <c r="F38" s="884"/>
      <c r="G38" s="51"/>
      <c r="H38" s="51"/>
      <c r="I38" s="51"/>
      <c r="J38" s="51">
        <f t="shared" si="0"/>
        <v>0</v>
      </c>
      <c r="K38" s="52"/>
      <c r="L38" s="52">
        <f t="shared" si="1"/>
        <v>0</v>
      </c>
    </row>
    <row r="39" spans="1:13">
      <c r="A39" s="47" t="s">
        <v>612</v>
      </c>
      <c r="B39" s="864"/>
      <c r="C39" s="876" t="s">
        <v>570</v>
      </c>
      <c r="D39" s="882" t="s">
        <v>571</v>
      </c>
      <c r="E39" s="883"/>
      <c r="F39" s="884"/>
      <c r="G39" s="51"/>
      <c r="H39" s="51"/>
      <c r="I39" s="51"/>
      <c r="J39" s="51">
        <f t="shared" si="0"/>
        <v>0</v>
      </c>
      <c r="K39" s="52"/>
      <c r="L39" s="52">
        <f t="shared" si="1"/>
        <v>0</v>
      </c>
    </row>
    <row r="40" spans="1:13">
      <c r="A40" s="47" t="s">
        <v>229</v>
      </c>
      <c r="B40" s="864"/>
      <c r="C40" s="877"/>
      <c r="D40" s="882" t="s">
        <v>572</v>
      </c>
      <c r="E40" s="883"/>
      <c r="F40" s="884"/>
      <c r="G40" s="51"/>
      <c r="H40" s="51"/>
      <c r="I40" s="51"/>
      <c r="J40" s="51">
        <f t="shared" si="0"/>
        <v>0</v>
      </c>
      <c r="K40" s="52"/>
      <c r="L40" s="52">
        <f t="shared" si="1"/>
        <v>0</v>
      </c>
    </row>
    <row r="41" spans="1:13" ht="15.9" customHeight="1">
      <c r="A41" s="47" t="s">
        <v>613</v>
      </c>
      <c r="B41" s="864"/>
      <c r="C41" s="877"/>
      <c r="D41" s="855" t="s">
        <v>573</v>
      </c>
      <c r="E41" s="855" t="s">
        <v>574</v>
      </c>
      <c r="F41" s="53" t="s">
        <v>575</v>
      </c>
      <c r="G41" s="51"/>
      <c r="H41" s="51"/>
      <c r="I41" s="51"/>
      <c r="J41" s="51">
        <f t="shared" si="0"/>
        <v>0</v>
      </c>
      <c r="K41" s="52"/>
      <c r="L41" s="52">
        <f t="shared" si="1"/>
        <v>0</v>
      </c>
    </row>
    <row r="42" spans="1:13" ht="15.9" customHeight="1">
      <c r="A42" s="47" t="s">
        <v>614</v>
      </c>
      <c r="B42" s="864"/>
      <c r="C42" s="877"/>
      <c r="D42" s="799"/>
      <c r="E42" s="800"/>
      <c r="F42" s="53" t="s">
        <v>576</v>
      </c>
      <c r="G42" s="51"/>
      <c r="H42" s="51"/>
      <c r="I42" s="51"/>
      <c r="J42" s="51">
        <f t="shared" si="0"/>
        <v>0</v>
      </c>
      <c r="K42" s="52"/>
      <c r="L42" s="52">
        <f t="shared" si="1"/>
        <v>0</v>
      </c>
    </row>
    <row r="43" spans="1:13" ht="15.9" customHeight="1">
      <c r="A43" s="47" t="s">
        <v>615</v>
      </c>
      <c r="B43" s="864"/>
      <c r="C43" s="877"/>
      <c r="D43" s="799"/>
      <c r="E43" s="876" t="s">
        <v>578</v>
      </c>
      <c r="F43" s="53" t="s">
        <v>575</v>
      </c>
      <c r="G43" s="51"/>
      <c r="H43" s="51"/>
      <c r="I43" s="51"/>
      <c r="J43" s="51">
        <f t="shared" si="0"/>
        <v>0</v>
      </c>
      <c r="K43" s="52"/>
      <c r="L43" s="52">
        <f t="shared" si="1"/>
        <v>0</v>
      </c>
    </row>
    <row r="44" spans="1:13" ht="15.9" customHeight="1">
      <c r="A44" s="47" t="s">
        <v>616</v>
      </c>
      <c r="B44" s="864"/>
      <c r="C44" s="877"/>
      <c r="D44" s="799"/>
      <c r="E44" s="878"/>
      <c r="F44" s="53" t="s">
        <v>576</v>
      </c>
      <c r="G44" s="51"/>
      <c r="H44" s="51"/>
      <c r="I44" s="51"/>
      <c r="J44" s="51">
        <f t="shared" si="0"/>
        <v>0</v>
      </c>
      <c r="K44" s="52"/>
      <c r="L44" s="52">
        <f t="shared" si="1"/>
        <v>0</v>
      </c>
    </row>
    <row r="45" spans="1:13" ht="15.9" customHeight="1">
      <c r="A45" s="47" t="s">
        <v>224</v>
      </c>
      <c r="B45" s="864"/>
      <c r="C45" s="877"/>
      <c r="D45" s="799"/>
      <c r="E45" s="876" t="s">
        <v>581</v>
      </c>
      <c r="F45" s="53" t="s">
        <v>575</v>
      </c>
      <c r="G45" s="51">
        <f t="shared" ref="G45:I46" si="10">G41+G43</f>
        <v>0</v>
      </c>
      <c r="H45" s="51">
        <f t="shared" si="10"/>
        <v>0</v>
      </c>
      <c r="I45" s="51">
        <f t="shared" si="10"/>
        <v>0</v>
      </c>
      <c r="J45" s="51">
        <f t="shared" si="0"/>
        <v>0</v>
      </c>
      <c r="K45" s="52"/>
      <c r="L45" s="52">
        <f t="shared" si="1"/>
        <v>0</v>
      </c>
    </row>
    <row r="46" spans="1:13" ht="15.9" customHeight="1">
      <c r="A46" s="47" t="s">
        <v>225</v>
      </c>
      <c r="B46" s="864"/>
      <c r="C46" s="877"/>
      <c r="D46" s="800"/>
      <c r="E46" s="878"/>
      <c r="F46" s="53" t="s">
        <v>576</v>
      </c>
      <c r="G46" s="51">
        <f t="shared" si="10"/>
        <v>0</v>
      </c>
      <c r="H46" s="51">
        <f t="shared" si="10"/>
        <v>0</v>
      </c>
      <c r="I46" s="51">
        <f t="shared" si="10"/>
        <v>0</v>
      </c>
      <c r="J46" s="51">
        <f t="shared" si="0"/>
        <v>0</v>
      </c>
      <c r="K46" s="52"/>
      <c r="L46" s="52">
        <f t="shared" si="1"/>
        <v>0</v>
      </c>
    </row>
    <row r="47" spans="1:13" ht="13.5" customHeight="1">
      <c r="A47" s="47" t="s">
        <v>617</v>
      </c>
      <c r="B47" s="864"/>
      <c r="C47" s="877"/>
      <c r="D47" s="855" t="s">
        <v>584</v>
      </c>
      <c r="E47" s="885" t="s">
        <v>585</v>
      </c>
      <c r="F47" s="384" t="s">
        <v>575</v>
      </c>
      <c r="G47" s="51"/>
      <c r="H47" s="51"/>
      <c r="I47" s="51"/>
      <c r="J47" s="51">
        <f t="shared" si="0"/>
        <v>0</v>
      </c>
      <c r="K47" s="52"/>
      <c r="L47" s="52">
        <f t="shared" si="1"/>
        <v>0</v>
      </c>
    </row>
    <row r="48" spans="1:13">
      <c r="A48" s="47" t="s">
        <v>618</v>
      </c>
      <c r="B48" s="864"/>
      <c r="C48" s="877"/>
      <c r="D48" s="799"/>
      <c r="E48" s="886"/>
      <c r="F48" s="384" t="s">
        <v>576</v>
      </c>
      <c r="G48" s="51"/>
      <c r="H48" s="51"/>
      <c r="I48" s="51"/>
      <c r="J48" s="51">
        <f t="shared" si="0"/>
        <v>0</v>
      </c>
      <c r="K48" s="52"/>
      <c r="L48" s="52">
        <f t="shared" si="1"/>
        <v>0</v>
      </c>
    </row>
    <row r="49" spans="1:12">
      <c r="A49" s="47" t="s">
        <v>619</v>
      </c>
      <c r="B49" s="864"/>
      <c r="C49" s="877"/>
      <c r="D49" s="799"/>
      <c r="E49" s="885" t="s">
        <v>588</v>
      </c>
      <c r="F49" s="384" t="s">
        <v>575</v>
      </c>
      <c r="G49" s="51"/>
      <c r="H49" s="51"/>
      <c r="I49" s="51"/>
      <c r="J49" s="51">
        <f t="shared" si="0"/>
        <v>0</v>
      </c>
      <c r="K49" s="52"/>
      <c r="L49" s="52">
        <f t="shared" si="1"/>
        <v>0</v>
      </c>
    </row>
    <row r="50" spans="1:12">
      <c r="A50" s="47" t="s">
        <v>620</v>
      </c>
      <c r="B50" s="864"/>
      <c r="C50" s="877"/>
      <c r="D50" s="799"/>
      <c r="E50" s="886"/>
      <c r="F50" s="384" t="s">
        <v>576</v>
      </c>
      <c r="G50" s="51"/>
      <c r="H50" s="51"/>
      <c r="I50" s="51"/>
      <c r="J50" s="51">
        <f t="shared" si="0"/>
        <v>0</v>
      </c>
      <c r="K50" s="52"/>
      <c r="L50" s="52">
        <f t="shared" si="1"/>
        <v>0</v>
      </c>
    </row>
    <row r="51" spans="1:12">
      <c r="A51" s="426" t="s">
        <v>1408</v>
      </c>
      <c r="B51" s="864"/>
      <c r="C51" s="877"/>
      <c r="D51" s="799"/>
      <c r="E51" s="890" t="s">
        <v>1394</v>
      </c>
      <c r="F51" s="426" t="s">
        <v>575</v>
      </c>
      <c r="G51" s="51"/>
      <c r="H51" s="51"/>
      <c r="I51" s="51"/>
      <c r="J51" s="51">
        <f t="shared" si="0"/>
        <v>0</v>
      </c>
      <c r="K51" s="368"/>
      <c r="L51" s="52">
        <f t="shared" si="1"/>
        <v>0</v>
      </c>
    </row>
    <row r="52" spans="1:12">
      <c r="A52" s="426" t="s">
        <v>1409</v>
      </c>
      <c r="B52" s="864"/>
      <c r="C52" s="877"/>
      <c r="D52" s="799"/>
      <c r="E52" s="891"/>
      <c r="F52" s="426" t="s">
        <v>576</v>
      </c>
      <c r="G52" s="51"/>
      <c r="H52" s="51"/>
      <c r="I52" s="51"/>
      <c r="J52" s="51">
        <f t="shared" si="0"/>
        <v>0</v>
      </c>
      <c r="K52" s="368"/>
      <c r="L52" s="52">
        <f t="shared" si="1"/>
        <v>0</v>
      </c>
    </row>
    <row r="53" spans="1:12">
      <c r="A53" s="47" t="s">
        <v>621</v>
      </c>
      <c r="B53" s="864"/>
      <c r="C53" s="877"/>
      <c r="D53" s="799"/>
      <c r="E53" s="876" t="s">
        <v>66</v>
      </c>
      <c r="F53" s="53" t="s">
        <v>575</v>
      </c>
      <c r="G53" s="51"/>
      <c r="H53" s="51"/>
      <c r="I53" s="51"/>
      <c r="J53" s="51">
        <f t="shared" si="0"/>
        <v>0</v>
      </c>
      <c r="K53" s="52"/>
      <c r="L53" s="52">
        <f t="shared" si="1"/>
        <v>0</v>
      </c>
    </row>
    <row r="54" spans="1:12">
      <c r="A54" s="47" t="s">
        <v>622</v>
      </c>
      <c r="B54" s="864"/>
      <c r="C54" s="877"/>
      <c r="D54" s="799"/>
      <c r="E54" s="878"/>
      <c r="F54" s="53" t="s">
        <v>576</v>
      </c>
      <c r="G54" s="51"/>
      <c r="H54" s="51"/>
      <c r="I54" s="51"/>
      <c r="J54" s="51">
        <f t="shared" si="0"/>
        <v>0</v>
      </c>
      <c r="K54" s="52"/>
      <c r="L54" s="52">
        <f t="shared" si="1"/>
        <v>0</v>
      </c>
    </row>
    <row r="55" spans="1:12">
      <c r="A55" s="47" t="s">
        <v>623</v>
      </c>
      <c r="B55" s="864"/>
      <c r="C55" s="877"/>
      <c r="D55" s="799"/>
      <c r="E55" s="876" t="s">
        <v>581</v>
      </c>
      <c r="F55" s="53" t="s">
        <v>575</v>
      </c>
      <c r="G55" s="51">
        <f>G47+G49+G53+G51</f>
        <v>0</v>
      </c>
      <c r="H55" s="51">
        <f t="shared" ref="H55:I55" si="11">H47+H49+H53+H51</f>
        <v>0</v>
      </c>
      <c r="I55" s="51">
        <f t="shared" si="11"/>
        <v>0</v>
      </c>
      <c r="J55" s="51">
        <f>H55-I55</f>
        <v>0</v>
      </c>
      <c r="K55" s="51">
        <f>K47+K49+K53+K51</f>
        <v>0</v>
      </c>
      <c r="L55" s="52">
        <f t="shared" ref="L55:L56" si="12">G55+J55+K55</f>
        <v>0</v>
      </c>
    </row>
    <row r="56" spans="1:12">
      <c r="A56" s="47" t="s">
        <v>1691</v>
      </c>
      <c r="B56" s="864"/>
      <c r="C56" s="877"/>
      <c r="D56" s="800"/>
      <c r="E56" s="878"/>
      <c r="F56" s="53" t="s">
        <v>576</v>
      </c>
      <c r="G56" s="51">
        <f>G48+G50+G54+G52</f>
        <v>0</v>
      </c>
      <c r="H56" s="51">
        <f t="shared" ref="H56:I56" si="13">H48+H50+H54+H52</f>
        <v>0</v>
      </c>
      <c r="I56" s="51">
        <f t="shared" si="13"/>
        <v>0</v>
      </c>
      <c r="J56" s="51">
        <f>H56-I56</f>
        <v>0</v>
      </c>
      <c r="K56" s="51">
        <f>K48+K50+K54+K52</f>
        <v>0</v>
      </c>
      <c r="L56" s="52">
        <f t="shared" si="12"/>
        <v>0</v>
      </c>
    </row>
    <row r="57" spans="1:12">
      <c r="A57" s="47" t="s">
        <v>624</v>
      </c>
      <c r="B57" s="864"/>
      <c r="C57" s="877"/>
      <c r="D57" s="850" t="s">
        <v>594</v>
      </c>
      <c r="E57" s="852"/>
      <c r="F57" s="53" t="s">
        <v>575</v>
      </c>
      <c r="G57" s="51"/>
      <c r="H57" s="51"/>
      <c r="I57" s="51"/>
      <c r="J57" s="51">
        <f t="shared" si="0"/>
        <v>0</v>
      </c>
      <c r="K57" s="52"/>
      <c r="L57" s="52">
        <f t="shared" si="1"/>
        <v>0</v>
      </c>
    </row>
    <row r="58" spans="1:12">
      <c r="A58" s="47" t="s">
        <v>625</v>
      </c>
      <c r="B58" s="864"/>
      <c r="C58" s="877"/>
      <c r="D58" s="853"/>
      <c r="E58" s="854"/>
      <c r="F58" s="53" t="s">
        <v>576</v>
      </c>
      <c r="G58" s="51"/>
      <c r="H58" s="51"/>
      <c r="I58" s="51"/>
      <c r="J58" s="51">
        <f t="shared" si="0"/>
        <v>0</v>
      </c>
      <c r="K58" s="52"/>
      <c r="L58" s="52">
        <f t="shared" si="1"/>
        <v>0</v>
      </c>
    </row>
    <row r="59" spans="1:12">
      <c r="A59" s="47" t="s">
        <v>626</v>
      </c>
      <c r="B59" s="864"/>
      <c r="C59" s="877"/>
      <c r="D59" s="850" t="s">
        <v>68</v>
      </c>
      <c r="E59" s="852"/>
      <c r="F59" s="53" t="s">
        <v>575</v>
      </c>
      <c r="G59" s="51"/>
      <c r="H59" s="51"/>
      <c r="I59" s="51"/>
      <c r="J59" s="51">
        <f t="shared" si="0"/>
        <v>0</v>
      </c>
      <c r="K59" s="52"/>
      <c r="L59" s="52">
        <f t="shared" si="1"/>
        <v>0</v>
      </c>
    </row>
    <row r="60" spans="1:12">
      <c r="A60" s="47" t="s">
        <v>627</v>
      </c>
      <c r="B60" s="864"/>
      <c r="C60" s="877"/>
      <c r="D60" s="853"/>
      <c r="E60" s="854"/>
      <c r="F60" s="53" t="s">
        <v>576</v>
      </c>
      <c r="G60" s="51"/>
      <c r="H60" s="51"/>
      <c r="I60" s="51"/>
      <c r="J60" s="51">
        <f t="shared" si="0"/>
        <v>0</v>
      </c>
      <c r="K60" s="52"/>
      <c r="L60" s="52">
        <f t="shared" si="1"/>
        <v>0</v>
      </c>
    </row>
    <row r="61" spans="1:12">
      <c r="A61" s="47" t="s">
        <v>94</v>
      </c>
      <c r="B61" s="864"/>
      <c r="C61" s="877"/>
      <c r="D61" s="850" t="s">
        <v>599</v>
      </c>
      <c r="E61" s="852"/>
      <c r="F61" s="53" t="s">
        <v>628</v>
      </c>
      <c r="G61" s="51">
        <f>G45+G55+G57+G59</f>
        <v>0</v>
      </c>
      <c r="H61" s="51">
        <f t="shared" ref="H61:L61" si="14">H45+H55+H57+H59</f>
        <v>0</v>
      </c>
      <c r="I61" s="51">
        <f t="shared" si="14"/>
        <v>0</v>
      </c>
      <c r="J61" s="51">
        <f t="shared" si="14"/>
        <v>0</v>
      </c>
      <c r="K61" s="51">
        <f t="shared" si="14"/>
        <v>0</v>
      </c>
      <c r="L61" s="51">
        <f t="shared" si="14"/>
        <v>0</v>
      </c>
    </row>
    <row r="62" spans="1:12">
      <c r="A62" s="47" t="s">
        <v>629</v>
      </c>
      <c r="B62" s="864"/>
      <c r="C62" s="425"/>
      <c r="D62" s="853"/>
      <c r="E62" s="854"/>
      <c r="F62" s="53" t="s">
        <v>576</v>
      </c>
      <c r="G62" s="51">
        <f>G46+G56+G58+G60</f>
        <v>0</v>
      </c>
      <c r="H62" s="51">
        <f t="shared" ref="H62:L62" si="15">H46+H56+H58+H60</f>
        <v>0</v>
      </c>
      <c r="I62" s="51">
        <f t="shared" si="15"/>
        <v>0</v>
      </c>
      <c r="J62" s="51">
        <f t="shared" si="15"/>
        <v>0</v>
      </c>
      <c r="K62" s="51">
        <f t="shared" si="15"/>
        <v>0</v>
      </c>
      <c r="L62" s="51">
        <f t="shared" si="15"/>
        <v>0</v>
      </c>
    </row>
    <row r="63" spans="1:12">
      <c r="A63" s="47" t="s">
        <v>630</v>
      </c>
      <c r="B63" s="864"/>
      <c r="C63" s="850" t="s">
        <v>603</v>
      </c>
      <c r="D63" s="851"/>
      <c r="E63" s="852"/>
      <c r="F63" s="53" t="s">
        <v>604</v>
      </c>
      <c r="G63" s="51"/>
      <c r="H63" s="51"/>
      <c r="I63" s="51"/>
      <c r="J63" s="51">
        <f t="shared" si="0"/>
        <v>0</v>
      </c>
      <c r="K63" s="52"/>
      <c r="L63" s="52">
        <f t="shared" si="1"/>
        <v>0</v>
      </c>
    </row>
    <row r="64" spans="1:12">
      <c r="A64" s="47" t="s">
        <v>631</v>
      </c>
      <c r="B64" s="864"/>
      <c r="C64" s="853"/>
      <c r="D64" s="817"/>
      <c r="E64" s="854"/>
      <c r="F64" s="430" t="s">
        <v>606</v>
      </c>
      <c r="G64" s="55"/>
      <c r="H64" s="55"/>
      <c r="I64" s="55"/>
      <c r="J64" s="51">
        <f t="shared" si="0"/>
        <v>0</v>
      </c>
      <c r="K64" s="57"/>
      <c r="L64" s="52">
        <f t="shared" si="1"/>
        <v>0</v>
      </c>
    </row>
    <row r="65" spans="1:13">
      <c r="A65" s="47" t="s">
        <v>56</v>
      </c>
      <c r="B65" s="865"/>
      <c r="C65" s="887" t="s">
        <v>632</v>
      </c>
      <c r="D65" s="888"/>
      <c r="E65" s="888"/>
      <c r="F65" s="889"/>
      <c r="G65" s="56">
        <f>G61+G64</f>
        <v>0</v>
      </c>
      <c r="H65" s="56">
        <f>H61+H64</f>
        <v>0</v>
      </c>
      <c r="I65" s="56">
        <f>I61+I64</f>
        <v>0</v>
      </c>
      <c r="J65" s="56">
        <f>J61+J64</f>
        <v>0</v>
      </c>
      <c r="K65" s="56">
        <f>K61+K64</f>
        <v>0</v>
      </c>
      <c r="L65" s="56">
        <f t="shared" ref="L65" si="16">L61+L64</f>
        <v>0</v>
      </c>
      <c r="M65" s="14" t="s">
        <v>1764</v>
      </c>
    </row>
    <row r="66" spans="1:13" ht="13.5" customHeight="1">
      <c r="A66" s="47" t="s">
        <v>633</v>
      </c>
      <c r="B66" s="855" t="s">
        <v>634</v>
      </c>
      <c r="C66" s="882" t="s">
        <v>611</v>
      </c>
      <c r="D66" s="883"/>
      <c r="E66" s="883"/>
      <c r="F66" s="884"/>
      <c r="G66" s="51"/>
      <c r="H66" s="51"/>
      <c r="I66" s="51"/>
      <c r="J66" s="51">
        <f t="shared" si="0"/>
        <v>0</v>
      </c>
      <c r="K66" s="52"/>
      <c r="L66" s="52">
        <f t="shared" si="1"/>
        <v>0</v>
      </c>
    </row>
    <row r="67" spans="1:13">
      <c r="A67" s="47" t="s">
        <v>635</v>
      </c>
      <c r="B67" s="799"/>
      <c r="C67" s="876" t="s">
        <v>570</v>
      </c>
      <c r="D67" s="882" t="s">
        <v>571</v>
      </c>
      <c r="E67" s="883"/>
      <c r="F67" s="884"/>
      <c r="G67" s="51"/>
      <c r="H67" s="51"/>
      <c r="I67" s="51"/>
      <c r="J67" s="51">
        <f t="shared" si="0"/>
        <v>0</v>
      </c>
      <c r="K67" s="52"/>
      <c r="L67" s="52">
        <f t="shared" si="1"/>
        <v>0</v>
      </c>
    </row>
    <row r="68" spans="1:13">
      <c r="A68" s="47" t="s">
        <v>636</v>
      </c>
      <c r="B68" s="799"/>
      <c r="C68" s="877"/>
      <c r="D68" s="882" t="s">
        <v>572</v>
      </c>
      <c r="E68" s="883"/>
      <c r="F68" s="884"/>
      <c r="G68" s="51"/>
      <c r="H68" s="51"/>
      <c r="I68" s="51"/>
      <c r="J68" s="51">
        <f t="shared" si="0"/>
        <v>0</v>
      </c>
      <c r="K68" s="52"/>
      <c r="L68" s="52">
        <f t="shared" si="1"/>
        <v>0</v>
      </c>
    </row>
    <row r="69" spans="1:13" ht="15.9" customHeight="1">
      <c r="A69" s="47" t="s">
        <v>637</v>
      </c>
      <c r="B69" s="799"/>
      <c r="C69" s="877"/>
      <c r="D69" s="855" t="s">
        <v>573</v>
      </c>
      <c r="E69" s="855" t="s">
        <v>574</v>
      </c>
      <c r="F69" s="53" t="s">
        <v>575</v>
      </c>
      <c r="G69" s="51"/>
      <c r="H69" s="51"/>
      <c r="I69" s="51"/>
      <c r="J69" s="51">
        <f t="shared" si="0"/>
        <v>0</v>
      </c>
      <c r="K69" s="52"/>
      <c r="L69" s="52">
        <f t="shared" si="1"/>
        <v>0</v>
      </c>
    </row>
    <row r="70" spans="1:13" ht="15.9" customHeight="1">
      <c r="A70" s="47" t="s">
        <v>638</v>
      </c>
      <c r="B70" s="799"/>
      <c r="C70" s="877"/>
      <c r="D70" s="799"/>
      <c r="E70" s="800"/>
      <c r="F70" s="53" t="s">
        <v>576</v>
      </c>
      <c r="G70" s="51"/>
      <c r="H70" s="51"/>
      <c r="I70" s="51"/>
      <c r="J70" s="51">
        <f t="shared" si="0"/>
        <v>0</v>
      </c>
      <c r="K70" s="52"/>
      <c r="L70" s="52">
        <f t="shared" si="1"/>
        <v>0</v>
      </c>
    </row>
    <row r="71" spans="1:13" ht="15.9" customHeight="1">
      <c r="A71" s="47" t="s">
        <v>639</v>
      </c>
      <c r="B71" s="799"/>
      <c r="C71" s="877"/>
      <c r="D71" s="799"/>
      <c r="E71" s="876" t="s">
        <v>578</v>
      </c>
      <c r="F71" s="53" t="s">
        <v>575</v>
      </c>
      <c r="G71" s="51"/>
      <c r="H71" s="51"/>
      <c r="I71" s="51"/>
      <c r="J71" s="51">
        <f t="shared" si="0"/>
        <v>0</v>
      </c>
      <c r="K71" s="52"/>
      <c r="L71" s="52">
        <f t="shared" si="1"/>
        <v>0</v>
      </c>
    </row>
    <row r="72" spans="1:13" ht="15.9" customHeight="1">
      <c r="A72" s="47" t="s">
        <v>640</v>
      </c>
      <c r="B72" s="799"/>
      <c r="C72" s="877"/>
      <c r="D72" s="799"/>
      <c r="E72" s="878"/>
      <c r="F72" s="53" t="s">
        <v>576</v>
      </c>
      <c r="G72" s="51"/>
      <c r="H72" s="51"/>
      <c r="I72" s="51"/>
      <c r="J72" s="51">
        <f t="shared" si="0"/>
        <v>0</v>
      </c>
      <c r="K72" s="52"/>
      <c r="L72" s="52">
        <f t="shared" si="1"/>
        <v>0</v>
      </c>
    </row>
    <row r="73" spans="1:13" ht="15.9" customHeight="1">
      <c r="A73" s="47" t="s">
        <v>641</v>
      </c>
      <c r="B73" s="799"/>
      <c r="C73" s="877"/>
      <c r="D73" s="799"/>
      <c r="E73" s="876" t="s">
        <v>581</v>
      </c>
      <c r="F73" s="53" t="s">
        <v>575</v>
      </c>
      <c r="G73" s="51">
        <f t="shared" ref="G73:I74" si="17">G69+G71</f>
        <v>0</v>
      </c>
      <c r="H73" s="51">
        <f t="shared" si="17"/>
        <v>0</v>
      </c>
      <c r="I73" s="51">
        <f t="shared" si="17"/>
        <v>0</v>
      </c>
      <c r="J73" s="51">
        <f t="shared" si="0"/>
        <v>0</v>
      </c>
      <c r="K73" s="52"/>
      <c r="L73" s="52">
        <f t="shared" si="1"/>
        <v>0</v>
      </c>
    </row>
    <row r="74" spans="1:13" ht="15.9" customHeight="1">
      <c r="A74" s="47" t="s">
        <v>642</v>
      </c>
      <c r="B74" s="799"/>
      <c r="C74" s="877"/>
      <c r="D74" s="800"/>
      <c r="E74" s="878"/>
      <c r="F74" s="53" t="s">
        <v>576</v>
      </c>
      <c r="G74" s="51">
        <f t="shared" si="17"/>
        <v>0</v>
      </c>
      <c r="H74" s="51">
        <f t="shared" si="17"/>
        <v>0</v>
      </c>
      <c r="I74" s="51">
        <f t="shared" si="17"/>
        <v>0</v>
      </c>
      <c r="J74" s="51">
        <f t="shared" si="0"/>
        <v>0</v>
      </c>
      <c r="K74" s="52"/>
      <c r="L74" s="52">
        <f t="shared" si="1"/>
        <v>0</v>
      </c>
    </row>
    <row r="75" spans="1:13" ht="13.5" customHeight="1">
      <c r="A75" s="47" t="s">
        <v>643</v>
      </c>
      <c r="B75" s="799"/>
      <c r="C75" s="877"/>
      <c r="D75" s="855" t="s">
        <v>584</v>
      </c>
      <c r="E75" s="885" t="s">
        <v>585</v>
      </c>
      <c r="F75" s="384" t="s">
        <v>575</v>
      </c>
      <c r="G75" s="51"/>
      <c r="H75" s="51"/>
      <c r="I75" s="51"/>
      <c r="J75" s="51">
        <f t="shared" ref="J75:J105" si="18">H75-I75</f>
        <v>0</v>
      </c>
      <c r="K75" s="52"/>
      <c r="L75" s="52">
        <f t="shared" si="1"/>
        <v>0</v>
      </c>
    </row>
    <row r="76" spans="1:13">
      <c r="A76" s="47" t="s">
        <v>644</v>
      </c>
      <c r="B76" s="799"/>
      <c r="C76" s="877"/>
      <c r="D76" s="799"/>
      <c r="E76" s="886"/>
      <c r="F76" s="384" t="s">
        <v>576</v>
      </c>
      <c r="G76" s="51"/>
      <c r="H76" s="51"/>
      <c r="I76" s="51"/>
      <c r="J76" s="51">
        <f t="shared" si="18"/>
        <v>0</v>
      </c>
      <c r="K76" s="52"/>
      <c r="L76" s="52">
        <f t="shared" si="1"/>
        <v>0</v>
      </c>
    </row>
    <row r="77" spans="1:13">
      <c r="A77" s="47" t="s">
        <v>645</v>
      </c>
      <c r="B77" s="799"/>
      <c r="C77" s="877"/>
      <c r="D77" s="799"/>
      <c r="E77" s="885" t="s">
        <v>588</v>
      </c>
      <c r="F77" s="384" t="s">
        <v>575</v>
      </c>
      <c r="G77" s="51"/>
      <c r="H77" s="51"/>
      <c r="I77" s="51"/>
      <c r="J77" s="51">
        <f t="shared" si="18"/>
        <v>0</v>
      </c>
      <c r="K77" s="52"/>
      <c r="L77" s="52">
        <f t="shared" si="1"/>
        <v>0</v>
      </c>
    </row>
    <row r="78" spans="1:13">
      <c r="A78" s="47" t="s">
        <v>646</v>
      </c>
      <c r="B78" s="799"/>
      <c r="C78" s="877"/>
      <c r="D78" s="799"/>
      <c r="E78" s="886"/>
      <c r="F78" s="384" t="s">
        <v>576</v>
      </c>
      <c r="G78" s="51"/>
      <c r="H78" s="51"/>
      <c r="I78" s="51"/>
      <c r="J78" s="51">
        <f t="shared" si="18"/>
        <v>0</v>
      </c>
      <c r="K78" s="52"/>
      <c r="L78" s="52">
        <f t="shared" si="1"/>
        <v>0</v>
      </c>
    </row>
    <row r="79" spans="1:13">
      <c r="A79" s="426" t="s">
        <v>1428</v>
      </c>
      <c r="B79" s="799"/>
      <c r="C79" s="877"/>
      <c r="D79" s="799"/>
      <c r="E79" s="890" t="s">
        <v>1394</v>
      </c>
      <c r="F79" s="426" t="s">
        <v>575</v>
      </c>
      <c r="G79" s="51"/>
      <c r="H79" s="51"/>
      <c r="I79" s="51"/>
      <c r="J79" s="51">
        <f t="shared" si="18"/>
        <v>0</v>
      </c>
      <c r="K79" s="368"/>
      <c r="L79" s="52">
        <f t="shared" si="1"/>
        <v>0</v>
      </c>
    </row>
    <row r="80" spans="1:13">
      <c r="A80" s="426" t="s">
        <v>1429</v>
      </c>
      <c r="B80" s="799"/>
      <c r="C80" s="877"/>
      <c r="D80" s="799"/>
      <c r="E80" s="891"/>
      <c r="F80" s="426" t="s">
        <v>576</v>
      </c>
      <c r="G80" s="51"/>
      <c r="H80" s="51"/>
      <c r="I80" s="51"/>
      <c r="J80" s="51">
        <f t="shared" si="18"/>
        <v>0</v>
      </c>
      <c r="K80" s="368"/>
      <c r="L80" s="52">
        <f t="shared" si="1"/>
        <v>0</v>
      </c>
    </row>
    <row r="81" spans="1:13">
      <c r="A81" s="47" t="s">
        <v>647</v>
      </c>
      <c r="B81" s="799"/>
      <c r="C81" s="877"/>
      <c r="D81" s="799"/>
      <c r="E81" s="876" t="s">
        <v>66</v>
      </c>
      <c r="F81" s="53" t="s">
        <v>575</v>
      </c>
      <c r="G81" s="51"/>
      <c r="H81" s="51"/>
      <c r="I81" s="51"/>
      <c r="J81" s="51">
        <f t="shared" si="18"/>
        <v>0</v>
      </c>
      <c r="K81" s="52"/>
      <c r="L81" s="52">
        <f t="shared" si="1"/>
        <v>0</v>
      </c>
    </row>
    <row r="82" spans="1:13">
      <c r="A82" s="47" t="s">
        <v>648</v>
      </c>
      <c r="B82" s="799"/>
      <c r="C82" s="877"/>
      <c r="D82" s="799"/>
      <c r="E82" s="878"/>
      <c r="F82" s="53" t="s">
        <v>576</v>
      </c>
      <c r="G82" s="51"/>
      <c r="H82" s="51"/>
      <c r="I82" s="51"/>
      <c r="J82" s="51">
        <f t="shared" si="18"/>
        <v>0</v>
      </c>
      <c r="K82" s="52"/>
      <c r="L82" s="52">
        <f t="shared" si="1"/>
        <v>0</v>
      </c>
    </row>
    <row r="83" spans="1:13">
      <c r="A83" s="47" t="s">
        <v>649</v>
      </c>
      <c r="B83" s="799"/>
      <c r="C83" s="877"/>
      <c r="D83" s="799"/>
      <c r="E83" s="876" t="s">
        <v>581</v>
      </c>
      <c r="F83" s="53" t="s">
        <v>575</v>
      </c>
      <c r="G83" s="51">
        <f>G75+G77+G81+G79</f>
        <v>0</v>
      </c>
      <c r="H83" s="51">
        <f t="shared" ref="H83:I83" si="19">H75+H77+H81+H79</f>
        <v>0</v>
      </c>
      <c r="I83" s="51">
        <f t="shared" si="19"/>
        <v>0</v>
      </c>
      <c r="J83" s="51">
        <f>H83-I83</f>
        <v>0</v>
      </c>
      <c r="K83" s="51">
        <f>K75+K77+K81+K79</f>
        <v>0</v>
      </c>
      <c r="L83" s="52">
        <f t="shared" ref="L83:L84" si="20">G83+J83+K83</f>
        <v>0</v>
      </c>
    </row>
    <row r="84" spans="1:13">
      <c r="A84" s="47" t="s">
        <v>1692</v>
      </c>
      <c r="B84" s="799"/>
      <c r="C84" s="877"/>
      <c r="D84" s="800"/>
      <c r="E84" s="878"/>
      <c r="F84" s="53" t="s">
        <v>576</v>
      </c>
      <c r="G84" s="51">
        <f>G76+G78+G82+G80</f>
        <v>0</v>
      </c>
      <c r="H84" s="51">
        <f t="shared" ref="H84" si="21">H76+H78+H82+H80</f>
        <v>0</v>
      </c>
      <c r="I84" s="51">
        <f>I76+I78+I82+I80</f>
        <v>0</v>
      </c>
      <c r="J84" s="51">
        <f>H84-I84</f>
        <v>0</v>
      </c>
      <c r="K84" s="51">
        <f>K76+K78+K82+K80</f>
        <v>0</v>
      </c>
      <c r="L84" s="52">
        <f t="shared" si="20"/>
        <v>0</v>
      </c>
    </row>
    <row r="85" spans="1:13">
      <c r="A85" s="47" t="s">
        <v>650</v>
      </c>
      <c r="B85" s="799"/>
      <c r="C85" s="877"/>
      <c r="D85" s="850" t="s">
        <v>594</v>
      </c>
      <c r="E85" s="852"/>
      <c r="F85" s="53" t="s">
        <v>575</v>
      </c>
      <c r="G85" s="51"/>
      <c r="H85" s="51"/>
      <c r="I85" s="51"/>
      <c r="J85" s="51">
        <f t="shared" si="18"/>
        <v>0</v>
      </c>
      <c r="K85" s="52"/>
      <c r="L85" s="52">
        <f t="shared" si="1"/>
        <v>0</v>
      </c>
    </row>
    <row r="86" spans="1:13">
      <c r="A86" s="47" t="s">
        <v>651</v>
      </c>
      <c r="B86" s="799"/>
      <c r="C86" s="877"/>
      <c r="D86" s="853"/>
      <c r="E86" s="854"/>
      <c r="F86" s="53" t="s">
        <v>576</v>
      </c>
      <c r="G86" s="51"/>
      <c r="H86" s="51"/>
      <c r="I86" s="51"/>
      <c r="J86" s="51">
        <f t="shared" si="18"/>
        <v>0</v>
      </c>
      <c r="K86" s="52"/>
      <c r="L86" s="52">
        <f t="shared" si="1"/>
        <v>0</v>
      </c>
    </row>
    <row r="87" spans="1:13">
      <c r="A87" s="47" t="s">
        <v>652</v>
      </c>
      <c r="B87" s="799"/>
      <c r="C87" s="877"/>
      <c r="D87" s="850" t="s">
        <v>68</v>
      </c>
      <c r="E87" s="852"/>
      <c r="F87" s="53" t="s">
        <v>575</v>
      </c>
      <c r="G87" s="51"/>
      <c r="H87" s="51"/>
      <c r="I87" s="51"/>
      <c r="J87" s="51">
        <f t="shared" si="18"/>
        <v>0</v>
      </c>
      <c r="K87" s="52"/>
      <c r="L87" s="52">
        <f t="shared" si="1"/>
        <v>0</v>
      </c>
    </row>
    <row r="88" spans="1:13">
      <c r="A88" s="47" t="s">
        <v>653</v>
      </c>
      <c r="B88" s="799"/>
      <c r="C88" s="877"/>
      <c r="D88" s="853"/>
      <c r="E88" s="854"/>
      <c r="F88" s="53" t="s">
        <v>576</v>
      </c>
      <c r="G88" s="51"/>
      <c r="H88" s="51"/>
      <c r="I88" s="51"/>
      <c r="J88" s="51">
        <f t="shared" si="18"/>
        <v>0</v>
      </c>
      <c r="K88" s="52"/>
      <c r="L88" s="52">
        <f t="shared" si="1"/>
        <v>0</v>
      </c>
    </row>
    <row r="89" spans="1:13">
      <c r="A89" s="47" t="s">
        <v>154</v>
      </c>
      <c r="B89" s="799"/>
      <c r="C89" s="877"/>
      <c r="D89" s="850" t="s">
        <v>599</v>
      </c>
      <c r="E89" s="852"/>
      <c r="F89" s="53" t="s">
        <v>654</v>
      </c>
      <c r="G89" s="51">
        <f>G73+G83+G85+G87</f>
        <v>0</v>
      </c>
      <c r="H89" s="51">
        <f t="shared" ref="H89:K89" si="22">-H73+H83+H85+H87</f>
        <v>0</v>
      </c>
      <c r="I89" s="51">
        <f t="shared" si="22"/>
        <v>0</v>
      </c>
      <c r="J89" s="51">
        <f t="shared" si="18"/>
        <v>0</v>
      </c>
      <c r="K89" s="51">
        <f t="shared" si="22"/>
        <v>0</v>
      </c>
      <c r="L89" s="52">
        <f t="shared" si="1"/>
        <v>0</v>
      </c>
    </row>
    <row r="90" spans="1:13">
      <c r="A90" s="47" t="s">
        <v>655</v>
      </c>
      <c r="B90" s="799"/>
      <c r="C90" s="570"/>
      <c r="D90" s="853"/>
      <c r="E90" s="854"/>
      <c r="F90" s="53" t="s">
        <v>576</v>
      </c>
      <c r="G90" s="51">
        <f>G74+G84+G86+G88</f>
        <v>0</v>
      </c>
      <c r="H90" s="51">
        <f t="shared" ref="H90:L90" si="23">H74+H84+H86+H88</f>
        <v>0</v>
      </c>
      <c r="I90" s="51">
        <f t="shared" si="23"/>
        <v>0</v>
      </c>
      <c r="J90" s="51">
        <f t="shared" si="23"/>
        <v>0</v>
      </c>
      <c r="K90" s="51">
        <f t="shared" si="23"/>
        <v>0</v>
      </c>
      <c r="L90" s="51">
        <f t="shared" si="23"/>
        <v>0</v>
      </c>
    </row>
    <row r="91" spans="1:13">
      <c r="A91" s="47" t="s">
        <v>163</v>
      </c>
      <c r="B91" s="800"/>
      <c r="C91" s="887" t="s">
        <v>656</v>
      </c>
      <c r="D91" s="888"/>
      <c r="E91" s="888"/>
      <c r="F91" s="889"/>
      <c r="G91" s="56">
        <f t="shared" ref="G91" si="24">G89</f>
        <v>0</v>
      </c>
      <c r="H91" s="56">
        <f t="shared" ref="H91:L91" si="25">H89</f>
        <v>0</v>
      </c>
      <c r="I91" s="56">
        <f t="shared" si="25"/>
        <v>0</v>
      </c>
      <c r="J91" s="56">
        <f t="shared" si="25"/>
        <v>0</v>
      </c>
      <c r="K91" s="56">
        <f t="shared" si="25"/>
        <v>0</v>
      </c>
      <c r="L91" s="56">
        <f t="shared" si="25"/>
        <v>0</v>
      </c>
      <c r="M91" s="14" t="s">
        <v>1764</v>
      </c>
    </row>
    <row r="92" spans="1:13">
      <c r="A92" s="47" t="s">
        <v>657</v>
      </c>
      <c r="B92" s="887" t="s">
        <v>658</v>
      </c>
      <c r="C92" s="888"/>
      <c r="D92" s="888"/>
      <c r="E92" s="889"/>
      <c r="F92" s="54" t="s">
        <v>659</v>
      </c>
      <c r="G92" s="56">
        <f>G33+G61+G89</f>
        <v>0</v>
      </c>
      <c r="H92" s="56">
        <f>H33+H61+H89</f>
        <v>0</v>
      </c>
      <c r="I92" s="56">
        <f>I33+I61+I89</f>
        <v>0</v>
      </c>
      <c r="J92" s="51">
        <f t="shared" si="18"/>
        <v>0</v>
      </c>
      <c r="K92" s="56">
        <f>K33+K61+K89</f>
        <v>0</v>
      </c>
      <c r="L92" s="52">
        <f t="shared" si="1"/>
        <v>0</v>
      </c>
    </row>
    <row r="93" spans="1:13">
      <c r="A93" s="47" t="s">
        <v>558</v>
      </c>
      <c r="B93" s="887" t="s">
        <v>660</v>
      </c>
      <c r="C93" s="888"/>
      <c r="D93" s="888"/>
      <c r="E93" s="889"/>
      <c r="F93" s="54"/>
      <c r="G93" s="56">
        <f>G37+G65+G92</f>
        <v>0</v>
      </c>
      <c r="H93" s="56">
        <f t="shared" ref="H93:K93" si="26">H37+H65+H92</f>
        <v>0</v>
      </c>
      <c r="I93" s="56">
        <f t="shared" si="26"/>
        <v>0</v>
      </c>
      <c r="J93" s="51">
        <f t="shared" si="18"/>
        <v>0</v>
      </c>
      <c r="K93" s="56">
        <f t="shared" si="26"/>
        <v>0</v>
      </c>
      <c r="L93" s="52">
        <f t="shared" si="1"/>
        <v>0</v>
      </c>
    </row>
    <row r="94" spans="1:13" ht="13.5" customHeight="1">
      <c r="A94" s="47" t="s">
        <v>559</v>
      </c>
      <c r="B94" s="855" t="s">
        <v>661</v>
      </c>
      <c r="C94" s="855" t="s">
        <v>662</v>
      </c>
      <c r="D94" s="855" t="s">
        <v>663</v>
      </c>
      <c r="E94" s="887" t="s">
        <v>664</v>
      </c>
      <c r="F94" s="889"/>
      <c r="G94" s="51"/>
      <c r="H94" s="51"/>
      <c r="I94" s="51"/>
      <c r="J94" s="51">
        <f t="shared" si="18"/>
        <v>0</v>
      </c>
      <c r="K94" s="52"/>
      <c r="L94" s="52">
        <f t="shared" si="1"/>
        <v>0</v>
      </c>
    </row>
    <row r="95" spans="1:13">
      <c r="A95" s="47" t="s">
        <v>561</v>
      </c>
      <c r="B95" s="799"/>
      <c r="C95" s="799"/>
      <c r="D95" s="799"/>
      <c r="E95" s="887" t="s">
        <v>665</v>
      </c>
      <c r="F95" s="889"/>
      <c r="G95" s="51"/>
      <c r="H95" s="51"/>
      <c r="I95" s="51"/>
      <c r="J95" s="51">
        <f t="shared" si="18"/>
        <v>0</v>
      </c>
      <c r="K95" s="52"/>
      <c r="L95" s="52">
        <f t="shared" si="1"/>
        <v>0</v>
      </c>
    </row>
    <row r="96" spans="1:13">
      <c r="A96" s="47" t="s">
        <v>560</v>
      </c>
      <c r="B96" s="799"/>
      <c r="C96" s="799"/>
      <c r="D96" s="800"/>
      <c r="E96" s="887" t="s">
        <v>666</v>
      </c>
      <c r="F96" s="889"/>
      <c r="G96" s="51"/>
      <c r="H96" s="51"/>
      <c r="I96" s="51"/>
      <c r="J96" s="51">
        <f t="shared" si="18"/>
        <v>0</v>
      </c>
      <c r="K96" s="52"/>
      <c r="L96" s="52">
        <f t="shared" si="1"/>
        <v>0</v>
      </c>
    </row>
    <row r="97" spans="1:12" ht="13.5" customHeight="1">
      <c r="A97" s="47" t="s">
        <v>667</v>
      </c>
      <c r="B97" s="799"/>
      <c r="C97" s="799"/>
      <c r="D97" s="855" t="s">
        <v>668</v>
      </c>
      <c r="E97" s="887" t="s">
        <v>664</v>
      </c>
      <c r="F97" s="889"/>
      <c r="G97" s="51"/>
      <c r="H97" s="51"/>
      <c r="I97" s="51"/>
      <c r="J97" s="51">
        <f t="shared" si="18"/>
        <v>0</v>
      </c>
      <c r="K97" s="52"/>
      <c r="L97" s="52">
        <f t="shared" si="1"/>
        <v>0</v>
      </c>
    </row>
    <row r="98" spans="1:12">
      <c r="A98" s="47" t="s">
        <v>669</v>
      </c>
      <c r="B98" s="799"/>
      <c r="C98" s="799"/>
      <c r="D98" s="799"/>
      <c r="E98" s="887" t="s">
        <v>665</v>
      </c>
      <c r="F98" s="889"/>
      <c r="G98" s="51"/>
      <c r="H98" s="51"/>
      <c r="I98" s="51"/>
      <c r="J98" s="51">
        <f t="shared" si="18"/>
        <v>0</v>
      </c>
      <c r="K98" s="52"/>
      <c r="L98" s="52">
        <f t="shared" si="1"/>
        <v>0</v>
      </c>
    </row>
    <row r="99" spans="1:12" ht="13.5" customHeight="1">
      <c r="A99" s="47" t="s">
        <v>670</v>
      </c>
      <c r="B99" s="799"/>
      <c r="C99" s="800"/>
      <c r="D99" s="800"/>
      <c r="E99" s="887" t="s">
        <v>666</v>
      </c>
      <c r="F99" s="889"/>
      <c r="G99" s="51"/>
      <c r="H99" s="51"/>
      <c r="I99" s="51"/>
      <c r="J99" s="51">
        <f t="shared" si="18"/>
        <v>0</v>
      </c>
      <c r="K99" s="52"/>
      <c r="L99" s="52">
        <f t="shared" si="1"/>
        <v>0</v>
      </c>
    </row>
    <row r="100" spans="1:12" ht="13.5" customHeight="1">
      <c r="A100" s="47" t="s">
        <v>671</v>
      </c>
      <c r="B100" s="799"/>
      <c r="C100" s="855" t="s">
        <v>672</v>
      </c>
      <c r="D100" s="855" t="s">
        <v>663</v>
      </c>
      <c r="E100" s="887" t="s">
        <v>664</v>
      </c>
      <c r="F100" s="889"/>
      <c r="G100" s="51"/>
      <c r="H100" s="51"/>
      <c r="I100" s="51"/>
      <c r="J100" s="51">
        <f t="shared" si="18"/>
        <v>0</v>
      </c>
      <c r="K100" s="51"/>
      <c r="L100" s="52">
        <f t="shared" si="1"/>
        <v>0</v>
      </c>
    </row>
    <row r="101" spans="1:12" ht="13.5" customHeight="1">
      <c r="A101" s="47" t="s">
        <v>673</v>
      </c>
      <c r="B101" s="799"/>
      <c r="C101" s="799"/>
      <c r="D101" s="799"/>
      <c r="E101" s="887" t="s">
        <v>665</v>
      </c>
      <c r="F101" s="889"/>
      <c r="G101" s="51"/>
      <c r="H101" s="51"/>
      <c r="I101" s="51"/>
      <c r="J101" s="51">
        <f t="shared" si="18"/>
        <v>0</v>
      </c>
      <c r="K101" s="51"/>
      <c r="L101" s="52">
        <f t="shared" si="1"/>
        <v>0</v>
      </c>
    </row>
    <row r="102" spans="1:12" ht="13.5" customHeight="1">
      <c r="A102" s="47" t="s">
        <v>674</v>
      </c>
      <c r="B102" s="799"/>
      <c r="C102" s="799"/>
      <c r="D102" s="800"/>
      <c r="E102" s="887" t="s">
        <v>666</v>
      </c>
      <c r="F102" s="889"/>
      <c r="G102" s="51"/>
      <c r="H102" s="51"/>
      <c r="I102" s="51"/>
      <c r="J102" s="51">
        <f t="shared" si="18"/>
        <v>0</v>
      </c>
      <c r="K102" s="51"/>
      <c r="L102" s="52">
        <f t="shared" si="1"/>
        <v>0</v>
      </c>
    </row>
    <row r="103" spans="1:12" ht="13.5" customHeight="1">
      <c r="A103" s="47" t="s">
        <v>675</v>
      </c>
      <c r="B103" s="799"/>
      <c r="C103" s="799"/>
      <c r="D103" s="855" t="s">
        <v>668</v>
      </c>
      <c r="E103" s="887" t="s">
        <v>664</v>
      </c>
      <c r="F103" s="889"/>
      <c r="G103" s="51"/>
      <c r="H103" s="51"/>
      <c r="I103" s="51"/>
      <c r="J103" s="51">
        <f t="shared" si="18"/>
        <v>0</v>
      </c>
      <c r="K103" s="51"/>
      <c r="L103" s="52">
        <f t="shared" si="1"/>
        <v>0</v>
      </c>
    </row>
    <row r="104" spans="1:12" ht="13.5" customHeight="1">
      <c r="A104" s="47" t="s">
        <v>676</v>
      </c>
      <c r="B104" s="799"/>
      <c r="C104" s="799"/>
      <c r="D104" s="799"/>
      <c r="E104" s="887" t="s">
        <v>665</v>
      </c>
      <c r="F104" s="889"/>
      <c r="G104" s="51"/>
      <c r="H104" s="51"/>
      <c r="I104" s="51"/>
      <c r="J104" s="51">
        <f t="shared" si="18"/>
        <v>0</v>
      </c>
      <c r="K104" s="51"/>
      <c r="L104" s="52">
        <f t="shared" si="1"/>
        <v>0</v>
      </c>
    </row>
    <row r="105" spans="1:12" ht="13.5" customHeight="1">
      <c r="A105" s="47" t="s">
        <v>677</v>
      </c>
      <c r="B105" s="800"/>
      <c r="C105" s="800"/>
      <c r="D105" s="800"/>
      <c r="E105" s="887" t="s">
        <v>666</v>
      </c>
      <c r="F105" s="889"/>
      <c r="G105" s="51"/>
      <c r="H105" s="51"/>
      <c r="I105" s="51"/>
      <c r="J105" s="51">
        <f t="shared" si="18"/>
        <v>0</v>
      </c>
      <c r="K105" s="51"/>
      <c r="L105" s="52">
        <f t="shared" si="1"/>
        <v>0</v>
      </c>
    </row>
    <row r="107" spans="1:12">
      <c r="A107" s="37" t="s">
        <v>547</v>
      </c>
      <c r="C107" s="44"/>
      <c r="D107" s="44"/>
    </row>
    <row r="108" spans="1:12">
      <c r="C108" s="44"/>
      <c r="D108" s="44"/>
    </row>
    <row r="109" spans="1:12">
      <c r="A109" s="37" t="s">
        <v>59</v>
      </c>
    </row>
    <row r="110" spans="1:12">
      <c r="A110" s="14" t="s">
        <v>678</v>
      </c>
    </row>
    <row r="111" spans="1:12" ht="13.5" customHeight="1">
      <c r="A111" s="58" t="s">
        <v>679</v>
      </c>
      <c r="B111" s="488"/>
      <c r="C111" s="488"/>
      <c r="D111" s="488"/>
      <c r="E111" s="488"/>
      <c r="F111" s="488"/>
      <c r="G111" s="488"/>
      <c r="H111" s="488"/>
      <c r="I111" s="488"/>
      <c r="J111" s="488"/>
      <c r="K111" s="488"/>
      <c r="L111" s="488"/>
    </row>
    <row r="112" spans="1:12">
      <c r="A112" s="58" t="s">
        <v>680</v>
      </c>
      <c r="B112" s="59"/>
      <c r="C112" s="59"/>
      <c r="D112" s="59"/>
      <c r="E112" s="59"/>
      <c r="F112" s="59"/>
      <c r="G112" s="59"/>
      <c r="H112" s="59"/>
      <c r="I112" s="59"/>
      <c r="J112" s="59"/>
      <c r="K112" s="59"/>
      <c r="L112" s="59"/>
    </row>
    <row r="113" spans="1:11">
      <c r="A113" s="14" t="s">
        <v>681</v>
      </c>
    </row>
    <row r="114" spans="1:11">
      <c r="A114" s="14" t="s">
        <v>682</v>
      </c>
    </row>
    <row r="115" spans="1:11">
      <c r="A115" s="14" t="s">
        <v>683</v>
      </c>
    </row>
    <row r="116" spans="1:11">
      <c r="A116" s="14" t="s">
        <v>684</v>
      </c>
    </row>
    <row r="117" spans="1:11">
      <c r="A117" s="14" t="s">
        <v>685</v>
      </c>
    </row>
    <row r="118" spans="1:11">
      <c r="A118" s="14" t="s">
        <v>686</v>
      </c>
    </row>
    <row r="119" spans="1:11">
      <c r="A119" s="14" t="s">
        <v>687</v>
      </c>
    </row>
    <row r="120" spans="1:11">
      <c r="A120" s="14" t="s">
        <v>688</v>
      </c>
    </row>
    <row r="121" spans="1:11">
      <c r="A121" s="14" t="s">
        <v>689</v>
      </c>
      <c r="C121" s="60"/>
      <c r="D121" s="61"/>
      <c r="E121" s="61"/>
      <c r="F121" s="61"/>
      <c r="G121" s="61"/>
      <c r="H121" s="61"/>
      <c r="I121" s="61"/>
      <c r="J121" s="61"/>
      <c r="K121" s="61"/>
    </row>
    <row r="123" spans="1:11">
      <c r="A123" s="62" t="s">
        <v>173</v>
      </c>
    </row>
    <row r="124" spans="1:11" ht="17.399999999999999">
      <c r="A124" s="14" t="s">
        <v>690</v>
      </c>
    </row>
    <row r="125" spans="1:11">
      <c r="A125" s="351" t="s">
        <v>1746</v>
      </c>
      <c r="B125" s="351"/>
      <c r="C125" s="351"/>
      <c r="D125" s="351"/>
      <c r="E125" s="443"/>
      <c r="F125" s="443"/>
    </row>
    <row r="129" spans="15:15">
      <c r="O129" s="14" t="s">
        <v>784</v>
      </c>
    </row>
  </sheetData>
  <autoFilter ref="A11:A105" xr:uid="{030D97B7-66D1-4516-A824-C8FCA272BF98}"/>
  <mergeCells count="83">
    <mergeCell ref="B94:B105"/>
    <mergeCell ref="C94:C99"/>
    <mergeCell ref="D94:D96"/>
    <mergeCell ref="E23:E24"/>
    <mergeCell ref="E51:E52"/>
    <mergeCell ref="E79:E80"/>
    <mergeCell ref="C100:C105"/>
    <mergeCell ref="D100:D102"/>
    <mergeCell ref="E100:F100"/>
    <mergeCell ref="E101:F101"/>
    <mergeCell ref="E102:F102"/>
    <mergeCell ref="D103:D105"/>
    <mergeCell ref="E103:F103"/>
    <mergeCell ref="E104:F104"/>
    <mergeCell ref="E105:F105"/>
    <mergeCell ref="E94:F94"/>
    <mergeCell ref="E95:F95"/>
    <mergeCell ref="E96:F96"/>
    <mergeCell ref="D97:D99"/>
    <mergeCell ref="E97:F97"/>
    <mergeCell ref="E98:F98"/>
    <mergeCell ref="E99:F99"/>
    <mergeCell ref="B93:E93"/>
    <mergeCell ref="B66:B91"/>
    <mergeCell ref="C66:F66"/>
    <mergeCell ref="C67:C89"/>
    <mergeCell ref="D67:F67"/>
    <mergeCell ref="D68:F68"/>
    <mergeCell ref="D75:D84"/>
    <mergeCell ref="E75:E76"/>
    <mergeCell ref="E77:E78"/>
    <mergeCell ref="E81:E82"/>
    <mergeCell ref="E83:E84"/>
    <mergeCell ref="D85:E86"/>
    <mergeCell ref="D87:E88"/>
    <mergeCell ref="D89:E90"/>
    <mergeCell ref="C91:F91"/>
    <mergeCell ref="B92:E92"/>
    <mergeCell ref="D59:E60"/>
    <mergeCell ref="D61:E62"/>
    <mergeCell ref="C63:E64"/>
    <mergeCell ref="C65:F65"/>
    <mergeCell ref="D69:D74"/>
    <mergeCell ref="E69:E70"/>
    <mergeCell ref="E71:E72"/>
    <mergeCell ref="E73:E74"/>
    <mergeCell ref="E47:E48"/>
    <mergeCell ref="E49:E50"/>
    <mergeCell ref="E53:E54"/>
    <mergeCell ref="E55:E56"/>
    <mergeCell ref="D57:E58"/>
    <mergeCell ref="E27:E28"/>
    <mergeCell ref="B38:B65"/>
    <mergeCell ref="C38:F38"/>
    <mergeCell ref="C39:C61"/>
    <mergeCell ref="D39:F39"/>
    <mergeCell ref="D40:F40"/>
    <mergeCell ref="D29:E30"/>
    <mergeCell ref="D31:E32"/>
    <mergeCell ref="D33:E34"/>
    <mergeCell ref="C35:E36"/>
    <mergeCell ref="C37:F37"/>
    <mergeCell ref="D41:D46"/>
    <mergeCell ref="E41:E42"/>
    <mergeCell ref="E43:E44"/>
    <mergeCell ref="E45:E46"/>
    <mergeCell ref="D47:D56"/>
    <mergeCell ref="A8:F10"/>
    <mergeCell ref="G9:G10"/>
    <mergeCell ref="H9:K9"/>
    <mergeCell ref="L9:L10"/>
    <mergeCell ref="B11:B37"/>
    <mergeCell ref="C11:C34"/>
    <mergeCell ref="D11:F11"/>
    <mergeCell ref="D12:F12"/>
    <mergeCell ref="D13:D18"/>
    <mergeCell ref="E13:E14"/>
    <mergeCell ref="E15:E16"/>
    <mergeCell ref="E17:E18"/>
    <mergeCell ref="D19:D28"/>
    <mergeCell ref="E19:E20"/>
    <mergeCell ref="E21:E22"/>
    <mergeCell ref="E25:E26"/>
  </mergeCells>
  <phoneticPr fontId="6" type="noConversion"/>
  <pageMargins left="0.7" right="0.7" top="0.75" bottom="0.75" header="0.3" footer="0.3"/>
  <pageSetup paperSize="9" scale="42" orientation="portrait" r:id="rId1"/>
  <rowBreaks count="1" manualBreakCount="1">
    <brk id="105" max="11" man="1"/>
  </rowBreaks>
  <drawing r:id="rId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DD66B7-A22E-40D4-8CAC-3D15FD7A211E}">
  <sheetPr codeName="Sheet30">
    <tabColor theme="0" tint="-0.249977111117893"/>
    <pageSetUpPr fitToPage="1"/>
  </sheetPr>
  <dimension ref="A5:P72"/>
  <sheetViews>
    <sheetView view="pageBreakPreview" topLeftCell="A22" zoomScale="85" zoomScaleNormal="100" zoomScaleSheetLayoutView="85" workbookViewId="0">
      <selection activeCell="A64" sqref="A64:P64"/>
    </sheetView>
  </sheetViews>
  <sheetFormatPr defaultColWidth="8.8984375" defaultRowHeight="14.4"/>
  <cols>
    <col min="1" max="1" width="6.59765625" style="323" customWidth="1"/>
    <col min="2" max="2" width="13.19921875" style="323" customWidth="1"/>
    <col min="3" max="3" width="8.8984375" style="323"/>
    <col min="4" max="4" width="11.59765625" style="323" customWidth="1"/>
    <col min="5" max="16" width="7.8984375" style="323" customWidth="1"/>
    <col min="17" max="16384" width="8.8984375" style="323"/>
  </cols>
  <sheetData>
    <row r="5" spans="1:16" ht="20.25" customHeight="1">
      <c r="A5" s="463" t="s">
        <v>1523</v>
      </c>
      <c r="B5" s="463"/>
      <c r="C5" s="464"/>
      <c r="D5" s="464"/>
      <c r="E5" s="465"/>
      <c r="G5" s="465"/>
      <c r="K5" s="465"/>
      <c r="L5" s="465"/>
      <c r="O5" s="465"/>
      <c r="P5" s="465"/>
    </row>
    <row r="6" spans="1:16">
      <c r="C6" s="464"/>
      <c r="D6" s="464"/>
    </row>
    <row r="7" spans="1:16">
      <c r="A7" s="466" t="s">
        <v>1524</v>
      </c>
      <c r="B7" s="467"/>
      <c r="C7" s="464"/>
      <c r="D7" s="464"/>
      <c r="L7" s="468"/>
      <c r="P7" s="468"/>
    </row>
    <row r="8" spans="1:16">
      <c r="A8" s="892" t="s">
        <v>555</v>
      </c>
      <c r="B8" s="893"/>
      <c r="C8" s="893"/>
      <c r="D8" s="894"/>
      <c r="E8" s="469" t="s">
        <v>693</v>
      </c>
      <c r="F8" s="469" t="s">
        <v>694</v>
      </c>
      <c r="G8" s="469" t="s">
        <v>752</v>
      </c>
      <c r="H8" s="469" t="s">
        <v>753</v>
      </c>
      <c r="I8" s="469" t="s">
        <v>695</v>
      </c>
      <c r="J8" s="469" t="s">
        <v>696</v>
      </c>
      <c r="K8" s="469" t="s">
        <v>756</v>
      </c>
      <c r="L8" s="469" t="s">
        <v>757</v>
      </c>
      <c r="M8" s="469" t="s">
        <v>72</v>
      </c>
      <c r="N8" s="469" t="s">
        <v>73</v>
      </c>
      <c r="O8" s="469" t="s">
        <v>74</v>
      </c>
      <c r="P8" s="469" t="s">
        <v>105</v>
      </c>
    </row>
    <row r="9" spans="1:16">
      <c r="A9" s="895"/>
      <c r="B9" s="896"/>
      <c r="C9" s="896"/>
      <c r="D9" s="897"/>
      <c r="E9" s="901" t="s">
        <v>569</v>
      </c>
      <c r="F9" s="901"/>
      <c r="G9" s="901"/>
      <c r="H9" s="901"/>
      <c r="I9" s="901" t="s">
        <v>1525</v>
      </c>
      <c r="J9" s="901"/>
      <c r="K9" s="901"/>
      <c r="L9" s="901"/>
      <c r="M9" s="901" t="s">
        <v>1526</v>
      </c>
      <c r="N9" s="901"/>
      <c r="O9" s="901"/>
      <c r="P9" s="901"/>
    </row>
    <row r="10" spans="1:16" ht="28.8">
      <c r="A10" s="898"/>
      <c r="B10" s="899"/>
      <c r="C10" s="899"/>
      <c r="D10" s="900"/>
      <c r="E10" s="470" t="s">
        <v>562</v>
      </c>
      <c r="F10" s="470" t="s">
        <v>565</v>
      </c>
      <c r="G10" s="470" t="s">
        <v>566</v>
      </c>
      <c r="H10" s="471" t="s">
        <v>564</v>
      </c>
      <c r="I10" s="470" t="s">
        <v>562</v>
      </c>
      <c r="J10" s="470" t="s">
        <v>565</v>
      </c>
      <c r="K10" s="470" t="s">
        <v>566</v>
      </c>
      <c r="L10" s="471" t="s">
        <v>564</v>
      </c>
      <c r="M10" s="470" t="s">
        <v>562</v>
      </c>
      <c r="N10" s="470" t="s">
        <v>565</v>
      </c>
      <c r="O10" s="470" t="s">
        <v>566</v>
      </c>
      <c r="P10" s="471" t="s">
        <v>564</v>
      </c>
    </row>
    <row r="11" spans="1:16">
      <c r="A11" s="472" t="s">
        <v>1527</v>
      </c>
      <c r="B11" s="902" t="s">
        <v>1528</v>
      </c>
      <c r="C11" s="903" t="s">
        <v>1529</v>
      </c>
      <c r="D11" s="903"/>
      <c r="E11" s="473"/>
      <c r="F11" s="473"/>
      <c r="G11" s="473"/>
      <c r="H11" s="474">
        <f>E11+F11-G11</f>
        <v>0</v>
      </c>
      <c r="I11" s="473"/>
      <c r="J11" s="473"/>
      <c r="K11" s="473"/>
      <c r="L11" s="474">
        <f t="shared" ref="L11:L63" si="0">I11+J11-K11</f>
        <v>0</v>
      </c>
      <c r="M11" s="473"/>
      <c r="N11" s="473"/>
      <c r="O11" s="473"/>
      <c r="P11" s="474">
        <f t="shared" ref="P11:P63" si="1">M11+N11-O11</f>
        <v>0</v>
      </c>
    </row>
    <row r="12" spans="1:16">
      <c r="A12" s="472" t="s">
        <v>1530</v>
      </c>
      <c r="B12" s="902"/>
      <c r="C12" s="903" t="s">
        <v>1531</v>
      </c>
      <c r="D12" s="903"/>
      <c r="E12" s="473"/>
      <c r="F12" s="473"/>
      <c r="G12" s="473"/>
      <c r="H12" s="474">
        <f t="shared" ref="H12:H63" si="2">E12+F12-G12</f>
        <v>0</v>
      </c>
      <c r="I12" s="473"/>
      <c r="J12" s="473"/>
      <c r="K12" s="473"/>
      <c r="L12" s="474">
        <f t="shared" si="0"/>
        <v>0</v>
      </c>
      <c r="M12" s="473"/>
      <c r="N12" s="473"/>
      <c r="O12" s="473"/>
      <c r="P12" s="474">
        <f t="shared" si="1"/>
        <v>0</v>
      </c>
    </row>
    <row r="13" spans="1:16">
      <c r="A13" s="472" t="s">
        <v>1532</v>
      </c>
      <c r="B13" s="902"/>
      <c r="C13" s="903" t="s">
        <v>1533</v>
      </c>
      <c r="D13" s="903"/>
      <c r="E13" s="473"/>
      <c r="F13" s="473"/>
      <c r="G13" s="473"/>
      <c r="H13" s="474">
        <f t="shared" si="2"/>
        <v>0</v>
      </c>
      <c r="I13" s="473"/>
      <c r="J13" s="473"/>
      <c r="K13" s="473"/>
      <c r="L13" s="474">
        <f t="shared" si="0"/>
        <v>0</v>
      </c>
      <c r="M13" s="473"/>
      <c r="N13" s="473"/>
      <c r="O13" s="473"/>
      <c r="P13" s="474">
        <f t="shared" si="1"/>
        <v>0</v>
      </c>
    </row>
    <row r="14" spans="1:16">
      <c r="A14" s="472" t="s">
        <v>1534</v>
      </c>
      <c r="B14" s="902"/>
      <c r="C14" s="903" t="s">
        <v>1535</v>
      </c>
      <c r="D14" s="903"/>
      <c r="E14" s="473"/>
      <c r="F14" s="473"/>
      <c r="G14" s="473"/>
      <c r="H14" s="474">
        <f t="shared" si="2"/>
        <v>0</v>
      </c>
      <c r="I14" s="473"/>
      <c r="J14" s="473"/>
      <c r="K14" s="473"/>
      <c r="L14" s="474">
        <f t="shared" si="0"/>
        <v>0</v>
      </c>
      <c r="M14" s="473"/>
      <c r="N14" s="473"/>
      <c r="O14" s="473"/>
      <c r="P14" s="474">
        <f t="shared" si="1"/>
        <v>0</v>
      </c>
    </row>
    <row r="15" spans="1:16">
      <c r="A15" s="472" t="s">
        <v>1536</v>
      </c>
      <c r="B15" s="902"/>
      <c r="C15" s="903" t="s">
        <v>68</v>
      </c>
      <c r="D15" s="903"/>
      <c r="E15" s="473"/>
      <c r="F15" s="473"/>
      <c r="G15" s="473"/>
      <c r="H15" s="474">
        <f t="shared" si="2"/>
        <v>0</v>
      </c>
      <c r="I15" s="473"/>
      <c r="J15" s="473"/>
      <c r="K15" s="473"/>
      <c r="L15" s="474">
        <f t="shared" si="0"/>
        <v>0</v>
      </c>
      <c r="M15" s="473"/>
      <c r="N15" s="473"/>
      <c r="O15" s="473"/>
      <c r="P15" s="474">
        <f t="shared" si="1"/>
        <v>0</v>
      </c>
    </row>
    <row r="16" spans="1:16">
      <c r="A16" s="472" t="s">
        <v>1537</v>
      </c>
      <c r="B16" s="902"/>
      <c r="C16" s="903" t="s">
        <v>599</v>
      </c>
      <c r="D16" s="903"/>
      <c r="E16" s="473">
        <f>E11+E12+E13+E14+E15</f>
        <v>0</v>
      </c>
      <c r="F16" s="473">
        <f>F11+F12+F13+F14+F15</f>
        <v>0</v>
      </c>
      <c r="G16" s="473">
        <f>G11+G12+G13+G14+G15</f>
        <v>0</v>
      </c>
      <c r="H16" s="474">
        <f t="shared" si="2"/>
        <v>0</v>
      </c>
      <c r="I16" s="473">
        <f>I11+I12+I13+I14+I15</f>
        <v>0</v>
      </c>
      <c r="J16" s="473">
        <f>J11+J12+J13+J14+J15</f>
        <v>0</v>
      </c>
      <c r="K16" s="473">
        <f>K11+K12+K13+K14+K15</f>
        <v>0</v>
      </c>
      <c r="L16" s="474">
        <f t="shared" si="0"/>
        <v>0</v>
      </c>
      <c r="M16" s="473">
        <f>M11+M12+M13+M14+M15</f>
        <v>0</v>
      </c>
      <c r="N16" s="473">
        <f>N11+N12+N13+N14+N15</f>
        <v>0</v>
      </c>
      <c r="O16" s="473">
        <f>O11+O12+O13+O14+O15</f>
        <v>0</v>
      </c>
      <c r="P16" s="474">
        <f t="shared" si="1"/>
        <v>0</v>
      </c>
    </row>
    <row r="17" spans="1:16">
      <c r="A17" s="472" t="s">
        <v>1538</v>
      </c>
      <c r="B17" s="902" t="s">
        <v>1539</v>
      </c>
      <c r="C17" s="903" t="s">
        <v>1540</v>
      </c>
      <c r="D17" s="903"/>
      <c r="E17" s="473"/>
      <c r="F17" s="473"/>
      <c r="G17" s="473"/>
      <c r="H17" s="474">
        <f t="shared" si="2"/>
        <v>0</v>
      </c>
      <c r="I17" s="473"/>
      <c r="J17" s="473"/>
      <c r="K17" s="473"/>
      <c r="L17" s="474">
        <f t="shared" si="0"/>
        <v>0</v>
      </c>
      <c r="M17" s="473"/>
      <c r="N17" s="473"/>
      <c r="O17" s="473"/>
      <c r="P17" s="474">
        <f t="shared" si="1"/>
        <v>0</v>
      </c>
    </row>
    <row r="18" spans="1:16">
      <c r="A18" s="472" t="s">
        <v>1541</v>
      </c>
      <c r="B18" s="902"/>
      <c r="C18" s="903" t="s">
        <v>1542</v>
      </c>
      <c r="D18" s="903"/>
      <c r="E18" s="473"/>
      <c r="F18" s="473"/>
      <c r="G18" s="473"/>
      <c r="H18" s="474">
        <f t="shared" si="2"/>
        <v>0</v>
      </c>
      <c r="I18" s="473"/>
      <c r="J18" s="473"/>
      <c r="K18" s="473"/>
      <c r="L18" s="474">
        <f t="shared" si="0"/>
        <v>0</v>
      </c>
      <c r="M18" s="473"/>
      <c r="N18" s="473"/>
      <c r="O18" s="473"/>
      <c r="P18" s="474">
        <f t="shared" si="1"/>
        <v>0</v>
      </c>
    </row>
    <row r="19" spans="1:16">
      <c r="A19" s="472" t="s">
        <v>1543</v>
      </c>
      <c r="B19" s="902"/>
      <c r="C19" s="903" t="s">
        <v>1544</v>
      </c>
      <c r="D19" s="903"/>
      <c r="E19" s="473"/>
      <c r="F19" s="473"/>
      <c r="G19" s="473"/>
      <c r="H19" s="474">
        <f>E19+F19-G19</f>
        <v>0</v>
      </c>
      <c r="I19" s="473"/>
      <c r="J19" s="473"/>
      <c r="K19" s="473"/>
      <c r="L19" s="474">
        <f t="shared" si="0"/>
        <v>0</v>
      </c>
      <c r="M19" s="473"/>
      <c r="N19" s="473"/>
      <c r="O19" s="473"/>
      <c r="P19" s="474">
        <f t="shared" si="1"/>
        <v>0</v>
      </c>
    </row>
    <row r="20" spans="1:16">
      <c r="A20" s="472" t="s">
        <v>1545</v>
      </c>
      <c r="B20" s="902"/>
      <c r="C20" s="903" t="s">
        <v>68</v>
      </c>
      <c r="D20" s="903"/>
      <c r="E20" s="473"/>
      <c r="F20" s="473"/>
      <c r="G20" s="473"/>
      <c r="H20" s="474">
        <f t="shared" si="2"/>
        <v>0</v>
      </c>
      <c r="I20" s="473"/>
      <c r="J20" s="473"/>
      <c r="K20" s="473"/>
      <c r="L20" s="474">
        <f t="shared" si="0"/>
        <v>0</v>
      </c>
      <c r="M20" s="473"/>
      <c r="N20" s="473"/>
      <c r="O20" s="473"/>
      <c r="P20" s="474">
        <f t="shared" si="1"/>
        <v>0</v>
      </c>
    </row>
    <row r="21" spans="1:16">
      <c r="A21" s="472" t="s">
        <v>1546</v>
      </c>
      <c r="B21" s="902"/>
      <c r="C21" s="903" t="s">
        <v>599</v>
      </c>
      <c r="D21" s="903"/>
      <c r="E21" s="475">
        <f>E17+E18+E19+E20</f>
        <v>0</v>
      </c>
      <c r="F21" s="475">
        <f>F17+F18+F19+F20</f>
        <v>0</v>
      </c>
      <c r="G21" s="475">
        <f>G17+G18+G19+G20</f>
        <v>0</v>
      </c>
      <c r="H21" s="474">
        <f t="shared" si="2"/>
        <v>0</v>
      </c>
      <c r="I21" s="475">
        <f>I17+I18+I19+I20</f>
        <v>0</v>
      </c>
      <c r="J21" s="475">
        <f>J17+J18+J19+J20</f>
        <v>0</v>
      </c>
      <c r="K21" s="475">
        <f>K17+K18+K19+K20</f>
        <v>0</v>
      </c>
      <c r="L21" s="474">
        <f t="shared" si="0"/>
        <v>0</v>
      </c>
      <c r="M21" s="475">
        <f>M17+M18+M19+M20</f>
        <v>0</v>
      </c>
      <c r="N21" s="475">
        <f>N17+N18+N19+N20</f>
        <v>0</v>
      </c>
      <c r="O21" s="475">
        <f>O17+O18+O19+O20</f>
        <v>0</v>
      </c>
      <c r="P21" s="474">
        <f t="shared" si="1"/>
        <v>0</v>
      </c>
    </row>
    <row r="22" spans="1:16">
      <c r="A22" s="472" t="s">
        <v>1547</v>
      </c>
      <c r="B22" s="902" t="s">
        <v>1548</v>
      </c>
      <c r="C22" s="903" t="s">
        <v>1549</v>
      </c>
      <c r="D22" s="903"/>
      <c r="E22" s="476"/>
      <c r="F22" s="476"/>
      <c r="G22" s="476"/>
      <c r="H22" s="474">
        <f t="shared" si="2"/>
        <v>0</v>
      </c>
      <c r="I22" s="476"/>
      <c r="J22" s="476"/>
      <c r="K22" s="476"/>
      <c r="L22" s="474">
        <f t="shared" si="0"/>
        <v>0</v>
      </c>
      <c r="M22" s="476"/>
      <c r="N22" s="476"/>
      <c r="O22" s="476"/>
      <c r="P22" s="474">
        <f t="shared" si="1"/>
        <v>0</v>
      </c>
    </row>
    <row r="23" spans="1:16">
      <c r="A23" s="472" t="s">
        <v>1550</v>
      </c>
      <c r="B23" s="902"/>
      <c r="C23" s="903" t="s">
        <v>1551</v>
      </c>
      <c r="D23" s="903"/>
      <c r="E23" s="476"/>
      <c r="F23" s="476"/>
      <c r="G23" s="476"/>
      <c r="H23" s="474">
        <f t="shared" si="2"/>
        <v>0</v>
      </c>
      <c r="I23" s="476"/>
      <c r="J23" s="476"/>
      <c r="K23" s="476"/>
      <c r="L23" s="474">
        <f t="shared" si="0"/>
        <v>0</v>
      </c>
      <c r="M23" s="476"/>
      <c r="N23" s="476"/>
      <c r="O23" s="476"/>
      <c r="P23" s="474">
        <f t="shared" si="1"/>
        <v>0</v>
      </c>
    </row>
    <row r="24" spans="1:16">
      <c r="A24" s="472" t="s">
        <v>1552</v>
      </c>
      <c r="B24" s="902"/>
      <c r="C24" s="903" t="s">
        <v>1553</v>
      </c>
      <c r="D24" s="903"/>
      <c r="E24" s="476"/>
      <c r="F24" s="476"/>
      <c r="G24" s="476"/>
      <c r="H24" s="474">
        <f t="shared" si="2"/>
        <v>0</v>
      </c>
      <c r="I24" s="476"/>
      <c r="J24" s="476"/>
      <c r="K24" s="476"/>
      <c r="L24" s="474">
        <f t="shared" si="0"/>
        <v>0</v>
      </c>
      <c r="M24" s="476"/>
      <c r="N24" s="476"/>
      <c r="O24" s="476"/>
      <c r="P24" s="474">
        <f t="shared" si="1"/>
        <v>0</v>
      </c>
    </row>
    <row r="25" spans="1:16">
      <c r="A25" s="472" t="s">
        <v>1554</v>
      </c>
      <c r="B25" s="902"/>
      <c r="C25" s="903" t="s">
        <v>1555</v>
      </c>
      <c r="D25" s="903"/>
      <c r="E25" s="476"/>
      <c r="F25" s="476"/>
      <c r="G25" s="476"/>
      <c r="H25" s="474">
        <f t="shared" si="2"/>
        <v>0</v>
      </c>
      <c r="I25" s="476"/>
      <c r="J25" s="476"/>
      <c r="K25" s="476"/>
      <c r="L25" s="474">
        <f t="shared" si="0"/>
        <v>0</v>
      </c>
      <c r="M25" s="476"/>
      <c r="N25" s="476"/>
      <c r="O25" s="476"/>
      <c r="P25" s="474">
        <f t="shared" si="1"/>
        <v>0</v>
      </c>
    </row>
    <row r="26" spans="1:16">
      <c r="A26" s="472" t="s">
        <v>1556</v>
      </c>
      <c r="B26" s="902"/>
      <c r="C26" s="903" t="s">
        <v>68</v>
      </c>
      <c r="D26" s="903"/>
      <c r="E26" s="476"/>
      <c r="F26" s="476"/>
      <c r="G26" s="476"/>
      <c r="H26" s="474">
        <f t="shared" si="2"/>
        <v>0</v>
      </c>
      <c r="I26" s="476"/>
      <c r="J26" s="476"/>
      <c r="K26" s="476"/>
      <c r="L26" s="474">
        <f t="shared" si="0"/>
        <v>0</v>
      </c>
      <c r="M26" s="476"/>
      <c r="N26" s="476"/>
      <c r="O26" s="476"/>
      <c r="P26" s="474">
        <f t="shared" si="1"/>
        <v>0</v>
      </c>
    </row>
    <row r="27" spans="1:16">
      <c r="A27" s="472" t="s">
        <v>1557</v>
      </c>
      <c r="B27" s="902"/>
      <c r="C27" s="903" t="s">
        <v>599</v>
      </c>
      <c r="D27" s="903"/>
      <c r="E27" s="473">
        <f>E22+E23+E24+E25+E26</f>
        <v>0</v>
      </c>
      <c r="F27" s="473">
        <f t="shared" ref="F27:G27" si="3">F22+F23+F24+F25+F26</f>
        <v>0</v>
      </c>
      <c r="G27" s="473">
        <f t="shared" si="3"/>
        <v>0</v>
      </c>
      <c r="H27" s="474">
        <f t="shared" si="2"/>
        <v>0</v>
      </c>
      <c r="I27" s="473">
        <f t="shared" ref="I27:K27" si="4">I22+I23+I24+I25+I26</f>
        <v>0</v>
      </c>
      <c r="J27" s="473">
        <f t="shared" si="4"/>
        <v>0</v>
      </c>
      <c r="K27" s="473">
        <f t="shared" si="4"/>
        <v>0</v>
      </c>
      <c r="L27" s="474">
        <f t="shared" si="0"/>
        <v>0</v>
      </c>
      <c r="M27" s="473">
        <f t="shared" ref="M27:O27" si="5">M22+M23+M24+M25+M26</f>
        <v>0</v>
      </c>
      <c r="N27" s="473">
        <f t="shared" si="5"/>
        <v>0</v>
      </c>
      <c r="O27" s="473">
        <f t="shared" si="5"/>
        <v>0</v>
      </c>
      <c r="P27" s="474">
        <f t="shared" si="1"/>
        <v>0</v>
      </c>
    </row>
    <row r="28" spans="1:16">
      <c r="A28" s="472" t="s">
        <v>1558</v>
      </c>
      <c r="B28" s="902" t="s">
        <v>1559</v>
      </c>
      <c r="C28" s="903" t="s">
        <v>1560</v>
      </c>
      <c r="D28" s="903"/>
      <c r="E28" s="476"/>
      <c r="F28" s="476"/>
      <c r="G28" s="476"/>
      <c r="H28" s="474">
        <f t="shared" si="2"/>
        <v>0</v>
      </c>
      <c r="I28" s="476"/>
      <c r="J28" s="476"/>
      <c r="K28" s="476"/>
      <c r="L28" s="474">
        <f t="shared" si="0"/>
        <v>0</v>
      </c>
      <c r="M28" s="476"/>
      <c r="N28" s="476"/>
      <c r="O28" s="476"/>
      <c r="P28" s="474">
        <f t="shared" si="1"/>
        <v>0</v>
      </c>
    </row>
    <row r="29" spans="1:16">
      <c r="A29" s="472" t="s">
        <v>1561</v>
      </c>
      <c r="B29" s="902"/>
      <c r="C29" s="903" t="s">
        <v>1562</v>
      </c>
      <c r="D29" s="903"/>
      <c r="E29" s="476"/>
      <c r="F29" s="476"/>
      <c r="G29" s="476"/>
      <c r="H29" s="474">
        <f t="shared" si="2"/>
        <v>0</v>
      </c>
      <c r="I29" s="476"/>
      <c r="J29" s="476"/>
      <c r="K29" s="476"/>
      <c r="L29" s="474">
        <f t="shared" si="0"/>
        <v>0</v>
      </c>
      <c r="M29" s="476"/>
      <c r="N29" s="476"/>
      <c r="O29" s="476"/>
      <c r="P29" s="474">
        <f t="shared" si="1"/>
        <v>0</v>
      </c>
    </row>
    <row r="30" spans="1:16">
      <c r="A30" s="472" t="s">
        <v>1563</v>
      </c>
      <c r="B30" s="902"/>
      <c r="C30" s="903" t="s">
        <v>1564</v>
      </c>
      <c r="D30" s="903"/>
      <c r="E30" s="476"/>
      <c r="F30" s="476"/>
      <c r="G30" s="476"/>
      <c r="H30" s="474">
        <f t="shared" si="2"/>
        <v>0</v>
      </c>
      <c r="I30" s="476"/>
      <c r="J30" s="476"/>
      <c r="K30" s="476"/>
      <c r="L30" s="474">
        <f t="shared" si="0"/>
        <v>0</v>
      </c>
      <c r="M30" s="476"/>
      <c r="N30" s="476"/>
      <c r="O30" s="476"/>
      <c r="P30" s="474">
        <f t="shared" si="1"/>
        <v>0</v>
      </c>
    </row>
    <row r="31" spans="1:16">
      <c r="A31" s="472" t="s">
        <v>1565</v>
      </c>
      <c r="B31" s="902"/>
      <c r="C31" s="903" t="s">
        <v>1566</v>
      </c>
      <c r="D31" s="903"/>
      <c r="E31" s="476"/>
      <c r="F31" s="476"/>
      <c r="G31" s="476"/>
      <c r="H31" s="474">
        <f t="shared" si="2"/>
        <v>0</v>
      </c>
      <c r="I31" s="476"/>
      <c r="J31" s="476"/>
      <c r="K31" s="476"/>
      <c r="L31" s="474">
        <f t="shared" si="0"/>
        <v>0</v>
      </c>
      <c r="M31" s="476"/>
      <c r="N31" s="476"/>
      <c r="O31" s="476"/>
      <c r="P31" s="474">
        <f t="shared" si="1"/>
        <v>0</v>
      </c>
    </row>
    <row r="32" spans="1:16">
      <c r="A32" s="472" t="s">
        <v>1567</v>
      </c>
      <c r="B32" s="902"/>
      <c r="C32" s="903" t="s">
        <v>68</v>
      </c>
      <c r="D32" s="903"/>
      <c r="E32" s="476"/>
      <c r="F32" s="476"/>
      <c r="G32" s="476"/>
      <c r="H32" s="474">
        <f t="shared" si="2"/>
        <v>0</v>
      </c>
      <c r="I32" s="476"/>
      <c r="J32" s="476"/>
      <c r="K32" s="476"/>
      <c r="L32" s="474">
        <f t="shared" si="0"/>
        <v>0</v>
      </c>
      <c r="M32" s="476"/>
      <c r="N32" s="476"/>
      <c r="O32" s="476"/>
      <c r="P32" s="474">
        <f t="shared" si="1"/>
        <v>0</v>
      </c>
    </row>
    <row r="33" spans="1:16">
      <c r="A33" s="472" t="s">
        <v>1568</v>
      </c>
      <c r="B33" s="902"/>
      <c r="C33" s="903" t="s">
        <v>599</v>
      </c>
      <c r="D33" s="903"/>
      <c r="E33" s="473">
        <f>E28+E29+E30+E31+E32</f>
        <v>0</v>
      </c>
      <c r="F33" s="473">
        <f>F28+F29+F30+F31+F32</f>
        <v>0</v>
      </c>
      <c r="G33" s="473">
        <f>G28+G29+G30+G31+G32</f>
        <v>0</v>
      </c>
      <c r="H33" s="474">
        <f t="shared" si="2"/>
        <v>0</v>
      </c>
      <c r="I33" s="473">
        <f>SUM(I28:I31)</f>
        <v>0</v>
      </c>
      <c r="J33" s="473">
        <f>SUM(J28:J31)</f>
        <v>0</v>
      </c>
      <c r="K33" s="473">
        <f>SUM(K28:K31)</f>
        <v>0</v>
      </c>
      <c r="L33" s="474">
        <f t="shared" si="0"/>
        <v>0</v>
      </c>
      <c r="M33" s="473">
        <f>SUM(M28:M31)</f>
        <v>0</v>
      </c>
      <c r="N33" s="473">
        <f>SUM(N28:N31)</f>
        <v>0</v>
      </c>
      <c r="O33" s="473">
        <f>SUM(O28:O31)</f>
        <v>0</v>
      </c>
      <c r="P33" s="474">
        <f t="shared" si="1"/>
        <v>0</v>
      </c>
    </row>
    <row r="34" spans="1:16">
      <c r="A34" s="472" t="s">
        <v>1569</v>
      </c>
      <c r="B34" s="902" t="s">
        <v>1570</v>
      </c>
      <c r="C34" s="903" t="s">
        <v>1571</v>
      </c>
      <c r="D34" s="903"/>
      <c r="E34" s="476"/>
      <c r="F34" s="476"/>
      <c r="G34" s="476"/>
      <c r="H34" s="474">
        <f t="shared" si="2"/>
        <v>0</v>
      </c>
      <c r="I34" s="476"/>
      <c r="J34" s="476"/>
      <c r="K34" s="476"/>
      <c r="L34" s="474">
        <f t="shared" si="0"/>
        <v>0</v>
      </c>
      <c r="M34" s="476"/>
      <c r="N34" s="476"/>
      <c r="O34" s="476"/>
      <c r="P34" s="474">
        <f t="shared" si="1"/>
        <v>0</v>
      </c>
    </row>
    <row r="35" spans="1:16">
      <c r="A35" s="472" t="s">
        <v>1572</v>
      </c>
      <c r="B35" s="902"/>
      <c r="C35" s="903" t="s">
        <v>1573</v>
      </c>
      <c r="D35" s="903"/>
      <c r="E35" s="476"/>
      <c r="F35" s="476"/>
      <c r="G35" s="476"/>
      <c r="H35" s="474">
        <f t="shared" si="2"/>
        <v>0</v>
      </c>
      <c r="I35" s="476"/>
      <c r="J35" s="476"/>
      <c r="K35" s="476"/>
      <c r="L35" s="474">
        <f t="shared" si="0"/>
        <v>0</v>
      </c>
      <c r="M35" s="476"/>
      <c r="N35" s="476"/>
      <c r="O35" s="476"/>
      <c r="P35" s="474">
        <f t="shared" si="1"/>
        <v>0</v>
      </c>
    </row>
    <row r="36" spans="1:16">
      <c r="A36" s="472" t="s">
        <v>1574</v>
      </c>
      <c r="B36" s="902"/>
      <c r="C36" s="903" t="s">
        <v>1575</v>
      </c>
      <c r="D36" s="903"/>
      <c r="E36" s="476"/>
      <c r="F36" s="476"/>
      <c r="G36" s="476"/>
      <c r="H36" s="474">
        <f t="shared" si="2"/>
        <v>0</v>
      </c>
      <c r="I36" s="476"/>
      <c r="J36" s="476"/>
      <c r="K36" s="476"/>
      <c r="L36" s="474">
        <f t="shared" si="0"/>
        <v>0</v>
      </c>
      <c r="M36" s="476"/>
      <c r="N36" s="476"/>
      <c r="O36" s="476"/>
      <c r="P36" s="474">
        <f t="shared" si="1"/>
        <v>0</v>
      </c>
    </row>
    <row r="37" spans="1:16">
      <c r="A37" s="472" t="s">
        <v>1576</v>
      </c>
      <c r="B37" s="902"/>
      <c r="C37" s="903" t="s">
        <v>68</v>
      </c>
      <c r="D37" s="903"/>
      <c r="E37" s="476"/>
      <c r="F37" s="476"/>
      <c r="G37" s="476"/>
      <c r="H37" s="474">
        <f t="shared" si="2"/>
        <v>0</v>
      </c>
      <c r="I37" s="476"/>
      <c r="J37" s="476"/>
      <c r="K37" s="476"/>
      <c r="L37" s="474">
        <f t="shared" si="0"/>
        <v>0</v>
      </c>
      <c r="M37" s="476"/>
      <c r="N37" s="476"/>
      <c r="O37" s="476"/>
      <c r="P37" s="474">
        <f t="shared" si="1"/>
        <v>0</v>
      </c>
    </row>
    <row r="38" spans="1:16">
      <c r="A38" s="472" t="s">
        <v>1577</v>
      </c>
      <c r="B38" s="902"/>
      <c r="C38" s="903" t="s">
        <v>599</v>
      </c>
      <c r="D38" s="903"/>
      <c r="E38" s="473">
        <f>E34+E35+E36+E37</f>
        <v>0</v>
      </c>
      <c r="F38" s="473">
        <f>F34+F35+F36+F37</f>
        <v>0</v>
      </c>
      <c r="G38" s="473">
        <f>G34+G35+G36+G37</f>
        <v>0</v>
      </c>
      <c r="H38" s="474">
        <f t="shared" si="2"/>
        <v>0</v>
      </c>
      <c r="I38" s="473">
        <f>I34+I35+I36+I37</f>
        <v>0</v>
      </c>
      <c r="J38" s="473">
        <f>J34+J35+J36+J37</f>
        <v>0</v>
      </c>
      <c r="K38" s="473">
        <f>K34+K35+K36+K37</f>
        <v>0</v>
      </c>
      <c r="L38" s="474">
        <f t="shared" si="0"/>
        <v>0</v>
      </c>
      <c r="M38" s="473">
        <f>M34+M35+M36+M37</f>
        <v>0</v>
      </c>
      <c r="N38" s="473">
        <f>N34+N35+N36+N37</f>
        <v>0</v>
      </c>
      <c r="O38" s="473">
        <f>O34+O35+O36+O37</f>
        <v>0</v>
      </c>
      <c r="P38" s="474">
        <f t="shared" si="1"/>
        <v>0</v>
      </c>
    </row>
    <row r="39" spans="1:16">
      <c r="A39" s="472" t="s">
        <v>1578</v>
      </c>
      <c r="B39" s="902" t="s">
        <v>1579</v>
      </c>
      <c r="C39" s="903" t="s">
        <v>1580</v>
      </c>
      <c r="D39" s="903"/>
      <c r="E39" s="476"/>
      <c r="F39" s="476"/>
      <c r="G39" s="476"/>
      <c r="H39" s="474">
        <f t="shared" si="2"/>
        <v>0</v>
      </c>
      <c r="I39" s="476"/>
      <c r="J39" s="476"/>
      <c r="K39" s="476"/>
      <c r="L39" s="474">
        <f t="shared" si="0"/>
        <v>0</v>
      </c>
      <c r="M39" s="476"/>
      <c r="N39" s="476"/>
      <c r="O39" s="476"/>
      <c r="P39" s="474">
        <f t="shared" si="1"/>
        <v>0</v>
      </c>
    </row>
    <row r="40" spans="1:16">
      <c r="A40" s="472" t="s">
        <v>1581</v>
      </c>
      <c r="B40" s="902"/>
      <c r="C40" s="903" t="s">
        <v>1535</v>
      </c>
      <c r="D40" s="903"/>
      <c r="E40" s="476"/>
      <c r="F40" s="476"/>
      <c r="G40" s="476"/>
      <c r="H40" s="474">
        <f t="shared" si="2"/>
        <v>0</v>
      </c>
      <c r="I40" s="476"/>
      <c r="J40" s="476"/>
      <c r="K40" s="476"/>
      <c r="L40" s="474">
        <f t="shared" si="0"/>
        <v>0</v>
      </c>
      <c r="M40" s="476"/>
      <c r="N40" s="476"/>
      <c r="O40" s="476"/>
      <c r="P40" s="474">
        <f t="shared" si="1"/>
        <v>0</v>
      </c>
    </row>
    <row r="41" spans="1:16">
      <c r="A41" s="472" t="s">
        <v>1582</v>
      </c>
      <c r="B41" s="902"/>
      <c r="C41" s="903" t="s">
        <v>1583</v>
      </c>
      <c r="D41" s="903"/>
      <c r="E41" s="476"/>
      <c r="F41" s="476"/>
      <c r="G41" s="476"/>
      <c r="H41" s="474">
        <f t="shared" si="2"/>
        <v>0</v>
      </c>
      <c r="I41" s="476"/>
      <c r="J41" s="476"/>
      <c r="K41" s="476"/>
      <c r="L41" s="474">
        <f t="shared" si="0"/>
        <v>0</v>
      </c>
      <c r="M41" s="476"/>
      <c r="N41" s="476"/>
      <c r="O41" s="476"/>
      <c r="P41" s="474">
        <f t="shared" si="1"/>
        <v>0</v>
      </c>
    </row>
    <row r="42" spans="1:16">
      <c r="A42" s="472" t="s">
        <v>1584</v>
      </c>
      <c r="B42" s="902"/>
      <c r="C42" s="904" t="s">
        <v>68</v>
      </c>
      <c r="D42" s="905"/>
      <c r="E42" s="476"/>
      <c r="F42" s="476"/>
      <c r="G42" s="476"/>
      <c r="H42" s="474">
        <f t="shared" si="2"/>
        <v>0</v>
      </c>
      <c r="I42" s="476"/>
      <c r="J42" s="476"/>
      <c r="K42" s="476"/>
      <c r="L42" s="474">
        <f t="shared" si="0"/>
        <v>0</v>
      </c>
      <c r="M42" s="476"/>
      <c r="N42" s="476"/>
      <c r="O42" s="476"/>
      <c r="P42" s="474">
        <f t="shared" si="1"/>
        <v>0</v>
      </c>
    </row>
    <row r="43" spans="1:16">
      <c r="A43" s="472" t="s">
        <v>1585</v>
      </c>
      <c r="B43" s="902"/>
      <c r="C43" s="903" t="s">
        <v>599</v>
      </c>
      <c r="D43" s="903"/>
      <c r="E43" s="473">
        <f>E39+E40+E41+E42</f>
        <v>0</v>
      </c>
      <c r="F43" s="473">
        <f>F39+F40+F41+F42</f>
        <v>0</v>
      </c>
      <c r="G43" s="473">
        <f>G39+G40+G41+G42</f>
        <v>0</v>
      </c>
      <c r="H43" s="474">
        <f t="shared" si="2"/>
        <v>0</v>
      </c>
      <c r="I43" s="473">
        <f>I39+I40+I41+I42</f>
        <v>0</v>
      </c>
      <c r="J43" s="473">
        <f>J39+J40+J41+J42</f>
        <v>0</v>
      </c>
      <c r="K43" s="473">
        <f>K39+K40+K41+K42</f>
        <v>0</v>
      </c>
      <c r="L43" s="474">
        <f t="shared" si="0"/>
        <v>0</v>
      </c>
      <c r="M43" s="473">
        <f>M39+M40+M41+M42</f>
        <v>0</v>
      </c>
      <c r="N43" s="473">
        <f>N39+N40+N41+N42</f>
        <v>0</v>
      </c>
      <c r="O43" s="473">
        <f>O39+O40+O41+O42</f>
        <v>0</v>
      </c>
      <c r="P43" s="474">
        <f t="shared" si="1"/>
        <v>0</v>
      </c>
    </row>
    <row r="44" spans="1:16">
      <c r="A44" s="472" t="s">
        <v>1586</v>
      </c>
      <c r="B44" s="906" t="s">
        <v>1587</v>
      </c>
      <c r="C44" s="903" t="s">
        <v>1588</v>
      </c>
      <c r="D44" s="903"/>
      <c r="E44" s="476"/>
      <c r="F44" s="476"/>
      <c r="G44" s="476"/>
      <c r="H44" s="474">
        <f t="shared" si="2"/>
        <v>0</v>
      </c>
      <c r="I44" s="476"/>
      <c r="J44" s="476"/>
      <c r="K44" s="476"/>
      <c r="L44" s="474">
        <f t="shared" si="0"/>
        <v>0</v>
      </c>
      <c r="M44" s="476"/>
      <c r="N44" s="476"/>
      <c r="O44" s="476"/>
      <c r="P44" s="474">
        <f t="shared" si="1"/>
        <v>0</v>
      </c>
    </row>
    <row r="45" spans="1:16">
      <c r="A45" s="472" t="s">
        <v>1589</v>
      </c>
      <c r="B45" s="907"/>
      <c r="C45" s="903" t="s">
        <v>1590</v>
      </c>
      <c r="D45" s="903"/>
      <c r="E45" s="476"/>
      <c r="F45" s="476"/>
      <c r="G45" s="476"/>
      <c r="H45" s="474">
        <f t="shared" si="2"/>
        <v>0</v>
      </c>
      <c r="I45" s="476"/>
      <c r="J45" s="476"/>
      <c r="K45" s="476"/>
      <c r="L45" s="474">
        <f t="shared" si="0"/>
        <v>0</v>
      </c>
      <c r="M45" s="476"/>
      <c r="N45" s="476"/>
      <c r="O45" s="476"/>
      <c r="P45" s="474">
        <f t="shared" si="1"/>
        <v>0</v>
      </c>
    </row>
    <row r="46" spans="1:16">
      <c r="A46" s="472" t="s">
        <v>1591</v>
      </c>
      <c r="B46" s="907"/>
      <c r="C46" s="903" t="s">
        <v>68</v>
      </c>
      <c r="D46" s="903"/>
      <c r="E46" s="476"/>
      <c r="F46" s="476"/>
      <c r="G46" s="476"/>
      <c r="H46" s="474">
        <f t="shared" si="2"/>
        <v>0</v>
      </c>
      <c r="I46" s="476"/>
      <c r="J46" s="476"/>
      <c r="K46" s="476"/>
      <c r="L46" s="474">
        <f t="shared" si="0"/>
        <v>0</v>
      </c>
      <c r="M46" s="476"/>
      <c r="N46" s="476"/>
      <c r="O46" s="476"/>
      <c r="P46" s="474">
        <f t="shared" si="1"/>
        <v>0</v>
      </c>
    </row>
    <row r="47" spans="1:16">
      <c r="A47" s="472" t="s">
        <v>1592</v>
      </c>
      <c r="B47" s="907"/>
      <c r="C47" s="903" t="s">
        <v>599</v>
      </c>
      <c r="D47" s="903"/>
      <c r="E47" s="473">
        <f>E44+E45+E46</f>
        <v>0</v>
      </c>
      <c r="F47" s="473">
        <f>F44+F45+F46</f>
        <v>0</v>
      </c>
      <c r="G47" s="473">
        <f>G44+G45+G46</f>
        <v>0</v>
      </c>
      <c r="H47" s="474">
        <f t="shared" si="2"/>
        <v>0</v>
      </c>
      <c r="I47" s="473">
        <f>I44+I45+I46</f>
        <v>0</v>
      </c>
      <c r="J47" s="473">
        <f>J44+J45+J46</f>
        <v>0</v>
      </c>
      <c r="K47" s="473">
        <f>K44+K45+K46</f>
        <v>0</v>
      </c>
      <c r="L47" s="474">
        <f t="shared" si="0"/>
        <v>0</v>
      </c>
      <c r="M47" s="473">
        <f>M44+M45+M46</f>
        <v>0</v>
      </c>
      <c r="N47" s="473">
        <f>N44+N45+N46</f>
        <v>0</v>
      </c>
      <c r="O47" s="473">
        <f>O44+O45+O46</f>
        <v>0</v>
      </c>
      <c r="P47" s="474">
        <f t="shared" si="1"/>
        <v>0</v>
      </c>
    </row>
    <row r="48" spans="1:16">
      <c r="A48" s="472" t="s">
        <v>1593</v>
      </c>
      <c r="B48" s="906" t="s">
        <v>1594</v>
      </c>
      <c r="C48" s="903" t="s">
        <v>1595</v>
      </c>
      <c r="D48" s="903"/>
      <c r="E48" s="476"/>
      <c r="F48" s="476"/>
      <c r="G48" s="476"/>
      <c r="H48" s="474">
        <f t="shared" si="2"/>
        <v>0</v>
      </c>
      <c r="I48" s="476"/>
      <c r="J48" s="476"/>
      <c r="K48" s="476"/>
      <c r="L48" s="474">
        <f t="shared" si="0"/>
        <v>0</v>
      </c>
      <c r="M48" s="476"/>
      <c r="N48" s="476"/>
      <c r="O48" s="476"/>
      <c r="P48" s="474">
        <f t="shared" si="1"/>
        <v>0</v>
      </c>
    </row>
    <row r="49" spans="1:16">
      <c r="A49" s="472" t="s">
        <v>1596</v>
      </c>
      <c r="B49" s="907"/>
      <c r="C49" s="903" t="s">
        <v>1597</v>
      </c>
      <c r="D49" s="903"/>
      <c r="E49" s="476"/>
      <c r="F49" s="476"/>
      <c r="G49" s="476"/>
      <c r="H49" s="474">
        <f t="shared" si="2"/>
        <v>0</v>
      </c>
      <c r="I49" s="476"/>
      <c r="J49" s="476"/>
      <c r="K49" s="476"/>
      <c r="L49" s="474">
        <f t="shared" si="0"/>
        <v>0</v>
      </c>
      <c r="M49" s="476"/>
      <c r="N49" s="476"/>
      <c r="O49" s="476"/>
      <c r="P49" s="474">
        <f t="shared" si="1"/>
        <v>0</v>
      </c>
    </row>
    <row r="50" spans="1:16">
      <c r="A50" s="472" t="s">
        <v>1598</v>
      </c>
      <c r="B50" s="907"/>
      <c r="C50" s="903" t="s">
        <v>1599</v>
      </c>
      <c r="D50" s="903"/>
      <c r="E50" s="476"/>
      <c r="F50" s="476"/>
      <c r="G50" s="476"/>
      <c r="H50" s="474">
        <f t="shared" si="2"/>
        <v>0</v>
      </c>
      <c r="I50" s="476"/>
      <c r="J50" s="476"/>
      <c r="K50" s="476"/>
      <c r="L50" s="474">
        <f t="shared" si="0"/>
        <v>0</v>
      </c>
      <c r="M50" s="476"/>
      <c r="N50" s="476"/>
      <c r="O50" s="476"/>
      <c r="P50" s="474">
        <f t="shared" si="1"/>
        <v>0</v>
      </c>
    </row>
    <row r="51" spans="1:16">
      <c r="A51" s="472" t="s">
        <v>1600</v>
      </c>
      <c r="B51" s="907"/>
      <c r="C51" s="903" t="s">
        <v>1601</v>
      </c>
      <c r="D51" s="903"/>
      <c r="E51" s="476"/>
      <c r="F51" s="476"/>
      <c r="G51" s="476"/>
      <c r="H51" s="474">
        <f t="shared" si="2"/>
        <v>0</v>
      </c>
      <c r="I51" s="476"/>
      <c r="J51" s="476"/>
      <c r="K51" s="476"/>
      <c r="L51" s="474">
        <f t="shared" si="0"/>
        <v>0</v>
      </c>
      <c r="M51" s="476"/>
      <c r="N51" s="476"/>
      <c r="O51" s="476"/>
      <c r="P51" s="474">
        <f t="shared" si="1"/>
        <v>0</v>
      </c>
    </row>
    <row r="52" spans="1:16">
      <c r="A52" s="472" t="s">
        <v>1602</v>
      </c>
      <c r="B52" s="907"/>
      <c r="C52" s="904" t="s">
        <v>1603</v>
      </c>
      <c r="D52" s="905"/>
      <c r="E52" s="476"/>
      <c r="F52" s="476"/>
      <c r="G52" s="476"/>
      <c r="H52" s="474">
        <f t="shared" si="2"/>
        <v>0</v>
      </c>
      <c r="I52" s="476"/>
      <c r="J52" s="476"/>
      <c r="K52" s="476"/>
      <c r="L52" s="474">
        <f t="shared" si="0"/>
        <v>0</v>
      </c>
      <c r="M52" s="476"/>
      <c r="N52" s="476"/>
      <c r="O52" s="476"/>
      <c r="P52" s="474">
        <f t="shared" si="1"/>
        <v>0</v>
      </c>
    </row>
    <row r="53" spans="1:16">
      <c r="A53" s="472" t="s">
        <v>1604</v>
      </c>
      <c r="B53" s="907"/>
      <c r="C53" s="903" t="s">
        <v>68</v>
      </c>
      <c r="D53" s="903"/>
      <c r="E53" s="476"/>
      <c r="F53" s="476"/>
      <c r="G53" s="476"/>
      <c r="H53" s="474">
        <f t="shared" si="2"/>
        <v>0</v>
      </c>
      <c r="I53" s="476"/>
      <c r="J53" s="476"/>
      <c r="K53" s="476"/>
      <c r="L53" s="474">
        <f t="shared" si="0"/>
        <v>0</v>
      </c>
      <c r="M53" s="476"/>
      <c r="N53" s="476"/>
      <c r="O53" s="476"/>
      <c r="P53" s="474">
        <f t="shared" si="1"/>
        <v>0</v>
      </c>
    </row>
    <row r="54" spans="1:16">
      <c r="A54" s="472" t="s">
        <v>1605</v>
      </c>
      <c r="B54" s="909"/>
      <c r="C54" s="903" t="s">
        <v>599</v>
      </c>
      <c r="D54" s="903"/>
      <c r="E54" s="473">
        <f>E48+E49+E50+E51+E52+E53</f>
        <v>0</v>
      </c>
      <c r="F54" s="473">
        <f>F48+F49+F50+F51+F52+F53</f>
        <v>0</v>
      </c>
      <c r="G54" s="473">
        <f>G48+G49+G50+G51+G52+G53</f>
        <v>0</v>
      </c>
      <c r="H54" s="474">
        <f t="shared" si="2"/>
        <v>0</v>
      </c>
      <c r="I54" s="473">
        <f>I48+I49+I50+I51+I52+I53</f>
        <v>0</v>
      </c>
      <c r="J54" s="473">
        <f>J48+J49+J50+J51+J52+J53</f>
        <v>0</v>
      </c>
      <c r="K54" s="473">
        <f>K48+K49+K50+K51+K52+K53</f>
        <v>0</v>
      </c>
      <c r="L54" s="474">
        <f t="shared" si="0"/>
        <v>0</v>
      </c>
      <c r="M54" s="473">
        <f>M48+M49+M50+M51+M52+M53</f>
        <v>0</v>
      </c>
      <c r="N54" s="473">
        <f>N48+N49+N50+N51+N52+N53</f>
        <v>0</v>
      </c>
      <c r="O54" s="473">
        <f>O48+O49+O50+O51+O52+O53</f>
        <v>0</v>
      </c>
      <c r="P54" s="474">
        <f t="shared" si="1"/>
        <v>0</v>
      </c>
    </row>
    <row r="55" spans="1:16">
      <c r="A55" s="472" t="s">
        <v>112</v>
      </c>
      <c r="B55" s="906" t="s">
        <v>68</v>
      </c>
      <c r="C55" s="903" t="s">
        <v>1606</v>
      </c>
      <c r="D55" s="903"/>
      <c r="E55" s="476"/>
      <c r="F55" s="476"/>
      <c r="G55" s="476"/>
      <c r="H55" s="474">
        <f t="shared" si="2"/>
        <v>0</v>
      </c>
      <c r="I55" s="476"/>
      <c r="J55" s="476"/>
      <c r="K55" s="476"/>
      <c r="L55" s="474">
        <f t="shared" si="0"/>
        <v>0</v>
      </c>
      <c r="M55" s="476"/>
      <c r="N55" s="476"/>
      <c r="O55" s="476"/>
      <c r="P55" s="474">
        <f t="shared" si="1"/>
        <v>0</v>
      </c>
    </row>
    <row r="56" spans="1:16">
      <c r="A56" s="472" t="s">
        <v>115</v>
      </c>
      <c r="B56" s="907"/>
      <c r="C56" s="903" t="s">
        <v>1607</v>
      </c>
      <c r="D56" s="903"/>
      <c r="E56" s="476"/>
      <c r="F56" s="476"/>
      <c r="G56" s="476"/>
      <c r="H56" s="474">
        <f t="shared" si="2"/>
        <v>0</v>
      </c>
      <c r="I56" s="476"/>
      <c r="J56" s="476"/>
      <c r="K56" s="476"/>
      <c r="L56" s="474">
        <f t="shared" si="0"/>
        <v>0</v>
      </c>
      <c r="M56" s="476"/>
      <c r="N56" s="476"/>
      <c r="O56" s="476"/>
      <c r="P56" s="474">
        <f t="shared" si="1"/>
        <v>0</v>
      </c>
    </row>
    <row r="57" spans="1:16">
      <c r="A57" s="472" t="s">
        <v>117</v>
      </c>
      <c r="B57" s="907"/>
      <c r="C57" s="903" t="s">
        <v>1608</v>
      </c>
      <c r="D57" s="903"/>
      <c r="E57" s="476"/>
      <c r="F57" s="476"/>
      <c r="G57" s="476"/>
      <c r="H57" s="474">
        <f t="shared" si="2"/>
        <v>0</v>
      </c>
      <c r="I57" s="476"/>
      <c r="J57" s="476"/>
      <c r="K57" s="476"/>
      <c r="L57" s="474">
        <f t="shared" si="0"/>
        <v>0</v>
      </c>
      <c r="M57" s="476"/>
      <c r="N57" s="476"/>
      <c r="O57" s="476"/>
      <c r="P57" s="474">
        <f t="shared" si="1"/>
        <v>0</v>
      </c>
    </row>
    <row r="58" spans="1:16">
      <c r="A58" s="472" t="s">
        <v>119</v>
      </c>
      <c r="B58" s="907"/>
      <c r="C58" s="903" t="s">
        <v>1609</v>
      </c>
      <c r="D58" s="903"/>
      <c r="E58" s="476"/>
      <c r="F58" s="476"/>
      <c r="G58" s="476"/>
      <c r="H58" s="474">
        <f t="shared" si="2"/>
        <v>0</v>
      </c>
      <c r="I58" s="476"/>
      <c r="J58" s="476"/>
      <c r="K58" s="476"/>
      <c r="L58" s="474">
        <f t="shared" si="0"/>
        <v>0</v>
      </c>
      <c r="M58" s="476"/>
      <c r="N58" s="476"/>
      <c r="O58" s="476"/>
      <c r="P58" s="474">
        <f t="shared" si="1"/>
        <v>0</v>
      </c>
    </row>
    <row r="59" spans="1:16">
      <c r="A59" s="472" t="s">
        <v>121</v>
      </c>
      <c r="B59" s="907"/>
      <c r="C59" s="903" t="s">
        <v>1610</v>
      </c>
      <c r="D59" s="903"/>
      <c r="E59" s="476"/>
      <c r="F59" s="476"/>
      <c r="G59" s="476"/>
      <c r="H59" s="474">
        <f t="shared" si="2"/>
        <v>0</v>
      </c>
      <c r="I59" s="476"/>
      <c r="J59" s="476"/>
      <c r="K59" s="476"/>
      <c r="L59" s="474">
        <f t="shared" si="0"/>
        <v>0</v>
      </c>
      <c r="M59" s="476"/>
      <c r="N59" s="476"/>
      <c r="O59" s="476"/>
      <c r="P59" s="474">
        <f t="shared" si="1"/>
        <v>0</v>
      </c>
    </row>
    <row r="60" spans="1:16">
      <c r="A60" s="472" t="s">
        <v>123</v>
      </c>
      <c r="B60" s="907"/>
      <c r="C60" s="903" t="s">
        <v>1611</v>
      </c>
      <c r="D60" s="903"/>
      <c r="E60" s="476"/>
      <c r="F60" s="476"/>
      <c r="G60" s="476"/>
      <c r="H60" s="474">
        <f t="shared" si="2"/>
        <v>0</v>
      </c>
      <c r="I60" s="476"/>
      <c r="J60" s="476"/>
      <c r="K60" s="476"/>
      <c r="L60" s="474">
        <f t="shared" si="0"/>
        <v>0</v>
      </c>
      <c r="M60" s="476"/>
      <c r="N60" s="476"/>
      <c r="O60" s="476"/>
      <c r="P60" s="474">
        <f t="shared" si="1"/>
        <v>0</v>
      </c>
    </row>
    <row r="61" spans="1:16">
      <c r="A61" s="472" t="s">
        <v>125</v>
      </c>
      <c r="B61" s="907"/>
      <c r="C61" s="903" t="s">
        <v>1612</v>
      </c>
      <c r="D61" s="903"/>
      <c r="E61" s="476"/>
      <c r="F61" s="476"/>
      <c r="G61" s="476"/>
      <c r="H61" s="474">
        <f t="shared" si="2"/>
        <v>0</v>
      </c>
      <c r="I61" s="476"/>
      <c r="J61" s="476"/>
      <c r="K61" s="476"/>
      <c r="L61" s="474">
        <f t="shared" si="0"/>
        <v>0</v>
      </c>
      <c r="M61" s="476"/>
      <c r="N61" s="476"/>
      <c r="O61" s="476"/>
      <c r="P61" s="474">
        <f t="shared" si="1"/>
        <v>0</v>
      </c>
    </row>
    <row r="62" spans="1:16">
      <c r="A62" s="472" t="s">
        <v>127</v>
      </c>
      <c r="B62" s="907"/>
      <c r="C62" s="903" t="s">
        <v>68</v>
      </c>
      <c r="D62" s="903"/>
      <c r="E62" s="476"/>
      <c r="F62" s="476"/>
      <c r="G62" s="476"/>
      <c r="H62" s="474">
        <f t="shared" si="2"/>
        <v>0</v>
      </c>
      <c r="I62" s="476"/>
      <c r="J62" s="476"/>
      <c r="K62" s="476"/>
      <c r="L62" s="474">
        <f t="shared" si="0"/>
        <v>0</v>
      </c>
      <c r="M62" s="476"/>
      <c r="N62" s="476"/>
      <c r="O62" s="476"/>
      <c r="P62" s="474">
        <f t="shared" si="1"/>
        <v>0</v>
      </c>
    </row>
    <row r="63" spans="1:16">
      <c r="A63" s="472" t="s">
        <v>1359</v>
      </c>
      <c r="B63" s="909"/>
      <c r="C63" s="903" t="s">
        <v>599</v>
      </c>
      <c r="D63" s="903"/>
      <c r="E63" s="473">
        <f>E55+E56+E57+E58+E59+E60+E61+E62</f>
        <v>0</v>
      </c>
      <c r="F63" s="473">
        <f>F55+F56+F57+F58+F59+F60+F61+F62</f>
        <v>0</v>
      </c>
      <c r="G63" s="473">
        <f>G55+G56+G57+G58+G59+G60+G61+G62</f>
        <v>0</v>
      </c>
      <c r="H63" s="474">
        <f t="shared" si="2"/>
        <v>0</v>
      </c>
      <c r="I63" s="473">
        <f>I55+I56+I57+I58+I59+I60+I61+I62</f>
        <v>0</v>
      </c>
      <c r="J63" s="473">
        <f>J55+J56+J57+J58+J59+J60+J61+J62</f>
        <v>0</v>
      </c>
      <c r="K63" s="473">
        <f>K55+K56+K57+K58+K59+K60+K61+K62</f>
        <v>0</v>
      </c>
      <c r="L63" s="474">
        <f t="shared" si="0"/>
        <v>0</v>
      </c>
      <c r="M63" s="473">
        <f>M55+M56+M57+M58+M59+M60+M61+M62</f>
        <v>0</v>
      </c>
      <c r="N63" s="473">
        <f>N55+N56+N57+N58+N59+N60+N61+N62</f>
        <v>0</v>
      </c>
      <c r="O63" s="473">
        <f>O55+O56+O57+O58+O59+O60+O61+O62</f>
        <v>0</v>
      </c>
      <c r="P63" s="474">
        <f t="shared" si="1"/>
        <v>0</v>
      </c>
    </row>
    <row r="64" spans="1:16" ht="26.25" customHeight="1">
      <c r="A64" s="472" t="s">
        <v>166</v>
      </c>
      <c r="B64" s="908" t="s">
        <v>78</v>
      </c>
      <c r="C64" s="908"/>
      <c r="D64" s="908"/>
      <c r="E64" s="477">
        <f t="shared" ref="E64:P64" si="6">E16+E21+E27+E33+E38+E43+E47+E54+E63</f>
        <v>0</v>
      </c>
      <c r="F64" s="477">
        <f t="shared" si="6"/>
        <v>0</v>
      </c>
      <c r="G64" s="477">
        <f t="shared" si="6"/>
        <v>0</v>
      </c>
      <c r="H64" s="477">
        <f t="shared" si="6"/>
        <v>0</v>
      </c>
      <c r="I64" s="477">
        <f t="shared" si="6"/>
        <v>0</v>
      </c>
      <c r="J64" s="477">
        <f t="shared" si="6"/>
        <v>0</v>
      </c>
      <c r="K64" s="477">
        <f t="shared" si="6"/>
        <v>0</v>
      </c>
      <c r="L64" s="477">
        <f t="shared" si="6"/>
        <v>0</v>
      </c>
      <c r="M64" s="477">
        <f t="shared" si="6"/>
        <v>0</v>
      </c>
      <c r="N64" s="477">
        <f t="shared" si="6"/>
        <v>0</v>
      </c>
      <c r="O64" s="477">
        <f t="shared" si="6"/>
        <v>0</v>
      </c>
      <c r="P64" s="477">
        <f t="shared" si="6"/>
        <v>0</v>
      </c>
    </row>
    <row r="65" spans="1:4" ht="36" customHeight="1">
      <c r="A65" s="375" t="s">
        <v>547</v>
      </c>
    </row>
    <row r="66" spans="1:4" ht="36" customHeight="1">
      <c r="A66" s="478" t="s">
        <v>59</v>
      </c>
      <c r="C66" s="464"/>
      <c r="D66" s="464"/>
    </row>
    <row r="67" spans="1:4">
      <c r="A67" s="323" t="s">
        <v>1613</v>
      </c>
    </row>
    <row r="68" spans="1:4">
      <c r="A68" s="323" t="s">
        <v>1614</v>
      </c>
      <c r="C68" s="464"/>
      <c r="D68" s="464"/>
    </row>
    <row r="69" spans="1:4">
      <c r="A69" s="5" t="s">
        <v>781</v>
      </c>
      <c r="C69" s="464"/>
      <c r="D69" s="464"/>
    </row>
    <row r="71" spans="1:4">
      <c r="A71" s="375" t="s">
        <v>173</v>
      </c>
    </row>
    <row r="72" spans="1:4">
      <c r="A72" s="323" t="s">
        <v>1615</v>
      </c>
    </row>
  </sheetData>
  <mergeCells count="67">
    <mergeCell ref="C61:D61"/>
    <mergeCell ref="C62:D62"/>
    <mergeCell ref="C63:D63"/>
    <mergeCell ref="B64:D64"/>
    <mergeCell ref="C52:D52"/>
    <mergeCell ref="C53:D53"/>
    <mergeCell ref="C54:D54"/>
    <mergeCell ref="B55:B63"/>
    <mergeCell ref="C55:D55"/>
    <mergeCell ref="C56:D56"/>
    <mergeCell ref="C57:D57"/>
    <mergeCell ref="C58:D58"/>
    <mergeCell ref="C59:D59"/>
    <mergeCell ref="C60:D60"/>
    <mergeCell ref="B48:B54"/>
    <mergeCell ref="C48:D48"/>
    <mergeCell ref="C49:D49"/>
    <mergeCell ref="C50:D50"/>
    <mergeCell ref="C51:D51"/>
    <mergeCell ref="B39:B43"/>
    <mergeCell ref="C39:D39"/>
    <mergeCell ref="C40:D40"/>
    <mergeCell ref="C41:D41"/>
    <mergeCell ref="C42:D42"/>
    <mergeCell ref="C43:D43"/>
    <mergeCell ref="B44:B47"/>
    <mergeCell ref="C44:D44"/>
    <mergeCell ref="C45:D45"/>
    <mergeCell ref="C46:D46"/>
    <mergeCell ref="C47:D47"/>
    <mergeCell ref="B34:B38"/>
    <mergeCell ref="C34:D34"/>
    <mergeCell ref="C35:D35"/>
    <mergeCell ref="C36:D36"/>
    <mergeCell ref="C37:D37"/>
    <mergeCell ref="C38:D38"/>
    <mergeCell ref="B28:B33"/>
    <mergeCell ref="C28:D28"/>
    <mergeCell ref="C29:D29"/>
    <mergeCell ref="C30:D30"/>
    <mergeCell ref="C31:D31"/>
    <mergeCell ref="C32:D32"/>
    <mergeCell ref="C33:D33"/>
    <mergeCell ref="B22:B27"/>
    <mergeCell ref="C22:D22"/>
    <mergeCell ref="C23:D23"/>
    <mergeCell ref="C24:D24"/>
    <mergeCell ref="C25:D25"/>
    <mergeCell ref="C26:D26"/>
    <mergeCell ref="C27:D27"/>
    <mergeCell ref="B17:B21"/>
    <mergeCell ref="C17:D17"/>
    <mergeCell ref="C18:D18"/>
    <mergeCell ref="C19:D19"/>
    <mergeCell ref="C20:D20"/>
    <mergeCell ref="C21:D21"/>
    <mergeCell ref="A8:D10"/>
    <mergeCell ref="E9:H9"/>
    <mergeCell ref="I9:L9"/>
    <mergeCell ref="M9:P9"/>
    <mergeCell ref="B11:B16"/>
    <mergeCell ref="C11:D11"/>
    <mergeCell ref="C12:D12"/>
    <mergeCell ref="C13:D13"/>
    <mergeCell ref="C14:D14"/>
    <mergeCell ref="C15:D15"/>
    <mergeCell ref="C16:D16"/>
  </mergeCells>
  <phoneticPr fontId="6" type="noConversion"/>
  <pageMargins left="0.7" right="0.7" top="0.75" bottom="0.75" header="0.3" footer="0.3"/>
  <pageSetup paperSize="9" scale="56" fitToHeight="0" orientation="portrait" r:id="rId1"/>
  <drawing r:id="rId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C3830F-F642-4BD4-BECE-36D8D6B5755C}">
  <sheetPr codeName="Sheet31">
    <tabColor rgb="FFFFFF00"/>
    <pageSetUpPr fitToPage="1"/>
  </sheetPr>
  <dimension ref="A1:S74"/>
  <sheetViews>
    <sheetView view="pageBreakPreview" zoomScale="85" zoomScaleNormal="100" zoomScaleSheetLayoutView="85" workbookViewId="0">
      <pane xSplit="4" ySplit="10" topLeftCell="E53" activePane="bottomRight" state="frozen"/>
      <selection pane="topRight" activeCell="E1" sqref="E1"/>
      <selection pane="bottomLeft" activeCell="A11" sqref="A11"/>
      <selection pane="bottomRight" activeCell="A67" sqref="A67"/>
    </sheetView>
  </sheetViews>
  <sheetFormatPr defaultColWidth="8.8984375" defaultRowHeight="14.4"/>
  <cols>
    <col min="1" max="1" width="6.59765625" style="323" customWidth="1"/>
    <col min="2" max="2" width="13.19921875" style="323" customWidth="1"/>
    <col min="3" max="3" width="8.8984375" style="323"/>
    <col min="4" max="4" width="11.59765625" style="323" customWidth="1"/>
    <col min="5" max="19" width="7.8984375" style="323" customWidth="1"/>
    <col min="20" max="16384" width="8.8984375" style="323"/>
  </cols>
  <sheetData>
    <row r="1" spans="1:19">
      <c r="A1" s="521"/>
    </row>
    <row r="5" spans="1:19" ht="20.25" customHeight="1">
      <c r="A5" s="463" t="s">
        <v>1523</v>
      </c>
      <c r="B5" s="463"/>
      <c r="C5" s="464"/>
      <c r="D5" s="464"/>
      <c r="E5" s="465"/>
      <c r="G5" s="465"/>
      <c r="H5" s="465"/>
      <c r="L5" s="465"/>
      <c r="M5" s="465"/>
      <c r="N5" s="465"/>
      <c r="Q5" s="465"/>
      <c r="R5" s="465"/>
      <c r="S5" s="465"/>
    </row>
    <row r="6" spans="1:19">
      <c r="C6" s="464"/>
      <c r="D6" s="464"/>
    </row>
    <row r="7" spans="1:19">
      <c r="A7" s="466" t="s">
        <v>1524</v>
      </c>
      <c r="B7" s="467"/>
      <c r="C7" s="464"/>
      <c r="D7" s="464"/>
      <c r="N7" s="468"/>
      <c r="S7" s="468"/>
    </row>
    <row r="8" spans="1:19">
      <c r="A8" s="892" t="s">
        <v>555</v>
      </c>
      <c r="B8" s="893"/>
      <c r="C8" s="893"/>
      <c r="D8" s="894"/>
      <c r="E8" s="469" t="s">
        <v>693</v>
      </c>
      <c r="F8" s="469" t="s">
        <v>694</v>
      </c>
      <c r="G8" s="469" t="s">
        <v>752</v>
      </c>
      <c r="H8" s="479" t="s">
        <v>265</v>
      </c>
      <c r="I8" s="469" t="s">
        <v>753</v>
      </c>
      <c r="J8" s="469" t="s">
        <v>695</v>
      </c>
      <c r="K8" s="469" t="s">
        <v>696</v>
      </c>
      <c r="L8" s="469" t="s">
        <v>756</v>
      </c>
      <c r="M8" s="479" t="s">
        <v>229</v>
      </c>
      <c r="N8" s="469" t="s">
        <v>757</v>
      </c>
      <c r="O8" s="469" t="s">
        <v>72</v>
      </c>
      <c r="P8" s="469" t="s">
        <v>73</v>
      </c>
      <c r="Q8" s="469" t="s">
        <v>74</v>
      </c>
      <c r="R8" s="479" t="s">
        <v>1616</v>
      </c>
      <c r="S8" s="469" t="s">
        <v>105</v>
      </c>
    </row>
    <row r="9" spans="1:19">
      <c r="A9" s="895"/>
      <c r="B9" s="896"/>
      <c r="C9" s="896"/>
      <c r="D9" s="897"/>
      <c r="E9" s="901" t="s">
        <v>569</v>
      </c>
      <c r="F9" s="901"/>
      <c r="G9" s="901"/>
      <c r="H9" s="901"/>
      <c r="I9" s="901"/>
      <c r="J9" s="901" t="s">
        <v>1525</v>
      </c>
      <c r="K9" s="901"/>
      <c r="L9" s="901"/>
      <c r="M9" s="901"/>
      <c r="N9" s="901"/>
      <c r="O9" s="901" t="s">
        <v>1526</v>
      </c>
      <c r="P9" s="901"/>
      <c r="Q9" s="901"/>
      <c r="R9" s="901"/>
      <c r="S9" s="901"/>
    </row>
    <row r="10" spans="1:19" ht="28.8">
      <c r="A10" s="898"/>
      <c r="B10" s="899"/>
      <c r="C10" s="899"/>
      <c r="D10" s="900"/>
      <c r="E10" s="470" t="s">
        <v>562</v>
      </c>
      <c r="F10" s="470" t="s">
        <v>565</v>
      </c>
      <c r="G10" s="470" t="s">
        <v>566</v>
      </c>
      <c r="H10" s="480" t="s">
        <v>68</v>
      </c>
      <c r="I10" s="471" t="s">
        <v>564</v>
      </c>
      <c r="J10" s="470" t="s">
        <v>562</v>
      </c>
      <c r="K10" s="470" t="s">
        <v>565</v>
      </c>
      <c r="L10" s="470" t="s">
        <v>566</v>
      </c>
      <c r="M10" s="480" t="s">
        <v>68</v>
      </c>
      <c r="N10" s="471" t="s">
        <v>564</v>
      </c>
      <c r="O10" s="470" t="s">
        <v>562</v>
      </c>
      <c r="P10" s="470" t="s">
        <v>565</v>
      </c>
      <c r="Q10" s="470" t="s">
        <v>566</v>
      </c>
      <c r="R10" s="480" t="s">
        <v>68</v>
      </c>
      <c r="S10" s="471" t="s">
        <v>564</v>
      </c>
    </row>
    <row r="11" spans="1:19">
      <c r="A11" s="472" t="s">
        <v>1527</v>
      </c>
      <c r="B11" s="902" t="s">
        <v>1528</v>
      </c>
      <c r="C11" s="903" t="s">
        <v>1529</v>
      </c>
      <c r="D11" s="903"/>
      <c r="E11" s="473"/>
      <c r="F11" s="473"/>
      <c r="G11" s="473"/>
      <c r="H11" s="481"/>
      <c r="I11" s="474">
        <f>E11+F11-G11+H11</f>
        <v>0</v>
      </c>
      <c r="J11" s="473"/>
      <c r="K11" s="473"/>
      <c r="L11" s="473"/>
      <c r="M11" s="481"/>
      <c r="N11" s="474">
        <f>J11+K11-L11+M11</f>
        <v>0</v>
      </c>
      <c r="O11" s="473"/>
      <c r="P11" s="473"/>
      <c r="Q11" s="473"/>
      <c r="R11" s="481"/>
      <c r="S11" s="474">
        <f>O11+P11-Q11+R11</f>
        <v>0</v>
      </c>
    </row>
    <row r="12" spans="1:19">
      <c r="A12" s="472" t="s">
        <v>1530</v>
      </c>
      <c r="B12" s="902"/>
      <c r="C12" s="903" t="s">
        <v>1531</v>
      </c>
      <c r="D12" s="903"/>
      <c r="E12" s="473"/>
      <c r="F12" s="473"/>
      <c r="G12" s="473"/>
      <c r="H12" s="481"/>
      <c r="I12" s="474">
        <f t="shared" ref="I12:I64" si="0">E12+F12-G12+H12</f>
        <v>0</v>
      </c>
      <c r="J12" s="473"/>
      <c r="K12" s="473"/>
      <c r="L12" s="473"/>
      <c r="M12" s="481"/>
      <c r="N12" s="474">
        <f t="shared" ref="N12:N64" si="1">J12+K12-L12+M12</f>
        <v>0</v>
      </c>
      <c r="O12" s="473"/>
      <c r="P12" s="473"/>
      <c r="Q12" s="473"/>
      <c r="R12" s="481"/>
      <c r="S12" s="474">
        <f t="shared" ref="S12:S64" si="2">O12+P12-Q12+R12</f>
        <v>0</v>
      </c>
    </row>
    <row r="13" spans="1:19">
      <c r="A13" s="472" t="s">
        <v>1532</v>
      </c>
      <c r="B13" s="902"/>
      <c r="C13" s="903" t="s">
        <v>1533</v>
      </c>
      <c r="D13" s="903"/>
      <c r="E13" s="473"/>
      <c r="F13" s="473"/>
      <c r="G13" s="473"/>
      <c r="H13" s="481"/>
      <c r="I13" s="474">
        <f t="shared" si="0"/>
        <v>0</v>
      </c>
      <c r="J13" s="473"/>
      <c r="K13" s="473"/>
      <c r="L13" s="473"/>
      <c r="M13" s="481"/>
      <c r="N13" s="474">
        <f t="shared" si="1"/>
        <v>0</v>
      </c>
      <c r="O13" s="473"/>
      <c r="P13" s="473"/>
      <c r="Q13" s="473"/>
      <c r="R13" s="481"/>
      <c r="S13" s="474">
        <f t="shared" si="2"/>
        <v>0</v>
      </c>
    </row>
    <row r="14" spans="1:19">
      <c r="A14" s="472" t="s">
        <v>1534</v>
      </c>
      <c r="B14" s="902"/>
      <c r="C14" s="903" t="s">
        <v>1535</v>
      </c>
      <c r="D14" s="903"/>
      <c r="E14" s="473"/>
      <c r="F14" s="473"/>
      <c r="G14" s="473"/>
      <c r="H14" s="481"/>
      <c r="I14" s="474">
        <f t="shared" si="0"/>
        <v>0</v>
      </c>
      <c r="J14" s="473"/>
      <c r="K14" s="473"/>
      <c r="L14" s="473"/>
      <c r="M14" s="481"/>
      <c r="N14" s="474">
        <f t="shared" si="1"/>
        <v>0</v>
      </c>
      <c r="O14" s="473"/>
      <c r="P14" s="473"/>
      <c r="Q14" s="473"/>
      <c r="R14" s="481"/>
      <c r="S14" s="474">
        <f t="shared" si="2"/>
        <v>0</v>
      </c>
    </row>
    <row r="15" spans="1:19">
      <c r="A15" s="472" t="s">
        <v>1536</v>
      </c>
      <c r="B15" s="902"/>
      <c r="C15" s="903" t="s">
        <v>68</v>
      </c>
      <c r="D15" s="903"/>
      <c r="E15" s="473"/>
      <c r="F15" s="473"/>
      <c r="G15" s="473"/>
      <c r="H15" s="481"/>
      <c r="I15" s="474">
        <f t="shared" si="0"/>
        <v>0</v>
      </c>
      <c r="J15" s="473"/>
      <c r="K15" s="473"/>
      <c r="L15" s="473"/>
      <c r="M15" s="481"/>
      <c r="N15" s="474">
        <f t="shared" si="1"/>
        <v>0</v>
      </c>
      <c r="O15" s="473"/>
      <c r="P15" s="473"/>
      <c r="Q15" s="473"/>
      <c r="R15" s="481"/>
      <c r="S15" s="474">
        <f t="shared" si="2"/>
        <v>0</v>
      </c>
    </row>
    <row r="16" spans="1:19">
      <c r="A16" s="472" t="s">
        <v>1537</v>
      </c>
      <c r="B16" s="902"/>
      <c r="C16" s="903" t="s">
        <v>599</v>
      </c>
      <c r="D16" s="903"/>
      <c r="E16" s="473">
        <f>E11+E12+E13+E14+E15</f>
        <v>0</v>
      </c>
      <c r="F16" s="473">
        <f>F11+F12+F13+F14+F15</f>
        <v>0</v>
      </c>
      <c r="G16" s="473">
        <f>G11+G12+G13+G14+G15</f>
        <v>0</v>
      </c>
      <c r="H16" s="481">
        <f>H11+H12+H13+H14+H15</f>
        <v>0</v>
      </c>
      <c r="I16" s="474">
        <f t="shared" si="0"/>
        <v>0</v>
      </c>
      <c r="J16" s="473">
        <f>J11+J12+J13+J14+J15</f>
        <v>0</v>
      </c>
      <c r="K16" s="473">
        <f>K11+K12+K13+K14+K15</f>
        <v>0</v>
      </c>
      <c r="L16" s="473">
        <f>L11+L12+L13+L14+L15</f>
        <v>0</v>
      </c>
      <c r="M16" s="481">
        <f>M11+M12+M13+M14+M15</f>
        <v>0</v>
      </c>
      <c r="N16" s="474">
        <f t="shared" si="1"/>
        <v>0</v>
      </c>
      <c r="O16" s="473">
        <f>O11+O12+O13+O14+O15</f>
        <v>0</v>
      </c>
      <c r="P16" s="473">
        <f>P11+P12+P13+P14+P15</f>
        <v>0</v>
      </c>
      <c r="Q16" s="473">
        <f>Q11+Q12+Q13+Q14+Q15</f>
        <v>0</v>
      </c>
      <c r="R16" s="481">
        <f>R11+R12+R13+R14+R15</f>
        <v>0</v>
      </c>
      <c r="S16" s="474">
        <f t="shared" si="2"/>
        <v>0</v>
      </c>
    </row>
    <row r="17" spans="1:19">
      <c r="A17" s="472" t="s">
        <v>1538</v>
      </c>
      <c r="B17" s="902" t="s">
        <v>1539</v>
      </c>
      <c r="C17" s="903" t="s">
        <v>1540</v>
      </c>
      <c r="D17" s="903"/>
      <c r="E17" s="473"/>
      <c r="F17" s="473"/>
      <c r="G17" s="473"/>
      <c r="H17" s="481"/>
      <c r="I17" s="474">
        <f t="shared" si="0"/>
        <v>0</v>
      </c>
      <c r="J17" s="473"/>
      <c r="K17" s="473"/>
      <c r="L17" s="473"/>
      <c r="M17" s="481"/>
      <c r="N17" s="474">
        <f t="shared" si="1"/>
        <v>0</v>
      </c>
      <c r="O17" s="473"/>
      <c r="P17" s="473"/>
      <c r="Q17" s="473"/>
      <c r="R17" s="481"/>
      <c r="S17" s="474">
        <f t="shared" si="2"/>
        <v>0</v>
      </c>
    </row>
    <row r="18" spans="1:19">
      <c r="A18" s="472" t="s">
        <v>1541</v>
      </c>
      <c r="B18" s="902"/>
      <c r="C18" s="903" t="s">
        <v>1542</v>
      </c>
      <c r="D18" s="903"/>
      <c r="E18" s="473"/>
      <c r="F18" s="473"/>
      <c r="G18" s="473"/>
      <c r="H18" s="481"/>
      <c r="I18" s="474">
        <f t="shared" si="0"/>
        <v>0</v>
      </c>
      <c r="J18" s="473"/>
      <c r="K18" s="473"/>
      <c r="L18" s="473"/>
      <c r="M18" s="481"/>
      <c r="N18" s="474">
        <f t="shared" si="1"/>
        <v>0</v>
      </c>
      <c r="O18" s="473"/>
      <c r="P18" s="473"/>
      <c r="Q18" s="473"/>
      <c r="R18" s="481"/>
      <c r="S18" s="474">
        <f t="shared" si="2"/>
        <v>0</v>
      </c>
    </row>
    <row r="19" spans="1:19">
      <c r="A19" s="472" t="s">
        <v>1543</v>
      </c>
      <c r="B19" s="902"/>
      <c r="C19" s="903" t="s">
        <v>1544</v>
      </c>
      <c r="D19" s="903"/>
      <c r="E19" s="473"/>
      <c r="F19" s="473"/>
      <c r="G19" s="473"/>
      <c r="H19" s="481"/>
      <c r="I19" s="474">
        <f t="shared" si="0"/>
        <v>0</v>
      </c>
      <c r="J19" s="473"/>
      <c r="K19" s="473"/>
      <c r="L19" s="473"/>
      <c r="M19" s="481"/>
      <c r="N19" s="474">
        <f t="shared" si="1"/>
        <v>0</v>
      </c>
      <c r="O19" s="473"/>
      <c r="P19" s="473"/>
      <c r="Q19" s="473"/>
      <c r="R19" s="481"/>
      <c r="S19" s="474">
        <f t="shared" si="2"/>
        <v>0</v>
      </c>
    </row>
    <row r="20" spans="1:19">
      <c r="A20" s="472" t="s">
        <v>1545</v>
      </c>
      <c r="B20" s="902"/>
      <c r="C20" s="903" t="s">
        <v>68</v>
      </c>
      <c r="D20" s="903"/>
      <c r="E20" s="473"/>
      <c r="F20" s="473"/>
      <c r="G20" s="473"/>
      <c r="H20" s="481"/>
      <c r="I20" s="474">
        <f t="shared" si="0"/>
        <v>0</v>
      </c>
      <c r="J20" s="473"/>
      <c r="K20" s="473"/>
      <c r="L20" s="473"/>
      <c r="M20" s="481"/>
      <c r="N20" s="474">
        <f t="shared" si="1"/>
        <v>0</v>
      </c>
      <c r="O20" s="473"/>
      <c r="P20" s="473"/>
      <c r="Q20" s="473"/>
      <c r="R20" s="481"/>
      <c r="S20" s="474">
        <f t="shared" si="2"/>
        <v>0</v>
      </c>
    </row>
    <row r="21" spans="1:19">
      <c r="A21" s="472" t="s">
        <v>1546</v>
      </c>
      <c r="B21" s="902"/>
      <c r="C21" s="903" t="s">
        <v>599</v>
      </c>
      <c r="D21" s="903"/>
      <c r="E21" s="475">
        <f>E17+E18+E19+E20</f>
        <v>0</v>
      </c>
      <c r="F21" s="475">
        <f>F17+F18+F19+F20</f>
        <v>0</v>
      </c>
      <c r="G21" s="475">
        <f>G17+G18+G19+G20</f>
        <v>0</v>
      </c>
      <c r="H21" s="482">
        <f>H17+H18+H19+H20</f>
        <v>0</v>
      </c>
      <c r="I21" s="474">
        <f t="shared" si="0"/>
        <v>0</v>
      </c>
      <c r="J21" s="475">
        <f>J17+J18+J19+J20</f>
        <v>0</v>
      </c>
      <c r="K21" s="475">
        <f>K17+K18+K19+K20</f>
        <v>0</v>
      </c>
      <c r="L21" s="475">
        <f>L17+L18+L19+L20</f>
        <v>0</v>
      </c>
      <c r="M21" s="482">
        <f>M17+M18+M19+M20</f>
        <v>0</v>
      </c>
      <c r="N21" s="474">
        <f t="shared" si="1"/>
        <v>0</v>
      </c>
      <c r="O21" s="475">
        <f>O17+O18+O19+O20</f>
        <v>0</v>
      </c>
      <c r="P21" s="475">
        <f>P17+P18+P19+P20</f>
        <v>0</v>
      </c>
      <c r="Q21" s="475">
        <f>Q17+Q18+Q19+Q20</f>
        <v>0</v>
      </c>
      <c r="R21" s="482">
        <f>R17+R18+R19+R20</f>
        <v>0</v>
      </c>
      <c r="S21" s="474">
        <f t="shared" si="2"/>
        <v>0</v>
      </c>
    </row>
    <row r="22" spans="1:19">
      <c r="A22" s="472" t="s">
        <v>1547</v>
      </c>
      <c r="B22" s="902" t="s">
        <v>1548</v>
      </c>
      <c r="C22" s="903" t="s">
        <v>1549</v>
      </c>
      <c r="D22" s="903"/>
      <c r="E22" s="476"/>
      <c r="F22" s="476"/>
      <c r="G22" s="476"/>
      <c r="H22" s="483"/>
      <c r="I22" s="474">
        <f t="shared" si="0"/>
        <v>0</v>
      </c>
      <c r="J22" s="476"/>
      <c r="K22" s="476"/>
      <c r="L22" s="476"/>
      <c r="M22" s="483"/>
      <c r="N22" s="474">
        <f t="shared" si="1"/>
        <v>0</v>
      </c>
      <c r="O22" s="476"/>
      <c r="P22" s="476"/>
      <c r="Q22" s="476"/>
      <c r="R22" s="483"/>
      <c r="S22" s="474">
        <f t="shared" si="2"/>
        <v>0</v>
      </c>
    </row>
    <row r="23" spans="1:19">
      <c r="A23" s="472" t="s">
        <v>1550</v>
      </c>
      <c r="B23" s="902"/>
      <c r="C23" s="903" t="s">
        <v>1551</v>
      </c>
      <c r="D23" s="903"/>
      <c r="E23" s="476"/>
      <c r="F23" s="476"/>
      <c r="G23" s="476"/>
      <c r="H23" s="483"/>
      <c r="I23" s="474">
        <f t="shared" si="0"/>
        <v>0</v>
      </c>
      <c r="J23" s="476"/>
      <c r="K23" s="476"/>
      <c r="L23" s="476"/>
      <c r="M23" s="483"/>
      <c r="N23" s="474">
        <f t="shared" si="1"/>
        <v>0</v>
      </c>
      <c r="O23" s="476"/>
      <c r="P23" s="476"/>
      <c r="Q23" s="476"/>
      <c r="R23" s="483"/>
      <c r="S23" s="474">
        <f t="shared" si="2"/>
        <v>0</v>
      </c>
    </row>
    <row r="24" spans="1:19">
      <c r="A24" s="472" t="s">
        <v>1552</v>
      </c>
      <c r="B24" s="902"/>
      <c r="C24" s="903" t="s">
        <v>1553</v>
      </c>
      <c r="D24" s="903"/>
      <c r="E24" s="476"/>
      <c r="F24" s="476"/>
      <c r="G24" s="476"/>
      <c r="H24" s="483"/>
      <c r="I24" s="474">
        <f t="shared" si="0"/>
        <v>0</v>
      </c>
      <c r="J24" s="476"/>
      <c r="K24" s="476"/>
      <c r="L24" s="476"/>
      <c r="M24" s="483"/>
      <c r="N24" s="474">
        <f t="shared" si="1"/>
        <v>0</v>
      </c>
      <c r="O24" s="476"/>
      <c r="P24" s="476"/>
      <c r="Q24" s="476"/>
      <c r="R24" s="483"/>
      <c r="S24" s="474">
        <f t="shared" si="2"/>
        <v>0</v>
      </c>
    </row>
    <row r="25" spans="1:19">
      <c r="A25" s="472" t="s">
        <v>1554</v>
      </c>
      <c r="B25" s="902"/>
      <c r="C25" s="903" t="s">
        <v>1555</v>
      </c>
      <c r="D25" s="903"/>
      <c r="E25" s="476"/>
      <c r="F25" s="476"/>
      <c r="G25" s="476"/>
      <c r="H25" s="483"/>
      <c r="I25" s="474">
        <f t="shared" si="0"/>
        <v>0</v>
      </c>
      <c r="J25" s="476"/>
      <c r="K25" s="476"/>
      <c r="L25" s="476"/>
      <c r="M25" s="483"/>
      <c r="N25" s="474">
        <f t="shared" si="1"/>
        <v>0</v>
      </c>
      <c r="O25" s="476"/>
      <c r="P25" s="476"/>
      <c r="Q25" s="476"/>
      <c r="R25" s="483"/>
      <c r="S25" s="474">
        <f t="shared" si="2"/>
        <v>0</v>
      </c>
    </row>
    <row r="26" spans="1:19">
      <c r="A26" s="472" t="s">
        <v>1556</v>
      </c>
      <c r="B26" s="902"/>
      <c r="C26" s="903" t="s">
        <v>68</v>
      </c>
      <c r="D26" s="903"/>
      <c r="E26" s="476"/>
      <c r="F26" s="476"/>
      <c r="G26" s="476"/>
      <c r="H26" s="483"/>
      <c r="I26" s="474">
        <f t="shared" si="0"/>
        <v>0</v>
      </c>
      <c r="J26" s="476"/>
      <c r="K26" s="476"/>
      <c r="L26" s="476"/>
      <c r="M26" s="483"/>
      <c r="N26" s="474">
        <f t="shared" si="1"/>
        <v>0</v>
      </c>
      <c r="O26" s="476"/>
      <c r="P26" s="476"/>
      <c r="Q26" s="476"/>
      <c r="R26" s="483"/>
      <c r="S26" s="474">
        <f t="shared" si="2"/>
        <v>0</v>
      </c>
    </row>
    <row r="27" spans="1:19">
      <c r="A27" s="472" t="s">
        <v>1557</v>
      </c>
      <c r="B27" s="902"/>
      <c r="C27" s="903" t="s">
        <v>599</v>
      </c>
      <c r="D27" s="903"/>
      <c r="E27" s="473">
        <f>E22+E23+E24+E25+E26</f>
        <v>0</v>
      </c>
      <c r="F27" s="473">
        <f t="shared" ref="F27:H27" si="3">F22+F23+F24+F25+F26</f>
        <v>0</v>
      </c>
      <c r="G27" s="473">
        <f t="shared" si="3"/>
        <v>0</v>
      </c>
      <c r="H27" s="481">
        <f t="shared" si="3"/>
        <v>0</v>
      </c>
      <c r="I27" s="474">
        <f t="shared" si="0"/>
        <v>0</v>
      </c>
      <c r="J27" s="473">
        <f t="shared" ref="J27:L27" si="4">J22+J23+J24+J25+J26</f>
        <v>0</v>
      </c>
      <c r="K27" s="473">
        <f t="shared" si="4"/>
        <v>0</v>
      </c>
      <c r="L27" s="473">
        <f t="shared" si="4"/>
        <v>0</v>
      </c>
      <c r="M27" s="481">
        <f t="shared" ref="M27" si="5">M22+M23+M24+M25+M26</f>
        <v>0</v>
      </c>
      <c r="N27" s="474">
        <f t="shared" si="1"/>
        <v>0</v>
      </c>
      <c r="O27" s="473">
        <f t="shared" ref="O27:Q27" si="6">O22+O23+O24+O25+O26</f>
        <v>0</v>
      </c>
      <c r="P27" s="473">
        <f t="shared" si="6"/>
        <v>0</v>
      </c>
      <c r="Q27" s="473">
        <f t="shared" si="6"/>
        <v>0</v>
      </c>
      <c r="R27" s="481">
        <f t="shared" ref="R27" si="7">R22+R23+R24+R25+R26</f>
        <v>0</v>
      </c>
      <c r="S27" s="474">
        <f t="shared" si="2"/>
        <v>0</v>
      </c>
    </row>
    <row r="28" spans="1:19">
      <c r="A28" s="472" t="s">
        <v>1558</v>
      </c>
      <c r="B28" s="902" t="s">
        <v>1559</v>
      </c>
      <c r="C28" s="903" t="s">
        <v>1560</v>
      </c>
      <c r="D28" s="903"/>
      <c r="E28" s="476"/>
      <c r="F28" s="476"/>
      <c r="G28" s="476"/>
      <c r="H28" s="483"/>
      <c r="I28" s="474">
        <f t="shared" si="0"/>
        <v>0</v>
      </c>
      <c r="J28" s="476"/>
      <c r="K28" s="476"/>
      <c r="L28" s="476"/>
      <c r="M28" s="483"/>
      <c r="N28" s="474">
        <f t="shared" si="1"/>
        <v>0</v>
      </c>
      <c r="O28" s="476"/>
      <c r="P28" s="476"/>
      <c r="Q28" s="476"/>
      <c r="R28" s="483"/>
      <c r="S28" s="474">
        <f t="shared" si="2"/>
        <v>0</v>
      </c>
    </row>
    <row r="29" spans="1:19">
      <c r="A29" s="472" t="s">
        <v>1561</v>
      </c>
      <c r="B29" s="902"/>
      <c r="C29" s="903" t="s">
        <v>1562</v>
      </c>
      <c r="D29" s="903"/>
      <c r="E29" s="476"/>
      <c r="F29" s="476"/>
      <c r="G29" s="476"/>
      <c r="H29" s="483"/>
      <c r="I29" s="474">
        <f t="shared" si="0"/>
        <v>0</v>
      </c>
      <c r="J29" s="476"/>
      <c r="K29" s="476"/>
      <c r="L29" s="476"/>
      <c r="M29" s="483"/>
      <c r="N29" s="474">
        <f t="shared" si="1"/>
        <v>0</v>
      </c>
      <c r="O29" s="476"/>
      <c r="P29" s="476"/>
      <c r="Q29" s="476"/>
      <c r="R29" s="483"/>
      <c r="S29" s="474">
        <f t="shared" si="2"/>
        <v>0</v>
      </c>
    </row>
    <row r="30" spans="1:19">
      <c r="A30" s="472" t="s">
        <v>1563</v>
      </c>
      <c r="B30" s="902"/>
      <c r="C30" s="903" t="s">
        <v>1564</v>
      </c>
      <c r="D30" s="903"/>
      <c r="E30" s="476"/>
      <c r="F30" s="476"/>
      <c r="G30" s="476"/>
      <c r="H30" s="483"/>
      <c r="I30" s="474">
        <f t="shared" si="0"/>
        <v>0</v>
      </c>
      <c r="J30" s="476"/>
      <c r="K30" s="476"/>
      <c r="L30" s="476"/>
      <c r="M30" s="483"/>
      <c r="N30" s="474">
        <f t="shared" si="1"/>
        <v>0</v>
      </c>
      <c r="O30" s="476"/>
      <c r="P30" s="476"/>
      <c r="Q30" s="476"/>
      <c r="R30" s="483"/>
      <c r="S30" s="474">
        <f t="shared" si="2"/>
        <v>0</v>
      </c>
    </row>
    <row r="31" spans="1:19">
      <c r="A31" s="472" t="s">
        <v>1565</v>
      </c>
      <c r="B31" s="902"/>
      <c r="C31" s="903" t="s">
        <v>1566</v>
      </c>
      <c r="D31" s="903"/>
      <c r="E31" s="476"/>
      <c r="F31" s="476"/>
      <c r="G31" s="476"/>
      <c r="H31" s="483"/>
      <c r="I31" s="474">
        <f t="shared" si="0"/>
        <v>0</v>
      </c>
      <c r="J31" s="476"/>
      <c r="K31" s="476"/>
      <c r="L31" s="476"/>
      <c r="M31" s="483"/>
      <c r="N31" s="474">
        <f t="shared" si="1"/>
        <v>0</v>
      </c>
      <c r="O31" s="476"/>
      <c r="P31" s="476"/>
      <c r="Q31" s="476"/>
      <c r="R31" s="483"/>
      <c r="S31" s="474">
        <f t="shared" si="2"/>
        <v>0</v>
      </c>
    </row>
    <row r="32" spans="1:19">
      <c r="A32" s="472" t="s">
        <v>1567</v>
      </c>
      <c r="B32" s="902"/>
      <c r="C32" s="903" t="s">
        <v>68</v>
      </c>
      <c r="D32" s="903"/>
      <c r="E32" s="476"/>
      <c r="F32" s="476"/>
      <c r="G32" s="476"/>
      <c r="H32" s="483"/>
      <c r="I32" s="474">
        <f t="shared" si="0"/>
        <v>0</v>
      </c>
      <c r="J32" s="476"/>
      <c r="K32" s="476"/>
      <c r="L32" s="476"/>
      <c r="M32" s="483"/>
      <c r="N32" s="474">
        <f t="shared" si="1"/>
        <v>0</v>
      </c>
      <c r="O32" s="476"/>
      <c r="P32" s="476"/>
      <c r="Q32" s="476"/>
      <c r="R32" s="483"/>
      <c r="S32" s="474">
        <f t="shared" si="2"/>
        <v>0</v>
      </c>
    </row>
    <row r="33" spans="1:19">
      <c r="A33" s="472" t="s">
        <v>1568</v>
      </c>
      <c r="B33" s="902"/>
      <c r="C33" s="903" t="s">
        <v>599</v>
      </c>
      <c r="D33" s="903"/>
      <c r="E33" s="473">
        <f>E28+E29+E30+E31+E32</f>
        <v>0</v>
      </c>
      <c r="F33" s="473">
        <f>F28+F29+F30+F31+F32</f>
        <v>0</v>
      </c>
      <c r="G33" s="473">
        <f>G28+G29+G30+G31+G32</f>
        <v>0</v>
      </c>
      <c r="H33" s="481">
        <f>H28+H29+H30+H31+H32</f>
        <v>0</v>
      </c>
      <c r="I33" s="474">
        <f t="shared" si="0"/>
        <v>0</v>
      </c>
      <c r="J33" s="473">
        <f>SUM(J28:J31)</f>
        <v>0</v>
      </c>
      <c r="K33" s="473">
        <f>SUM(K28:K31)</f>
        <v>0</v>
      </c>
      <c r="L33" s="473">
        <f>SUM(L28:L31)</f>
        <v>0</v>
      </c>
      <c r="M33" s="481">
        <f>SUM(M28:M31)</f>
        <v>0</v>
      </c>
      <c r="N33" s="474">
        <f t="shared" si="1"/>
        <v>0</v>
      </c>
      <c r="O33" s="473">
        <f>SUM(O28:O31)</f>
        <v>0</v>
      </c>
      <c r="P33" s="473">
        <f>SUM(P28:P31)</f>
        <v>0</v>
      </c>
      <c r="Q33" s="473">
        <f>SUM(Q28:Q31)</f>
        <v>0</v>
      </c>
      <c r="R33" s="481">
        <f>SUM(R28:R31)</f>
        <v>0</v>
      </c>
      <c r="S33" s="474">
        <f t="shared" si="2"/>
        <v>0</v>
      </c>
    </row>
    <row r="34" spans="1:19">
      <c r="A34" s="472" t="s">
        <v>1569</v>
      </c>
      <c r="B34" s="902" t="s">
        <v>1570</v>
      </c>
      <c r="C34" s="903" t="s">
        <v>1571</v>
      </c>
      <c r="D34" s="903"/>
      <c r="E34" s="476"/>
      <c r="F34" s="476"/>
      <c r="G34" s="476"/>
      <c r="H34" s="483"/>
      <c r="I34" s="474">
        <f t="shared" si="0"/>
        <v>0</v>
      </c>
      <c r="J34" s="476"/>
      <c r="K34" s="476"/>
      <c r="L34" s="476"/>
      <c r="M34" s="483"/>
      <c r="N34" s="474">
        <f t="shared" si="1"/>
        <v>0</v>
      </c>
      <c r="O34" s="476"/>
      <c r="P34" s="476"/>
      <c r="Q34" s="476"/>
      <c r="R34" s="483"/>
      <c r="S34" s="474">
        <f t="shared" si="2"/>
        <v>0</v>
      </c>
    </row>
    <row r="35" spans="1:19">
      <c r="A35" s="472" t="s">
        <v>1572</v>
      </c>
      <c r="B35" s="902"/>
      <c r="C35" s="903" t="s">
        <v>1573</v>
      </c>
      <c r="D35" s="903"/>
      <c r="E35" s="476"/>
      <c r="F35" s="476"/>
      <c r="G35" s="476"/>
      <c r="H35" s="483"/>
      <c r="I35" s="474">
        <f t="shared" si="0"/>
        <v>0</v>
      </c>
      <c r="J35" s="476"/>
      <c r="K35" s="476"/>
      <c r="L35" s="476"/>
      <c r="M35" s="483"/>
      <c r="N35" s="474">
        <f t="shared" si="1"/>
        <v>0</v>
      </c>
      <c r="O35" s="476"/>
      <c r="P35" s="476"/>
      <c r="Q35" s="476"/>
      <c r="R35" s="483"/>
      <c r="S35" s="474">
        <f t="shared" si="2"/>
        <v>0</v>
      </c>
    </row>
    <row r="36" spans="1:19">
      <c r="A36" s="472" t="s">
        <v>1574</v>
      </c>
      <c r="B36" s="902"/>
      <c r="C36" s="903" t="s">
        <v>1575</v>
      </c>
      <c r="D36" s="903"/>
      <c r="E36" s="476"/>
      <c r="F36" s="476"/>
      <c r="G36" s="476"/>
      <c r="H36" s="483"/>
      <c r="I36" s="474">
        <f t="shared" si="0"/>
        <v>0</v>
      </c>
      <c r="J36" s="476"/>
      <c r="K36" s="476"/>
      <c r="L36" s="476"/>
      <c r="M36" s="483"/>
      <c r="N36" s="474">
        <f t="shared" si="1"/>
        <v>0</v>
      </c>
      <c r="O36" s="476"/>
      <c r="P36" s="476"/>
      <c r="Q36" s="476"/>
      <c r="R36" s="483"/>
      <c r="S36" s="474">
        <f t="shared" si="2"/>
        <v>0</v>
      </c>
    </row>
    <row r="37" spans="1:19">
      <c r="A37" s="472" t="s">
        <v>1576</v>
      </c>
      <c r="B37" s="902"/>
      <c r="C37" s="903" t="s">
        <v>68</v>
      </c>
      <c r="D37" s="903"/>
      <c r="E37" s="476"/>
      <c r="F37" s="476"/>
      <c r="G37" s="476"/>
      <c r="H37" s="483"/>
      <c r="I37" s="474">
        <f t="shared" si="0"/>
        <v>0</v>
      </c>
      <c r="J37" s="476"/>
      <c r="K37" s="476"/>
      <c r="L37" s="476"/>
      <c r="M37" s="483"/>
      <c r="N37" s="474">
        <f t="shared" si="1"/>
        <v>0</v>
      </c>
      <c r="O37" s="476"/>
      <c r="P37" s="476"/>
      <c r="Q37" s="476"/>
      <c r="R37" s="483"/>
      <c r="S37" s="474">
        <f t="shared" si="2"/>
        <v>0</v>
      </c>
    </row>
    <row r="38" spans="1:19">
      <c r="A38" s="472" t="s">
        <v>1577</v>
      </c>
      <c r="B38" s="902"/>
      <c r="C38" s="903" t="s">
        <v>599</v>
      </c>
      <c r="D38" s="903"/>
      <c r="E38" s="473">
        <f>E34+E35+E36+E37</f>
        <v>0</v>
      </c>
      <c r="F38" s="473">
        <f>F34+F35+F36+F37</f>
        <v>0</v>
      </c>
      <c r="G38" s="473">
        <f>G34+G35+G36+G37</f>
        <v>0</v>
      </c>
      <c r="H38" s="481">
        <f>H34+H35+H36+H37</f>
        <v>0</v>
      </c>
      <c r="I38" s="474">
        <f t="shared" si="0"/>
        <v>0</v>
      </c>
      <c r="J38" s="473">
        <f>J34+J35+J36+J37</f>
        <v>0</v>
      </c>
      <c r="K38" s="473">
        <f>K34+K35+K36+K37</f>
        <v>0</v>
      </c>
      <c r="L38" s="473">
        <f>L34+L35+L36+L37</f>
        <v>0</v>
      </c>
      <c r="M38" s="481">
        <f>M34+M35+M36+M37</f>
        <v>0</v>
      </c>
      <c r="N38" s="474">
        <f t="shared" si="1"/>
        <v>0</v>
      </c>
      <c r="O38" s="473">
        <f>O34+O35+O36+O37</f>
        <v>0</v>
      </c>
      <c r="P38" s="473">
        <f>P34+P35+P36+P37</f>
        <v>0</v>
      </c>
      <c r="Q38" s="473">
        <f>Q34+Q35+Q36+Q37</f>
        <v>0</v>
      </c>
      <c r="R38" s="481">
        <f>R34+R35+R36+R37</f>
        <v>0</v>
      </c>
      <c r="S38" s="474">
        <f t="shared" si="2"/>
        <v>0</v>
      </c>
    </row>
    <row r="39" spans="1:19">
      <c r="A39" s="472" t="s">
        <v>1578</v>
      </c>
      <c r="B39" s="902" t="s">
        <v>1579</v>
      </c>
      <c r="C39" s="903" t="s">
        <v>1580</v>
      </c>
      <c r="D39" s="903"/>
      <c r="E39" s="476"/>
      <c r="F39" s="476"/>
      <c r="G39" s="476"/>
      <c r="H39" s="483"/>
      <c r="I39" s="474">
        <f t="shared" si="0"/>
        <v>0</v>
      </c>
      <c r="J39" s="476"/>
      <c r="K39" s="476"/>
      <c r="L39" s="476"/>
      <c r="M39" s="483"/>
      <c r="N39" s="474">
        <f t="shared" si="1"/>
        <v>0</v>
      </c>
      <c r="O39" s="476"/>
      <c r="P39" s="476"/>
      <c r="Q39" s="476"/>
      <c r="R39" s="483"/>
      <c r="S39" s="474">
        <f t="shared" si="2"/>
        <v>0</v>
      </c>
    </row>
    <row r="40" spans="1:19">
      <c r="A40" s="472" t="s">
        <v>1581</v>
      </c>
      <c r="B40" s="902"/>
      <c r="C40" s="903" t="s">
        <v>1535</v>
      </c>
      <c r="D40" s="903"/>
      <c r="E40" s="476"/>
      <c r="F40" s="476"/>
      <c r="G40" s="476"/>
      <c r="H40" s="483"/>
      <c r="I40" s="474">
        <f t="shared" si="0"/>
        <v>0</v>
      </c>
      <c r="J40" s="476"/>
      <c r="K40" s="476"/>
      <c r="L40" s="476"/>
      <c r="M40" s="483"/>
      <c r="N40" s="474">
        <f t="shared" si="1"/>
        <v>0</v>
      </c>
      <c r="O40" s="476"/>
      <c r="P40" s="476"/>
      <c r="Q40" s="476"/>
      <c r="R40" s="483"/>
      <c r="S40" s="474">
        <f t="shared" si="2"/>
        <v>0</v>
      </c>
    </row>
    <row r="41" spans="1:19">
      <c r="A41" s="472" t="s">
        <v>1582</v>
      </c>
      <c r="B41" s="902"/>
      <c r="C41" s="903" t="s">
        <v>1583</v>
      </c>
      <c r="D41" s="903"/>
      <c r="E41" s="476"/>
      <c r="F41" s="476"/>
      <c r="G41" s="476"/>
      <c r="H41" s="483"/>
      <c r="I41" s="474">
        <f t="shared" si="0"/>
        <v>0</v>
      </c>
      <c r="J41" s="476"/>
      <c r="K41" s="476"/>
      <c r="L41" s="476"/>
      <c r="M41" s="483"/>
      <c r="N41" s="474">
        <f t="shared" si="1"/>
        <v>0</v>
      </c>
      <c r="O41" s="476"/>
      <c r="P41" s="476"/>
      <c r="Q41" s="476"/>
      <c r="R41" s="483"/>
      <c r="S41" s="474">
        <f t="shared" si="2"/>
        <v>0</v>
      </c>
    </row>
    <row r="42" spans="1:19">
      <c r="A42" s="472" t="s">
        <v>1584</v>
      </c>
      <c r="B42" s="902"/>
      <c r="C42" s="904" t="s">
        <v>68</v>
      </c>
      <c r="D42" s="905"/>
      <c r="E42" s="476"/>
      <c r="F42" s="476"/>
      <c r="G42" s="476"/>
      <c r="H42" s="483"/>
      <c r="I42" s="474">
        <f t="shared" si="0"/>
        <v>0</v>
      </c>
      <c r="J42" s="476"/>
      <c r="K42" s="476"/>
      <c r="L42" s="476"/>
      <c r="M42" s="483"/>
      <c r="N42" s="474">
        <f t="shared" si="1"/>
        <v>0</v>
      </c>
      <c r="O42" s="476"/>
      <c r="P42" s="476"/>
      <c r="Q42" s="476"/>
      <c r="R42" s="483"/>
      <c r="S42" s="474">
        <f t="shared" si="2"/>
        <v>0</v>
      </c>
    </row>
    <row r="43" spans="1:19">
      <c r="A43" s="472" t="s">
        <v>1585</v>
      </c>
      <c r="B43" s="902"/>
      <c r="C43" s="903" t="s">
        <v>599</v>
      </c>
      <c r="D43" s="903"/>
      <c r="E43" s="473">
        <f>E39+E40+E41+E42</f>
        <v>0</v>
      </c>
      <c r="F43" s="473">
        <f>F39+F40+F41+F42</f>
        <v>0</v>
      </c>
      <c r="G43" s="473">
        <f>G39+G40+G41+G42</f>
        <v>0</v>
      </c>
      <c r="H43" s="481">
        <f>H39+H40+H41+H42</f>
        <v>0</v>
      </c>
      <c r="I43" s="474">
        <f t="shared" si="0"/>
        <v>0</v>
      </c>
      <c r="J43" s="473">
        <f>J39+J40+J41+J42</f>
        <v>0</v>
      </c>
      <c r="K43" s="473">
        <f>K39+K40+K41+K42</f>
        <v>0</v>
      </c>
      <c r="L43" s="473">
        <f>L39+L40+L41+L42</f>
        <v>0</v>
      </c>
      <c r="M43" s="481">
        <f>M39+M40+M41+M42</f>
        <v>0</v>
      </c>
      <c r="N43" s="474">
        <f t="shared" si="1"/>
        <v>0</v>
      </c>
      <c r="O43" s="473">
        <f>O39+O40+O41+O42</f>
        <v>0</v>
      </c>
      <c r="P43" s="473">
        <f>P39+P40+P41+P42</f>
        <v>0</v>
      </c>
      <c r="Q43" s="473">
        <f>Q39+Q40+Q41+Q42</f>
        <v>0</v>
      </c>
      <c r="R43" s="481">
        <f>R39+R40+R41+R42</f>
        <v>0</v>
      </c>
      <c r="S43" s="474">
        <f t="shared" si="2"/>
        <v>0</v>
      </c>
    </row>
    <row r="44" spans="1:19">
      <c r="A44" s="472" t="s">
        <v>1586</v>
      </c>
      <c r="B44" s="906" t="s">
        <v>1587</v>
      </c>
      <c r="C44" s="903" t="s">
        <v>1588</v>
      </c>
      <c r="D44" s="903"/>
      <c r="E44" s="476"/>
      <c r="F44" s="476"/>
      <c r="G44" s="476"/>
      <c r="H44" s="483"/>
      <c r="I44" s="474">
        <f t="shared" si="0"/>
        <v>0</v>
      </c>
      <c r="J44" s="476"/>
      <c r="K44" s="476"/>
      <c r="L44" s="476"/>
      <c r="M44" s="483"/>
      <c r="N44" s="474">
        <f t="shared" si="1"/>
        <v>0</v>
      </c>
      <c r="O44" s="476"/>
      <c r="P44" s="476"/>
      <c r="Q44" s="476"/>
      <c r="R44" s="483"/>
      <c r="S44" s="474">
        <f t="shared" si="2"/>
        <v>0</v>
      </c>
    </row>
    <row r="45" spans="1:19">
      <c r="A45" s="472" t="s">
        <v>1589</v>
      </c>
      <c r="B45" s="907"/>
      <c r="C45" s="903" t="s">
        <v>1590</v>
      </c>
      <c r="D45" s="903"/>
      <c r="E45" s="476"/>
      <c r="F45" s="476"/>
      <c r="G45" s="476"/>
      <c r="H45" s="483"/>
      <c r="I45" s="474">
        <f t="shared" si="0"/>
        <v>0</v>
      </c>
      <c r="J45" s="476"/>
      <c r="K45" s="476"/>
      <c r="L45" s="476"/>
      <c r="M45" s="483"/>
      <c r="N45" s="474">
        <f t="shared" si="1"/>
        <v>0</v>
      </c>
      <c r="O45" s="476"/>
      <c r="P45" s="476"/>
      <c r="Q45" s="476"/>
      <c r="R45" s="483"/>
      <c r="S45" s="474">
        <f t="shared" si="2"/>
        <v>0</v>
      </c>
    </row>
    <row r="46" spans="1:19">
      <c r="A46" s="472" t="s">
        <v>1591</v>
      </c>
      <c r="B46" s="907"/>
      <c r="C46" s="903" t="s">
        <v>68</v>
      </c>
      <c r="D46" s="903"/>
      <c r="E46" s="476"/>
      <c r="F46" s="476"/>
      <c r="G46" s="476"/>
      <c r="H46" s="483"/>
      <c r="I46" s="474">
        <f t="shared" si="0"/>
        <v>0</v>
      </c>
      <c r="J46" s="476"/>
      <c r="K46" s="476"/>
      <c r="L46" s="476"/>
      <c r="M46" s="483"/>
      <c r="N46" s="474">
        <f t="shared" si="1"/>
        <v>0</v>
      </c>
      <c r="O46" s="476"/>
      <c r="P46" s="476"/>
      <c r="Q46" s="476"/>
      <c r="R46" s="483"/>
      <c r="S46" s="474">
        <f t="shared" si="2"/>
        <v>0</v>
      </c>
    </row>
    <row r="47" spans="1:19">
      <c r="A47" s="472" t="s">
        <v>1592</v>
      </c>
      <c r="B47" s="907"/>
      <c r="C47" s="903" t="s">
        <v>599</v>
      </c>
      <c r="D47" s="903"/>
      <c r="E47" s="473">
        <f>E44+E45+E46</f>
        <v>0</v>
      </c>
      <c r="F47" s="473">
        <f>F44+F45+F46</f>
        <v>0</v>
      </c>
      <c r="G47" s="473">
        <f>G44+G45+G46</f>
        <v>0</v>
      </c>
      <c r="H47" s="481">
        <f>H44+H45+H46</f>
        <v>0</v>
      </c>
      <c r="I47" s="474">
        <f t="shared" si="0"/>
        <v>0</v>
      </c>
      <c r="J47" s="473">
        <f>J44+J45+J46</f>
        <v>0</v>
      </c>
      <c r="K47" s="473">
        <f>K44+K45+K46</f>
        <v>0</v>
      </c>
      <c r="L47" s="473">
        <f>L44+L45+L46</f>
        <v>0</v>
      </c>
      <c r="M47" s="481">
        <f>M44+M45+M46</f>
        <v>0</v>
      </c>
      <c r="N47" s="474">
        <f t="shared" si="1"/>
        <v>0</v>
      </c>
      <c r="O47" s="473">
        <f>O44+O45+O46</f>
        <v>0</v>
      </c>
      <c r="P47" s="473">
        <f>P44+P45+P46</f>
        <v>0</v>
      </c>
      <c r="Q47" s="473">
        <f>Q44+Q45+Q46</f>
        <v>0</v>
      </c>
      <c r="R47" s="481">
        <f>R44+R45+R46</f>
        <v>0</v>
      </c>
      <c r="S47" s="474">
        <f t="shared" si="2"/>
        <v>0</v>
      </c>
    </row>
    <row r="48" spans="1:19">
      <c r="A48" s="472" t="s">
        <v>1593</v>
      </c>
      <c r="B48" s="906" t="s">
        <v>1594</v>
      </c>
      <c r="C48" s="903" t="s">
        <v>1595</v>
      </c>
      <c r="D48" s="903"/>
      <c r="E48" s="476"/>
      <c r="F48" s="476"/>
      <c r="G48" s="476"/>
      <c r="H48" s="483"/>
      <c r="I48" s="474">
        <f t="shared" si="0"/>
        <v>0</v>
      </c>
      <c r="J48" s="476"/>
      <c r="K48" s="476"/>
      <c r="L48" s="476"/>
      <c r="M48" s="483"/>
      <c r="N48" s="474">
        <f t="shared" si="1"/>
        <v>0</v>
      </c>
      <c r="O48" s="476"/>
      <c r="P48" s="476"/>
      <c r="Q48" s="476"/>
      <c r="R48" s="483"/>
      <c r="S48" s="474">
        <f t="shared" si="2"/>
        <v>0</v>
      </c>
    </row>
    <row r="49" spans="1:19">
      <c r="A49" s="472" t="s">
        <v>1596</v>
      </c>
      <c r="B49" s="907"/>
      <c r="C49" s="903" t="s">
        <v>1597</v>
      </c>
      <c r="D49" s="903"/>
      <c r="E49" s="476"/>
      <c r="F49" s="476"/>
      <c r="G49" s="476"/>
      <c r="H49" s="483"/>
      <c r="I49" s="474">
        <f t="shared" si="0"/>
        <v>0</v>
      </c>
      <c r="J49" s="476"/>
      <c r="K49" s="476"/>
      <c r="L49" s="476"/>
      <c r="M49" s="483"/>
      <c r="N49" s="474">
        <f t="shared" si="1"/>
        <v>0</v>
      </c>
      <c r="O49" s="476"/>
      <c r="P49" s="476"/>
      <c r="Q49" s="476"/>
      <c r="R49" s="483"/>
      <c r="S49" s="474">
        <f t="shared" si="2"/>
        <v>0</v>
      </c>
    </row>
    <row r="50" spans="1:19">
      <c r="A50" s="472" t="s">
        <v>1598</v>
      </c>
      <c r="B50" s="907"/>
      <c r="C50" s="903" t="s">
        <v>1599</v>
      </c>
      <c r="D50" s="903"/>
      <c r="E50" s="476"/>
      <c r="F50" s="476"/>
      <c r="G50" s="476"/>
      <c r="H50" s="483"/>
      <c r="I50" s="474">
        <f t="shared" si="0"/>
        <v>0</v>
      </c>
      <c r="J50" s="476"/>
      <c r="K50" s="476"/>
      <c r="L50" s="476"/>
      <c r="M50" s="483"/>
      <c r="N50" s="474">
        <f t="shared" si="1"/>
        <v>0</v>
      </c>
      <c r="O50" s="476"/>
      <c r="P50" s="476"/>
      <c r="Q50" s="476"/>
      <c r="R50" s="483"/>
      <c r="S50" s="474">
        <f t="shared" si="2"/>
        <v>0</v>
      </c>
    </row>
    <row r="51" spans="1:19">
      <c r="A51" s="472" t="s">
        <v>1600</v>
      </c>
      <c r="B51" s="907"/>
      <c r="C51" s="903" t="s">
        <v>1601</v>
      </c>
      <c r="D51" s="903"/>
      <c r="E51" s="476"/>
      <c r="F51" s="476"/>
      <c r="G51" s="476"/>
      <c r="H51" s="483"/>
      <c r="I51" s="474">
        <f t="shared" si="0"/>
        <v>0</v>
      </c>
      <c r="J51" s="476"/>
      <c r="K51" s="476"/>
      <c r="L51" s="476"/>
      <c r="M51" s="483"/>
      <c r="N51" s="474">
        <f t="shared" si="1"/>
        <v>0</v>
      </c>
      <c r="O51" s="476"/>
      <c r="P51" s="476"/>
      <c r="Q51" s="476"/>
      <c r="R51" s="483"/>
      <c r="S51" s="474">
        <f t="shared" si="2"/>
        <v>0</v>
      </c>
    </row>
    <row r="52" spans="1:19">
      <c r="A52" s="472" t="s">
        <v>1602</v>
      </c>
      <c r="B52" s="907"/>
      <c r="C52" s="904" t="s">
        <v>1603</v>
      </c>
      <c r="D52" s="905"/>
      <c r="E52" s="476"/>
      <c r="F52" s="476"/>
      <c r="G52" s="476"/>
      <c r="H52" s="483"/>
      <c r="I52" s="474">
        <f t="shared" si="0"/>
        <v>0</v>
      </c>
      <c r="J52" s="476"/>
      <c r="K52" s="476"/>
      <c r="L52" s="476"/>
      <c r="M52" s="483"/>
      <c r="N52" s="474">
        <f t="shared" si="1"/>
        <v>0</v>
      </c>
      <c r="O52" s="476"/>
      <c r="P52" s="476"/>
      <c r="Q52" s="476"/>
      <c r="R52" s="483"/>
      <c r="S52" s="474">
        <f t="shared" si="2"/>
        <v>0</v>
      </c>
    </row>
    <row r="53" spans="1:19">
      <c r="A53" s="472" t="s">
        <v>1604</v>
      </c>
      <c r="B53" s="907"/>
      <c r="C53" s="903" t="s">
        <v>68</v>
      </c>
      <c r="D53" s="903"/>
      <c r="E53" s="476"/>
      <c r="F53" s="476"/>
      <c r="G53" s="476"/>
      <c r="H53" s="483"/>
      <c r="I53" s="474">
        <f t="shared" si="0"/>
        <v>0</v>
      </c>
      <c r="J53" s="476"/>
      <c r="K53" s="476"/>
      <c r="L53" s="476"/>
      <c r="M53" s="483"/>
      <c r="N53" s="474">
        <f t="shared" si="1"/>
        <v>0</v>
      </c>
      <c r="O53" s="476"/>
      <c r="P53" s="476"/>
      <c r="Q53" s="476"/>
      <c r="R53" s="483"/>
      <c r="S53" s="474">
        <f t="shared" si="2"/>
        <v>0</v>
      </c>
    </row>
    <row r="54" spans="1:19">
      <c r="A54" s="472" t="s">
        <v>1605</v>
      </c>
      <c r="B54" s="909"/>
      <c r="C54" s="903" t="s">
        <v>599</v>
      </c>
      <c r="D54" s="903"/>
      <c r="E54" s="473">
        <f>E48+E49+E50+E51+E52+E53</f>
        <v>0</v>
      </c>
      <c r="F54" s="473">
        <f>F48+F49+F50+F51+F52+F53</f>
        <v>0</v>
      </c>
      <c r="G54" s="473">
        <f>G48+G49+G50+G51+G52+G53</f>
        <v>0</v>
      </c>
      <c r="H54" s="481">
        <f>H48+H49+H50+H51+H52+H53</f>
        <v>0</v>
      </c>
      <c r="I54" s="474">
        <f t="shared" si="0"/>
        <v>0</v>
      </c>
      <c r="J54" s="473">
        <f>J48+J49+J50+J51+J52+J53</f>
        <v>0</v>
      </c>
      <c r="K54" s="473">
        <f>K48+K49+K50+K51+K52+K53</f>
        <v>0</v>
      </c>
      <c r="L54" s="473">
        <f>L48+L49+L50+L51+L52+L53</f>
        <v>0</v>
      </c>
      <c r="M54" s="481">
        <f>M48+M49+M50+M51+M52+M53</f>
        <v>0</v>
      </c>
      <c r="N54" s="474">
        <f t="shared" si="1"/>
        <v>0</v>
      </c>
      <c r="O54" s="473">
        <f>O48+O49+O50+O51+O52+O53</f>
        <v>0</v>
      </c>
      <c r="P54" s="473">
        <f>P48+P49+P50+P51+P52+P53</f>
        <v>0</v>
      </c>
      <c r="Q54" s="473">
        <f>Q48+Q49+Q50+Q51+Q52+Q53</f>
        <v>0</v>
      </c>
      <c r="R54" s="481">
        <f>R48+R49+R50+R51+R52+R53</f>
        <v>0</v>
      </c>
      <c r="S54" s="474">
        <f t="shared" si="2"/>
        <v>0</v>
      </c>
    </row>
    <row r="55" spans="1:19">
      <c r="A55" s="472" t="s">
        <v>112</v>
      </c>
      <c r="B55" s="906" t="s">
        <v>68</v>
      </c>
      <c r="C55" s="903" t="s">
        <v>1606</v>
      </c>
      <c r="D55" s="903"/>
      <c r="E55" s="476"/>
      <c r="F55" s="476"/>
      <c r="G55" s="476"/>
      <c r="H55" s="483"/>
      <c r="I55" s="474">
        <f t="shared" si="0"/>
        <v>0</v>
      </c>
      <c r="J55" s="476"/>
      <c r="K55" s="476"/>
      <c r="L55" s="476"/>
      <c r="M55" s="483"/>
      <c r="N55" s="474">
        <f t="shared" si="1"/>
        <v>0</v>
      </c>
      <c r="O55" s="476"/>
      <c r="P55" s="476"/>
      <c r="Q55" s="476"/>
      <c r="R55" s="483"/>
      <c r="S55" s="474">
        <f t="shared" si="2"/>
        <v>0</v>
      </c>
    </row>
    <row r="56" spans="1:19">
      <c r="A56" s="472" t="s">
        <v>115</v>
      </c>
      <c r="B56" s="907"/>
      <c r="C56" s="903" t="s">
        <v>1607</v>
      </c>
      <c r="D56" s="903"/>
      <c r="E56" s="476"/>
      <c r="F56" s="476"/>
      <c r="G56" s="476"/>
      <c r="H56" s="483"/>
      <c r="I56" s="474">
        <f t="shared" si="0"/>
        <v>0</v>
      </c>
      <c r="J56" s="476"/>
      <c r="K56" s="476"/>
      <c r="L56" s="476"/>
      <c r="M56" s="483"/>
      <c r="N56" s="474">
        <f t="shared" si="1"/>
        <v>0</v>
      </c>
      <c r="O56" s="476"/>
      <c r="P56" s="476"/>
      <c r="Q56" s="476"/>
      <c r="R56" s="483"/>
      <c r="S56" s="474">
        <f t="shared" si="2"/>
        <v>0</v>
      </c>
    </row>
    <row r="57" spans="1:19">
      <c r="A57" s="472" t="s">
        <v>117</v>
      </c>
      <c r="B57" s="907"/>
      <c r="C57" s="903" t="s">
        <v>1608</v>
      </c>
      <c r="D57" s="903"/>
      <c r="E57" s="476"/>
      <c r="F57" s="476"/>
      <c r="G57" s="476"/>
      <c r="H57" s="483"/>
      <c r="I57" s="474">
        <f t="shared" si="0"/>
        <v>0</v>
      </c>
      <c r="J57" s="476"/>
      <c r="K57" s="476"/>
      <c r="L57" s="476"/>
      <c r="M57" s="483"/>
      <c r="N57" s="474">
        <f t="shared" si="1"/>
        <v>0</v>
      </c>
      <c r="O57" s="476"/>
      <c r="P57" s="476"/>
      <c r="Q57" s="476"/>
      <c r="R57" s="483"/>
      <c r="S57" s="474">
        <f t="shared" si="2"/>
        <v>0</v>
      </c>
    </row>
    <row r="58" spans="1:19">
      <c r="A58" s="472" t="s">
        <v>119</v>
      </c>
      <c r="B58" s="907"/>
      <c r="C58" s="903" t="s">
        <v>1609</v>
      </c>
      <c r="D58" s="903"/>
      <c r="E58" s="476"/>
      <c r="F58" s="476"/>
      <c r="G58" s="476"/>
      <c r="H58" s="483"/>
      <c r="I58" s="474">
        <f t="shared" si="0"/>
        <v>0</v>
      </c>
      <c r="J58" s="476"/>
      <c r="K58" s="476"/>
      <c r="L58" s="476"/>
      <c r="M58" s="483"/>
      <c r="N58" s="474">
        <f t="shared" si="1"/>
        <v>0</v>
      </c>
      <c r="O58" s="476"/>
      <c r="P58" s="476"/>
      <c r="Q58" s="476"/>
      <c r="R58" s="483"/>
      <c r="S58" s="474">
        <f t="shared" si="2"/>
        <v>0</v>
      </c>
    </row>
    <row r="59" spans="1:19">
      <c r="A59" s="472" t="s">
        <v>121</v>
      </c>
      <c r="B59" s="907"/>
      <c r="C59" s="903" t="s">
        <v>1610</v>
      </c>
      <c r="D59" s="903"/>
      <c r="E59" s="476"/>
      <c r="F59" s="476"/>
      <c r="G59" s="476"/>
      <c r="H59" s="483"/>
      <c r="I59" s="474">
        <f t="shared" si="0"/>
        <v>0</v>
      </c>
      <c r="J59" s="476"/>
      <c r="K59" s="476"/>
      <c r="L59" s="476"/>
      <c r="M59" s="483"/>
      <c r="N59" s="474">
        <f t="shared" si="1"/>
        <v>0</v>
      </c>
      <c r="O59" s="476"/>
      <c r="P59" s="476"/>
      <c r="Q59" s="476"/>
      <c r="R59" s="483"/>
      <c r="S59" s="474">
        <f t="shared" si="2"/>
        <v>0</v>
      </c>
    </row>
    <row r="60" spans="1:19">
      <c r="A60" s="472" t="s">
        <v>123</v>
      </c>
      <c r="B60" s="907"/>
      <c r="C60" s="903" t="s">
        <v>1611</v>
      </c>
      <c r="D60" s="903"/>
      <c r="E60" s="476"/>
      <c r="F60" s="476"/>
      <c r="G60" s="476"/>
      <c r="H60" s="483"/>
      <c r="I60" s="474">
        <f t="shared" si="0"/>
        <v>0</v>
      </c>
      <c r="J60" s="476"/>
      <c r="K60" s="476"/>
      <c r="L60" s="476"/>
      <c r="M60" s="483"/>
      <c r="N60" s="474">
        <f t="shared" si="1"/>
        <v>0</v>
      </c>
      <c r="O60" s="476"/>
      <c r="P60" s="476"/>
      <c r="Q60" s="476"/>
      <c r="R60" s="483"/>
      <c r="S60" s="474">
        <f t="shared" si="2"/>
        <v>0</v>
      </c>
    </row>
    <row r="61" spans="1:19">
      <c r="A61" s="472" t="s">
        <v>125</v>
      </c>
      <c r="B61" s="907"/>
      <c r="C61" s="903" t="s">
        <v>1612</v>
      </c>
      <c r="D61" s="903"/>
      <c r="E61" s="476"/>
      <c r="F61" s="476"/>
      <c r="G61" s="476"/>
      <c r="H61" s="483"/>
      <c r="I61" s="474">
        <f t="shared" si="0"/>
        <v>0</v>
      </c>
      <c r="J61" s="476"/>
      <c r="K61" s="476"/>
      <c r="L61" s="476"/>
      <c r="M61" s="483"/>
      <c r="N61" s="474">
        <f t="shared" si="1"/>
        <v>0</v>
      </c>
      <c r="O61" s="476"/>
      <c r="P61" s="476"/>
      <c r="Q61" s="476"/>
      <c r="R61" s="483"/>
      <c r="S61" s="474">
        <f t="shared" si="2"/>
        <v>0</v>
      </c>
    </row>
    <row r="62" spans="1:19">
      <c r="A62" s="472" t="s">
        <v>127</v>
      </c>
      <c r="B62" s="907"/>
      <c r="C62" s="903" t="s">
        <v>68</v>
      </c>
      <c r="D62" s="903"/>
      <c r="E62" s="476"/>
      <c r="F62" s="476"/>
      <c r="G62" s="476"/>
      <c r="H62" s="483"/>
      <c r="I62" s="474">
        <f t="shared" si="0"/>
        <v>0</v>
      </c>
      <c r="J62" s="476"/>
      <c r="K62" s="476"/>
      <c r="L62" s="476"/>
      <c r="M62" s="483"/>
      <c r="N62" s="474">
        <f t="shared" si="1"/>
        <v>0</v>
      </c>
      <c r="O62" s="476"/>
      <c r="P62" s="476"/>
      <c r="Q62" s="476"/>
      <c r="R62" s="483"/>
      <c r="S62" s="474">
        <f t="shared" si="2"/>
        <v>0</v>
      </c>
    </row>
    <row r="63" spans="1:19">
      <c r="A63" s="472" t="s">
        <v>1359</v>
      </c>
      <c r="B63" s="909"/>
      <c r="C63" s="903" t="s">
        <v>599</v>
      </c>
      <c r="D63" s="903"/>
      <c r="E63" s="473">
        <f>E55+E56+E57+E58+E59+E60+E61+E62</f>
        <v>0</v>
      </c>
      <c r="F63" s="473">
        <f>F55+F56+F57+F58+F59+F60+F61+F62</f>
        <v>0</v>
      </c>
      <c r="G63" s="473">
        <f>G55+G56+G57+G58+G59+G60+G61+G62</f>
        <v>0</v>
      </c>
      <c r="H63" s="481">
        <f>H55+H56+H57+H58+H59+H60+H61+H62</f>
        <v>0</v>
      </c>
      <c r="I63" s="474">
        <f t="shared" si="0"/>
        <v>0</v>
      </c>
      <c r="J63" s="473">
        <f>J55+J56+J57+J58+J59+J60+J61+J62</f>
        <v>0</v>
      </c>
      <c r="K63" s="473">
        <f>K55+K56+K57+K58+K59+K60+K61+K62</f>
        <v>0</v>
      </c>
      <c r="L63" s="473">
        <f>L55+L56+L57+L58+L59+L60+L61+L62</f>
        <v>0</v>
      </c>
      <c r="M63" s="481">
        <f>M55+M56+M57+M58+M59+M60+M61+M62</f>
        <v>0</v>
      </c>
      <c r="N63" s="474">
        <f t="shared" si="1"/>
        <v>0</v>
      </c>
      <c r="O63" s="473">
        <f>O55+O56+O57+O58+O59+O60+O61+O62</f>
        <v>0</v>
      </c>
      <c r="P63" s="473">
        <f>P55+P56+P57+P58+P59+P60+P61+P62</f>
        <v>0</v>
      </c>
      <c r="Q63" s="473">
        <f>Q55+Q56+Q57+Q58+Q59+Q60+Q61+Q62</f>
        <v>0</v>
      </c>
      <c r="R63" s="481">
        <f>R55+R56+R57+R58+R59+R60+R61+R62</f>
        <v>0</v>
      </c>
      <c r="S63" s="474">
        <f t="shared" si="2"/>
        <v>0</v>
      </c>
    </row>
    <row r="64" spans="1:19">
      <c r="A64" s="472" t="s">
        <v>166</v>
      </c>
      <c r="B64" s="908" t="s">
        <v>78</v>
      </c>
      <c r="C64" s="908"/>
      <c r="D64" s="908"/>
      <c r="E64" s="477">
        <f t="shared" ref="E64:Q64" si="8">E16+E21+E27+E33+E38+E43+E47+E54+E63</f>
        <v>0</v>
      </c>
      <c r="F64" s="477">
        <f t="shared" si="8"/>
        <v>0</v>
      </c>
      <c r="G64" s="477">
        <f t="shared" si="8"/>
        <v>0</v>
      </c>
      <c r="H64" s="484">
        <f t="shared" ref="H64" si="9">H16+H21+H27+H33+H38+H43+H47+H54+H63</f>
        <v>0</v>
      </c>
      <c r="I64" s="474">
        <f t="shared" si="0"/>
        <v>0</v>
      </c>
      <c r="J64" s="477">
        <f t="shared" si="8"/>
        <v>0</v>
      </c>
      <c r="K64" s="477">
        <f t="shared" si="8"/>
        <v>0</v>
      </c>
      <c r="L64" s="477">
        <f t="shared" si="8"/>
        <v>0</v>
      </c>
      <c r="M64" s="484">
        <f t="shared" ref="M64" si="10">M16+M21+M27+M33+M38+M43+M47+M54+M63</f>
        <v>0</v>
      </c>
      <c r="N64" s="474">
        <f t="shared" si="1"/>
        <v>0</v>
      </c>
      <c r="O64" s="477">
        <f t="shared" si="8"/>
        <v>0</v>
      </c>
      <c r="P64" s="477">
        <f t="shared" si="8"/>
        <v>0</v>
      </c>
      <c r="Q64" s="477">
        <f t="shared" si="8"/>
        <v>0</v>
      </c>
      <c r="R64" s="484">
        <f t="shared" ref="R64" si="11">R16+R21+R27+R33+R38+R43+R47+R54+R63</f>
        <v>0</v>
      </c>
      <c r="S64" s="474">
        <f t="shared" si="2"/>
        <v>0</v>
      </c>
    </row>
    <row r="65" spans="1:7" ht="36" customHeight="1">
      <c r="A65" s="375" t="s">
        <v>547</v>
      </c>
    </row>
    <row r="66" spans="1:7" ht="36" customHeight="1">
      <c r="A66" s="478" t="s">
        <v>59</v>
      </c>
      <c r="C66" s="464"/>
      <c r="D66" s="464"/>
    </row>
    <row r="67" spans="1:7">
      <c r="A67" s="323" t="s">
        <v>1613</v>
      </c>
    </row>
    <row r="68" spans="1:7">
      <c r="A68" s="323" t="s">
        <v>1614</v>
      </c>
      <c r="C68" s="464"/>
      <c r="D68" s="464"/>
    </row>
    <row r="69" spans="1:7">
      <c r="A69" s="5" t="s">
        <v>781</v>
      </c>
      <c r="C69" s="464"/>
      <c r="D69" s="464"/>
    </row>
    <row r="70" spans="1:7">
      <c r="A70" s="351" t="s">
        <v>1687</v>
      </c>
      <c r="B70" s="485"/>
      <c r="C70" s="486"/>
      <c r="D70" s="486"/>
      <c r="E70" s="485"/>
      <c r="F70" s="485"/>
      <c r="G70" s="485"/>
    </row>
    <row r="72" spans="1:7">
      <c r="A72" s="375" t="s">
        <v>173</v>
      </c>
    </row>
    <row r="73" spans="1:7">
      <c r="A73" s="323" t="s">
        <v>1615</v>
      </c>
    </row>
    <row r="74" spans="1:7">
      <c r="A74" s="351" t="s">
        <v>1747</v>
      </c>
      <c r="B74" s="485"/>
      <c r="C74" s="486"/>
      <c r="D74" s="486"/>
    </row>
  </sheetData>
  <mergeCells count="67">
    <mergeCell ref="C61:D61"/>
    <mergeCell ref="C62:D62"/>
    <mergeCell ref="C63:D63"/>
    <mergeCell ref="B64:D64"/>
    <mergeCell ref="C52:D52"/>
    <mergeCell ref="C53:D53"/>
    <mergeCell ref="C54:D54"/>
    <mergeCell ref="B55:B63"/>
    <mergeCell ref="C55:D55"/>
    <mergeCell ref="C56:D56"/>
    <mergeCell ref="C57:D57"/>
    <mergeCell ref="C58:D58"/>
    <mergeCell ref="C59:D59"/>
    <mergeCell ref="C60:D60"/>
    <mergeCell ref="B48:B54"/>
    <mergeCell ref="C48:D48"/>
    <mergeCell ref="C49:D49"/>
    <mergeCell ref="C50:D50"/>
    <mergeCell ref="C51:D51"/>
    <mergeCell ref="B39:B43"/>
    <mergeCell ref="C39:D39"/>
    <mergeCell ref="C40:D40"/>
    <mergeCell ref="C41:D41"/>
    <mergeCell ref="C42:D42"/>
    <mergeCell ref="C43:D43"/>
    <mergeCell ref="B44:B47"/>
    <mergeCell ref="C44:D44"/>
    <mergeCell ref="C45:D45"/>
    <mergeCell ref="C46:D46"/>
    <mergeCell ref="C47:D47"/>
    <mergeCell ref="B34:B38"/>
    <mergeCell ref="C34:D34"/>
    <mergeCell ref="C35:D35"/>
    <mergeCell ref="C36:D36"/>
    <mergeCell ref="C37:D37"/>
    <mergeCell ref="C38:D38"/>
    <mergeCell ref="B28:B33"/>
    <mergeCell ref="C28:D28"/>
    <mergeCell ref="C29:D29"/>
    <mergeCell ref="C30:D30"/>
    <mergeCell ref="C31:D31"/>
    <mergeCell ref="C32:D32"/>
    <mergeCell ref="C33:D33"/>
    <mergeCell ref="B22:B27"/>
    <mergeCell ref="C22:D22"/>
    <mergeCell ref="C23:D23"/>
    <mergeCell ref="C24:D24"/>
    <mergeCell ref="C25:D25"/>
    <mergeCell ref="C26:D26"/>
    <mergeCell ref="C27:D27"/>
    <mergeCell ref="B17:B21"/>
    <mergeCell ref="C17:D17"/>
    <mergeCell ref="C18:D18"/>
    <mergeCell ref="C19:D19"/>
    <mergeCell ref="C20:D20"/>
    <mergeCell ref="C21:D21"/>
    <mergeCell ref="A8:D10"/>
    <mergeCell ref="E9:I9"/>
    <mergeCell ref="J9:N9"/>
    <mergeCell ref="O9:S9"/>
    <mergeCell ref="B11:B16"/>
    <mergeCell ref="C11:D11"/>
    <mergeCell ref="C12:D12"/>
    <mergeCell ref="C13:D13"/>
    <mergeCell ref="C14:D14"/>
    <mergeCell ref="C15:D15"/>
    <mergeCell ref="C16:D16"/>
  </mergeCells>
  <phoneticPr fontId="6" type="noConversion"/>
  <pageMargins left="0.7" right="0.7" top="0.75" bottom="0.75" header="0.3" footer="0.3"/>
  <pageSetup paperSize="9" scale="47" orientation="portrait" r:id="rId1"/>
  <drawing r:id="rId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56D4EC-E899-4AEE-BDCD-31723E33FEC6}">
  <sheetPr codeName="Sheet32">
    <tabColor theme="0" tint="-0.249977111117893"/>
    <pageSetUpPr fitToPage="1"/>
  </sheetPr>
  <dimension ref="A1:J48"/>
  <sheetViews>
    <sheetView view="pageBreakPreview" zoomScale="85" zoomScaleNormal="100" zoomScaleSheetLayoutView="85" workbookViewId="0">
      <pane xSplit="4" ySplit="10" topLeftCell="E11" activePane="bottomRight" state="frozen"/>
      <selection pane="topRight" activeCell="E1" sqref="E1"/>
      <selection pane="bottomLeft" activeCell="A11" sqref="A11"/>
      <selection pane="bottomRight" activeCell="J16" sqref="J16"/>
    </sheetView>
  </sheetViews>
  <sheetFormatPr defaultColWidth="8.8984375" defaultRowHeight="14.4"/>
  <cols>
    <col min="1" max="1" width="6.796875" style="7" customWidth="1"/>
    <col min="2" max="2" width="8.8984375" style="5"/>
    <col min="3" max="3" width="11.09765625" style="5" customWidth="1"/>
    <col min="4" max="4" width="18.296875" style="5" bestFit="1" customWidth="1"/>
    <col min="5" max="10" width="12.296875" style="5" customWidth="1"/>
    <col min="11" max="16384" width="8.8984375" style="5"/>
  </cols>
  <sheetData>
    <row r="1" spans="1:10">
      <c r="A1" s="5"/>
    </row>
    <row r="2" spans="1:10">
      <c r="A2" s="5"/>
    </row>
    <row r="3" spans="1:10">
      <c r="A3" s="5"/>
    </row>
    <row r="4" spans="1:10">
      <c r="A4" s="5"/>
    </row>
    <row r="5" spans="1:10" ht="20.399999999999999">
      <c r="A5" s="8" t="s">
        <v>691</v>
      </c>
      <c r="B5" s="63"/>
      <c r="C5" s="63"/>
      <c r="D5" s="63"/>
      <c r="E5" s="63"/>
      <c r="F5" s="63"/>
    </row>
    <row r="7" spans="1:10">
      <c r="A7" s="9" t="s">
        <v>692</v>
      </c>
      <c r="J7" s="64"/>
    </row>
    <row r="8" spans="1:10">
      <c r="A8" s="776" t="s">
        <v>555</v>
      </c>
      <c r="B8" s="842"/>
      <c r="C8" s="842"/>
      <c r="D8" s="777"/>
      <c r="E8" s="66" t="s">
        <v>693</v>
      </c>
      <c r="F8" s="66" t="s">
        <v>694</v>
      </c>
      <c r="G8" s="66" t="s">
        <v>695</v>
      </c>
      <c r="H8" s="66" t="s">
        <v>696</v>
      </c>
      <c r="I8" s="66" t="s">
        <v>657</v>
      </c>
      <c r="J8" s="66" t="s">
        <v>697</v>
      </c>
    </row>
    <row r="9" spans="1:10">
      <c r="A9" s="778"/>
      <c r="B9" s="843"/>
      <c r="C9" s="843"/>
      <c r="D9" s="779"/>
      <c r="E9" s="911" t="s">
        <v>698</v>
      </c>
      <c r="F9" s="911"/>
      <c r="G9" s="911" t="s">
        <v>699</v>
      </c>
      <c r="H9" s="911"/>
      <c r="I9" s="911" t="s">
        <v>700</v>
      </c>
      <c r="J9" s="911"/>
    </row>
    <row r="10" spans="1:10" ht="28.8">
      <c r="A10" s="819"/>
      <c r="B10" s="910"/>
      <c r="C10" s="910"/>
      <c r="D10" s="820"/>
      <c r="E10" s="68" t="s">
        <v>701</v>
      </c>
      <c r="F10" s="66" t="s">
        <v>702</v>
      </c>
      <c r="G10" s="68" t="s">
        <v>701</v>
      </c>
      <c r="H10" s="66" t="s">
        <v>702</v>
      </c>
      <c r="I10" s="68" t="s">
        <v>701</v>
      </c>
      <c r="J10" s="66" t="s">
        <v>702</v>
      </c>
    </row>
    <row r="11" spans="1:10">
      <c r="A11" s="66" t="s">
        <v>693</v>
      </c>
      <c r="B11" s="821" t="s">
        <v>703</v>
      </c>
      <c r="C11" s="913" t="s">
        <v>704</v>
      </c>
      <c r="D11" s="914"/>
      <c r="E11" s="70"/>
      <c r="F11" s="71"/>
      <c r="G11" s="70"/>
      <c r="H11" s="71"/>
      <c r="I11" s="70"/>
      <c r="J11" s="71">
        <f>H11-F11</f>
        <v>0</v>
      </c>
    </row>
    <row r="12" spans="1:10">
      <c r="A12" s="66" t="s">
        <v>694</v>
      </c>
      <c r="B12" s="912"/>
      <c r="C12" s="915" t="s">
        <v>68</v>
      </c>
      <c r="D12" s="916"/>
      <c r="E12" s="71"/>
      <c r="F12" s="71"/>
      <c r="G12" s="71"/>
      <c r="H12" s="71"/>
      <c r="I12" s="71"/>
      <c r="J12" s="71">
        <f t="shared" ref="J12:J37" si="0">H12-F12</f>
        <v>0</v>
      </c>
    </row>
    <row r="13" spans="1:10">
      <c r="A13" s="66" t="s">
        <v>556</v>
      </c>
      <c r="B13" s="841"/>
      <c r="C13" s="915" t="s">
        <v>599</v>
      </c>
      <c r="D13" s="916"/>
      <c r="E13" s="71"/>
      <c r="F13" s="71">
        <f>F11+F12</f>
        <v>0</v>
      </c>
      <c r="G13" s="71"/>
      <c r="H13" s="71">
        <f>H11+H12</f>
        <v>0</v>
      </c>
      <c r="I13" s="71"/>
      <c r="J13" s="71">
        <f t="shared" si="0"/>
        <v>0</v>
      </c>
    </row>
    <row r="14" spans="1:10">
      <c r="A14" s="66" t="s">
        <v>705</v>
      </c>
      <c r="B14" s="826" t="s">
        <v>706</v>
      </c>
      <c r="C14" s="915" t="s">
        <v>707</v>
      </c>
      <c r="D14" s="916"/>
      <c r="E14" s="71"/>
      <c r="F14" s="71"/>
      <c r="G14" s="71"/>
      <c r="H14" s="71"/>
      <c r="I14" s="71">
        <f t="shared" ref="I14:I37" si="1">E14+G14</f>
        <v>0</v>
      </c>
      <c r="J14" s="71">
        <f t="shared" si="0"/>
        <v>0</v>
      </c>
    </row>
    <row r="15" spans="1:10">
      <c r="A15" s="66" t="s">
        <v>708</v>
      </c>
      <c r="B15" s="826"/>
      <c r="C15" s="911" t="s">
        <v>709</v>
      </c>
      <c r="D15" s="73" t="s">
        <v>710</v>
      </c>
      <c r="E15" s="71"/>
      <c r="F15" s="71"/>
      <c r="G15" s="71"/>
      <c r="H15" s="71"/>
      <c r="I15" s="71">
        <f t="shared" si="1"/>
        <v>0</v>
      </c>
      <c r="J15" s="71">
        <f t="shared" si="0"/>
        <v>0</v>
      </c>
    </row>
    <row r="16" spans="1:10">
      <c r="A16" s="66" t="s">
        <v>711</v>
      </c>
      <c r="B16" s="826"/>
      <c r="C16" s="911"/>
      <c r="D16" s="73" t="s">
        <v>712</v>
      </c>
      <c r="E16" s="71"/>
      <c r="F16" s="71"/>
      <c r="G16" s="71"/>
      <c r="H16" s="71"/>
      <c r="I16" s="71">
        <f t="shared" si="1"/>
        <v>0</v>
      </c>
      <c r="J16" s="71">
        <f t="shared" si="0"/>
        <v>0</v>
      </c>
    </row>
    <row r="17" spans="1:10">
      <c r="A17" s="66" t="s">
        <v>713</v>
      </c>
      <c r="B17" s="826"/>
      <c r="C17" s="911"/>
      <c r="D17" s="73" t="s">
        <v>714</v>
      </c>
      <c r="E17" s="71"/>
      <c r="F17" s="71"/>
      <c r="G17" s="71"/>
      <c r="H17" s="71"/>
      <c r="I17" s="71">
        <f t="shared" si="1"/>
        <v>0</v>
      </c>
      <c r="J17" s="71">
        <f t="shared" si="0"/>
        <v>0</v>
      </c>
    </row>
    <row r="18" spans="1:10">
      <c r="A18" s="66" t="s">
        <v>715</v>
      </c>
      <c r="B18" s="826"/>
      <c r="C18" s="911"/>
      <c r="D18" s="73" t="s">
        <v>716</v>
      </c>
      <c r="E18" s="71"/>
      <c r="F18" s="71"/>
      <c r="G18" s="71"/>
      <c r="H18" s="71"/>
      <c r="I18" s="71">
        <f t="shared" si="1"/>
        <v>0</v>
      </c>
      <c r="J18" s="71">
        <f t="shared" si="0"/>
        <v>0</v>
      </c>
    </row>
    <row r="19" spans="1:10">
      <c r="A19" s="66" t="s">
        <v>717</v>
      </c>
      <c r="B19" s="826"/>
      <c r="C19" s="911"/>
      <c r="D19" s="73" t="s">
        <v>718</v>
      </c>
      <c r="E19" s="71"/>
      <c r="F19" s="71"/>
      <c r="G19" s="71"/>
      <c r="H19" s="71"/>
      <c r="I19" s="71">
        <f t="shared" si="1"/>
        <v>0</v>
      </c>
      <c r="J19" s="71">
        <f t="shared" si="0"/>
        <v>0</v>
      </c>
    </row>
    <row r="20" spans="1:10">
      <c r="A20" s="66" t="s">
        <v>719</v>
      </c>
      <c r="B20" s="826"/>
      <c r="C20" s="911"/>
      <c r="D20" s="73" t="s">
        <v>720</v>
      </c>
      <c r="E20" s="71"/>
      <c r="F20" s="71"/>
      <c r="G20" s="71"/>
      <c r="H20" s="71"/>
      <c r="I20" s="71">
        <f t="shared" si="1"/>
        <v>0</v>
      </c>
      <c r="J20" s="71">
        <f t="shared" si="0"/>
        <v>0</v>
      </c>
    </row>
    <row r="21" spans="1:10">
      <c r="A21" s="66" t="s">
        <v>721</v>
      </c>
      <c r="B21" s="826"/>
      <c r="C21" s="911"/>
      <c r="D21" s="73" t="s">
        <v>599</v>
      </c>
      <c r="E21" s="71">
        <f>E15+E16+E17+E18+E19+E20</f>
        <v>0</v>
      </c>
      <c r="F21" s="71">
        <f>F15+F16+F17+F18+F19+F20</f>
        <v>0</v>
      </c>
      <c r="G21" s="71">
        <f>G15+G16+G17+G18+G19+G20</f>
        <v>0</v>
      </c>
      <c r="H21" s="71">
        <f>H15+H16+H17+H18+H19+H20</f>
        <v>0</v>
      </c>
      <c r="I21" s="71">
        <f t="shared" si="1"/>
        <v>0</v>
      </c>
      <c r="J21" s="71">
        <f t="shared" si="0"/>
        <v>0</v>
      </c>
    </row>
    <row r="22" spans="1:10">
      <c r="A22" s="66" t="s">
        <v>722</v>
      </c>
      <c r="B22" s="826"/>
      <c r="C22" s="915" t="s">
        <v>723</v>
      </c>
      <c r="D22" s="916"/>
      <c r="E22" s="71"/>
      <c r="F22" s="71"/>
      <c r="G22" s="71"/>
      <c r="H22" s="71"/>
      <c r="I22" s="71">
        <f t="shared" si="1"/>
        <v>0</v>
      </c>
      <c r="J22" s="71">
        <f t="shared" si="0"/>
        <v>0</v>
      </c>
    </row>
    <row r="23" spans="1:10" s="12" customFormat="1">
      <c r="A23" s="66" t="s">
        <v>724</v>
      </c>
      <c r="B23" s="826"/>
      <c r="C23" s="915" t="s">
        <v>725</v>
      </c>
      <c r="D23" s="916"/>
      <c r="E23" s="74"/>
      <c r="F23" s="74"/>
      <c r="G23" s="74"/>
      <c r="H23" s="74"/>
      <c r="I23" s="71">
        <f t="shared" si="1"/>
        <v>0</v>
      </c>
      <c r="J23" s="71">
        <f t="shared" si="0"/>
        <v>0</v>
      </c>
    </row>
    <row r="24" spans="1:10" s="12" customFormat="1">
      <c r="A24" s="66" t="s">
        <v>726</v>
      </c>
      <c r="B24" s="826"/>
      <c r="C24" s="915" t="s">
        <v>727</v>
      </c>
      <c r="D24" s="916"/>
      <c r="E24" s="74"/>
      <c r="F24" s="74"/>
      <c r="G24" s="74"/>
      <c r="H24" s="74"/>
      <c r="I24" s="71">
        <f t="shared" si="1"/>
        <v>0</v>
      </c>
      <c r="J24" s="71">
        <f t="shared" si="0"/>
        <v>0</v>
      </c>
    </row>
    <row r="25" spans="1:10">
      <c r="A25" s="66" t="s">
        <v>728</v>
      </c>
      <c r="B25" s="826"/>
      <c r="C25" s="915" t="s">
        <v>729</v>
      </c>
      <c r="D25" s="916"/>
      <c r="E25" s="71"/>
      <c r="F25" s="71"/>
      <c r="G25" s="71"/>
      <c r="H25" s="71"/>
      <c r="I25" s="71">
        <f t="shared" si="1"/>
        <v>0</v>
      </c>
      <c r="J25" s="71">
        <f t="shared" si="0"/>
        <v>0</v>
      </c>
    </row>
    <row r="26" spans="1:10">
      <c r="A26" s="66" t="s">
        <v>558</v>
      </c>
      <c r="B26" s="841"/>
      <c r="C26" s="915" t="s">
        <v>599</v>
      </c>
      <c r="D26" s="916"/>
      <c r="E26" s="71">
        <f>E14+E21+E22+E23+E24+E25</f>
        <v>0</v>
      </c>
      <c r="F26" s="71">
        <f>F14+F21+F22+F23+F24+F25</f>
        <v>0</v>
      </c>
      <c r="G26" s="71">
        <f>G14+G21+G22+G23+G24+G25</f>
        <v>0</v>
      </c>
      <c r="H26" s="71">
        <f>H14+H21+H22+H23+H24+H25</f>
        <v>0</v>
      </c>
      <c r="I26" s="71">
        <f t="shared" si="1"/>
        <v>0</v>
      </c>
      <c r="J26" s="71">
        <f t="shared" si="0"/>
        <v>0</v>
      </c>
    </row>
    <row r="27" spans="1:10">
      <c r="A27" s="66" t="s">
        <v>677</v>
      </c>
      <c r="B27" s="911" t="s">
        <v>730</v>
      </c>
      <c r="C27" s="917" t="s">
        <v>731</v>
      </c>
      <c r="D27" s="916"/>
      <c r="E27" s="71"/>
      <c r="F27" s="71"/>
      <c r="G27" s="71"/>
      <c r="H27" s="71"/>
      <c r="I27" s="71">
        <f t="shared" si="1"/>
        <v>0</v>
      </c>
      <c r="J27" s="71">
        <f t="shared" si="0"/>
        <v>0</v>
      </c>
    </row>
    <row r="28" spans="1:10">
      <c r="A28" s="66" t="s">
        <v>732</v>
      </c>
      <c r="B28" s="911"/>
      <c r="C28" s="917" t="s">
        <v>733</v>
      </c>
      <c r="D28" s="916"/>
      <c r="E28" s="71"/>
      <c r="F28" s="71"/>
      <c r="G28" s="71"/>
      <c r="H28" s="71"/>
      <c r="I28" s="71">
        <f t="shared" si="1"/>
        <v>0</v>
      </c>
      <c r="J28" s="71">
        <f t="shared" si="0"/>
        <v>0</v>
      </c>
    </row>
    <row r="29" spans="1:10">
      <c r="A29" s="66" t="s">
        <v>734</v>
      </c>
      <c r="B29" s="911"/>
      <c r="C29" s="917" t="s">
        <v>735</v>
      </c>
      <c r="D29" s="916"/>
      <c r="E29" s="71"/>
      <c r="F29" s="71"/>
      <c r="G29" s="71"/>
      <c r="H29" s="71"/>
      <c r="I29" s="71">
        <f t="shared" si="1"/>
        <v>0</v>
      </c>
      <c r="J29" s="71">
        <f t="shared" si="0"/>
        <v>0</v>
      </c>
    </row>
    <row r="30" spans="1:10">
      <c r="A30" s="66" t="s">
        <v>736</v>
      </c>
      <c r="B30" s="911"/>
      <c r="C30" s="917" t="s">
        <v>737</v>
      </c>
      <c r="D30" s="916"/>
      <c r="E30" s="71"/>
      <c r="F30" s="71"/>
      <c r="G30" s="71"/>
      <c r="H30" s="71"/>
      <c r="I30" s="71">
        <f t="shared" si="1"/>
        <v>0</v>
      </c>
      <c r="J30" s="71">
        <f t="shared" si="0"/>
        <v>0</v>
      </c>
    </row>
    <row r="31" spans="1:10">
      <c r="A31" s="66" t="s">
        <v>670</v>
      </c>
      <c r="B31" s="911"/>
      <c r="C31" s="915" t="s">
        <v>599</v>
      </c>
      <c r="D31" s="916"/>
      <c r="E31" s="71">
        <f>E27+E28+E29+E30</f>
        <v>0</v>
      </c>
      <c r="F31" s="71">
        <f>F27+F28+F29+F30</f>
        <v>0</v>
      </c>
      <c r="G31" s="71">
        <f>G27+G28+G29+G30</f>
        <v>0</v>
      </c>
      <c r="H31" s="71">
        <f>H27+H28+H29+H30</f>
        <v>0</v>
      </c>
      <c r="I31" s="71">
        <f t="shared" si="1"/>
        <v>0</v>
      </c>
      <c r="J31" s="71">
        <f t="shared" si="0"/>
        <v>0</v>
      </c>
    </row>
    <row r="32" spans="1:10">
      <c r="A32" s="66" t="s">
        <v>559</v>
      </c>
      <c r="B32" s="915" t="s">
        <v>738</v>
      </c>
      <c r="C32" s="917"/>
      <c r="D32" s="916"/>
      <c r="E32" s="71"/>
      <c r="F32" s="71"/>
      <c r="G32" s="71"/>
      <c r="H32" s="71"/>
      <c r="I32" s="71">
        <f t="shared" si="1"/>
        <v>0</v>
      </c>
      <c r="J32" s="71">
        <f t="shared" si="0"/>
        <v>0</v>
      </c>
    </row>
    <row r="33" spans="1:10">
      <c r="A33" s="66" t="s">
        <v>561</v>
      </c>
      <c r="B33" s="915" t="s">
        <v>739</v>
      </c>
      <c r="C33" s="917"/>
      <c r="D33" s="916"/>
      <c r="E33" s="71"/>
      <c r="F33" s="71"/>
      <c r="G33" s="71"/>
      <c r="H33" s="71"/>
      <c r="I33" s="71">
        <f t="shared" si="1"/>
        <v>0</v>
      </c>
      <c r="J33" s="71">
        <f t="shared" si="0"/>
        <v>0</v>
      </c>
    </row>
    <row r="34" spans="1:10">
      <c r="A34" s="66" t="s">
        <v>560</v>
      </c>
      <c r="B34" s="915" t="s">
        <v>740</v>
      </c>
      <c r="C34" s="917"/>
      <c r="D34" s="916"/>
      <c r="E34" s="71"/>
      <c r="F34" s="71"/>
      <c r="G34" s="71"/>
      <c r="H34" s="71"/>
      <c r="I34" s="71">
        <f t="shared" si="1"/>
        <v>0</v>
      </c>
      <c r="J34" s="71">
        <f t="shared" si="0"/>
        <v>0</v>
      </c>
    </row>
    <row r="35" spans="1:10">
      <c r="A35" s="66" t="s">
        <v>741</v>
      </c>
      <c r="B35" s="915" t="s">
        <v>742</v>
      </c>
      <c r="C35" s="917"/>
      <c r="D35" s="916"/>
      <c r="E35" s="71"/>
      <c r="F35" s="71"/>
      <c r="G35" s="71"/>
      <c r="H35" s="71"/>
      <c r="I35" s="71">
        <f t="shared" si="1"/>
        <v>0</v>
      </c>
      <c r="J35" s="71">
        <f t="shared" si="0"/>
        <v>0</v>
      </c>
    </row>
    <row r="36" spans="1:10">
      <c r="A36" s="66" t="s">
        <v>743</v>
      </c>
      <c r="B36" s="915" t="s">
        <v>68</v>
      </c>
      <c r="C36" s="917"/>
      <c r="D36" s="916"/>
      <c r="E36" s="71"/>
      <c r="F36" s="71"/>
      <c r="G36" s="71"/>
      <c r="H36" s="71"/>
      <c r="I36" s="71">
        <f t="shared" si="1"/>
        <v>0</v>
      </c>
      <c r="J36" s="71">
        <f t="shared" si="0"/>
        <v>0</v>
      </c>
    </row>
    <row r="37" spans="1:10">
      <c r="A37" s="66" t="s">
        <v>170</v>
      </c>
      <c r="B37" s="915" t="s">
        <v>581</v>
      </c>
      <c r="C37" s="917"/>
      <c r="D37" s="916"/>
      <c r="E37" s="71">
        <f>E13+E35+E26+E31+E32+E33+E34+E36</f>
        <v>0</v>
      </c>
      <c r="F37" s="71">
        <f>F13+F35+F26+F31+F32+F33+F34+F36</f>
        <v>0</v>
      </c>
      <c r="G37" s="71">
        <f>G13+G35+G26+G31+G32+G33+G34+G36</f>
        <v>0</v>
      </c>
      <c r="H37" s="71">
        <f>H13+H35+H26+H31+H32+H33+H34+H36</f>
        <v>0</v>
      </c>
      <c r="I37" s="71">
        <f t="shared" si="1"/>
        <v>0</v>
      </c>
      <c r="J37" s="71">
        <f t="shared" si="0"/>
        <v>0</v>
      </c>
    </row>
    <row r="39" spans="1:10">
      <c r="A39" s="75" t="s">
        <v>547</v>
      </c>
    </row>
    <row r="41" spans="1:10">
      <c r="A41" s="76" t="s">
        <v>59</v>
      </c>
    </row>
    <row r="42" spans="1:10">
      <c r="A42" s="9"/>
    </row>
    <row r="43" spans="1:10">
      <c r="A43" s="7" t="s">
        <v>744</v>
      </c>
    </row>
    <row r="44" spans="1:10" s="4" customFormat="1">
      <c r="A44" s="10" t="s">
        <v>745</v>
      </c>
    </row>
    <row r="45" spans="1:10">
      <c r="A45" s="7" t="s">
        <v>746</v>
      </c>
    </row>
    <row r="46" spans="1:10">
      <c r="A46" s="7" t="s">
        <v>747</v>
      </c>
    </row>
    <row r="47" spans="1:10">
      <c r="A47" s="7" t="s">
        <v>748</v>
      </c>
    </row>
    <row r="48" spans="1:10">
      <c r="A48" s="5" t="s">
        <v>749</v>
      </c>
    </row>
  </sheetData>
  <mergeCells count="28">
    <mergeCell ref="B37:D37"/>
    <mergeCell ref="B27:B31"/>
    <mergeCell ref="C27:D27"/>
    <mergeCell ref="C28:D28"/>
    <mergeCell ref="C29:D29"/>
    <mergeCell ref="C30:D30"/>
    <mergeCell ref="C31:D31"/>
    <mergeCell ref="B32:D32"/>
    <mergeCell ref="B33:D33"/>
    <mergeCell ref="B34:D34"/>
    <mergeCell ref="B35:D35"/>
    <mergeCell ref="B36:D36"/>
    <mergeCell ref="B14:B26"/>
    <mergeCell ref="C14:D14"/>
    <mergeCell ref="C15:C21"/>
    <mergeCell ref="C22:D22"/>
    <mergeCell ref="C23:D23"/>
    <mergeCell ref="C24:D24"/>
    <mergeCell ref="C25:D25"/>
    <mergeCell ref="C26:D26"/>
    <mergeCell ref="A8:D10"/>
    <mergeCell ref="E9:F9"/>
    <mergeCell ref="G9:H9"/>
    <mergeCell ref="I9:J9"/>
    <mergeCell ref="B11:B13"/>
    <mergeCell ref="C11:D11"/>
    <mergeCell ref="C12:D12"/>
    <mergeCell ref="C13:D13"/>
  </mergeCells>
  <phoneticPr fontId="6" type="noConversion"/>
  <pageMargins left="0.7" right="0.7" top="0.75" bottom="0.75" header="0.3" footer="0.3"/>
  <pageSetup paperSize="9" scale="64" fitToHeight="0" orientation="portrait" r:id="rId1"/>
  <drawing r:id="rId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EEB205-B748-4CC1-8C6D-F29925E5847B}">
  <sheetPr codeName="Sheet33">
    <tabColor rgb="FFFFFF00"/>
    <pageSetUpPr fitToPage="1"/>
  </sheetPr>
  <dimension ref="A1:J46"/>
  <sheetViews>
    <sheetView view="pageBreakPreview" topLeftCell="A8" zoomScale="85" zoomScaleNormal="100" zoomScaleSheetLayoutView="85" workbookViewId="0">
      <selection activeCell="A41" sqref="A41"/>
    </sheetView>
  </sheetViews>
  <sheetFormatPr defaultColWidth="8.8984375" defaultRowHeight="14.4"/>
  <cols>
    <col min="1" max="1" width="6.796875" style="7" customWidth="1"/>
    <col min="2" max="2" width="7.296875" style="5" customWidth="1"/>
    <col min="3" max="3" width="6.296875" style="5" bestFit="1" customWidth="1"/>
    <col min="4" max="4" width="24.796875" style="5" customWidth="1"/>
    <col min="5" max="10" width="10.8984375" style="5" customWidth="1"/>
    <col min="11" max="16384" width="8.8984375" style="5"/>
  </cols>
  <sheetData>
    <row r="1" spans="1:10">
      <c r="A1" s="521"/>
    </row>
    <row r="2" spans="1:10">
      <c r="A2" s="5"/>
    </row>
    <row r="3" spans="1:10">
      <c r="A3" s="5"/>
    </row>
    <row r="4" spans="1:10">
      <c r="A4" s="5"/>
    </row>
    <row r="5" spans="1:10" ht="20.399999999999999">
      <c r="A5" s="8" t="s">
        <v>691</v>
      </c>
      <c r="B5" s="63"/>
      <c r="C5" s="63"/>
      <c r="D5" s="63"/>
      <c r="E5" s="63"/>
      <c r="F5" s="63"/>
    </row>
    <row r="7" spans="1:10">
      <c r="A7" s="9" t="s">
        <v>692</v>
      </c>
      <c r="J7" s="64"/>
    </row>
    <row r="8" spans="1:10">
      <c r="A8" s="918" t="s">
        <v>555</v>
      </c>
      <c r="B8" s="918"/>
      <c r="C8" s="918"/>
      <c r="D8" s="918"/>
      <c r="E8" s="376" t="s">
        <v>693</v>
      </c>
      <c r="F8" s="376" t="s">
        <v>694</v>
      </c>
      <c r="G8" s="376" t="s">
        <v>695</v>
      </c>
      <c r="H8" s="376" t="s">
        <v>696</v>
      </c>
      <c r="I8" s="376" t="s">
        <v>657</v>
      </c>
      <c r="J8" s="376" t="s">
        <v>697</v>
      </c>
    </row>
    <row r="9" spans="1:10" ht="13.5" customHeight="1">
      <c r="A9" s="918"/>
      <c r="B9" s="918"/>
      <c r="C9" s="918"/>
      <c r="D9" s="918"/>
      <c r="E9" s="918" t="s">
        <v>698</v>
      </c>
      <c r="F9" s="918"/>
      <c r="G9" s="918" t="s">
        <v>699</v>
      </c>
      <c r="H9" s="918"/>
      <c r="I9" s="918" t="s">
        <v>700</v>
      </c>
      <c r="J9" s="918"/>
    </row>
    <row r="10" spans="1:10" ht="28.8">
      <c r="A10" s="918"/>
      <c r="B10" s="918"/>
      <c r="C10" s="918"/>
      <c r="D10" s="918"/>
      <c r="E10" s="377" t="s">
        <v>701</v>
      </c>
      <c r="F10" s="376" t="s">
        <v>702</v>
      </c>
      <c r="G10" s="377" t="s">
        <v>701</v>
      </c>
      <c r="H10" s="376" t="s">
        <v>702</v>
      </c>
      <c r="I10" s="377" t="s">
        <v>701</v>
      </c>
      <c r="J10" s="376" t="s">
        <v>702</v>
      </c>
    </row>
    <row r="11" spans="1:10" s="7" customFormat="1" ht="16.5" customHeight="1">
      <c r="A11" s="571" t="s">
        <v>105</v>
      </c>
      <c r="B11" s="920" t="s">
        <v>1410</v>
      </c>
      <c r="C11" s="919" t="s">
        <v>1411</v>
      </c>
      <c r="D11" s="919"/>
      <c r="E11" s="380"/>
      <c r="F11" s="380"/>
      <c r="G11" s="380"/>
      <c r="H11" s="380"/>
      <c r="I11" s="378">
        <f t="shared" ref="I11:I15" si="0">E11+G11</f>
        <v>0</v>
      </c>
      <c r="J11" s="378">
        <f t="shared" ref="J11:J12" si="1">H11-F11</f>
        <v>0</v>
      </c>
    </row>
    <row r="12" spans="1:10" s="7" customFormat="1" ht="16.5" customHeight="1">
      <c r="A12" s="571" t="s">
        <v>232</v>
      </c>
      <c r="B12" s="920"/>
      <c r="C12" s="919" t="s">
        <v>1412</v>
      </c>
      <c r="D12" s="919"/>
      <c r="E12" s="380"/>
      <c r="F12" s="380"/>
      <c r="G12" s="380"/>
      <c r="H12" s="380"/>
      <c r="I12" s="378">
        <f t="shared" si="0"/>
        <v>0</v>
      </c>
      <c r="J12" s="378">
        <f t="shared" si="1"/>
        <v>0</v>
      </c>
    </row>
    <row r="13" spans="1:10" s="7" customFormat="1" ht="16.5" customHeight="1">
      <c r="A13" s="571" t="s">
        <v>109</v>
      </c>
      <c r="B13" s="920"/>
      <c r="C13" s="919" t="s">
        <v>1413</v>
      </c>
      <c r="D13" s="919"/>
      <c r="E13" s="380"/>
      <c r="F13" s="380"/>
      <c r="G13" s="380"/>
      <c r="H13" s="380"/>
      <c r="I13" s="378">
        <f t="shared" si="0"/>
        <v>0</v>
      </c>
      <c r="J13" s="378">
        <f t="shared" ref="J13:J30" si="2">H13-F13</f>
        <v>0</v>
      </c>
    </row>
    <row r="14" spans="1:10" s="7" customFormat="1" ht="16.5" customHeight="1">
      <c r="A14" s="571" t="s">
        <v>1693</v>
      </c>
      <c r="B14" s="920"/>
      <c r="C14" s="919" t="s">
        <v>1414</v>
      </c>
      <c r="D14" s="919"/>
      <c r="E14" s="380"/>
      <c r="F14" s="380"/>
      <c r="G14" s="380"/>
      <c r="H14" s="380"/>
      <c r="I14" s="378">
        <f t="shared" si="0"/>
        <v>0</v>
      </c>
      <c r="J14" s="378">
        <f t="shared" si="2"/>
        <v>0</v>
      </c>
    </row>
    <row r="15" spans="1:10" s="7" customFormat="1" ht="16.5" customHeight="1">
      <c r="A15" s="571" t="s">
        <v>845</v>
      </c>
      <c r="B15" s="920"/>
      <c r="C15" s="919" t="s">
        <v>67</v>
      </c>
      <c r="D15" s="919"/>
      <c r="E15" s="380">
        <f>SUM(E11:E14)</f>
        <v>0</v>
      </c>
      <c r="F15" s="380">
        <f t="shared" ref="F15:H15" si="3">SUM(F11:F14)</f>
        <v>0</v>
      </c>
      <c r="G15" s="380">
        <f t="shared" si="3"/>
        <v>0</v>
      </c>
      <c r="H15" s="380">
        <f t="shared" si="3"/>
        <v>0</v>
      </c>
      <c r="I15" s="378">
        <f t="shared" si="0"/>
        <v>0</v>
      </c>
      <c r="J15" s="378">
        <f t="shared" si="2"/>
        <v>0</v>
      </c>
    </row>
    <row r="16" spans="1:10" s="7" customFormat="1" ht="16.5" customHeight="1">
      <c r="A16" s="571" t="s">
        <v>83</v>
      </c>
      <c r="B16" s="920" t="s">
        <v>730</v>
      </c>
      <c r="C16" s="519" t="s">
        <v>1415</v>
      </c>
      <c r="D16" s="519" t="s">
        <v>1416</v>
      </c>
      <c r="E16" s="70"/>
      <c r="F16" s="378"/>
      <c r="G16" s="70"/>
      <c r="H16" s="378"/>
      <c r="I16" s="70"/>
      <c r="J16" s="378">
        <f t="shared" si="2"/>
        <v>0</v>
      </c>
    </row>
    <row r="17" spans="1:10" s="7" customFormat="1" ht="16.5" customHeight="1">
      <c r="A17" s="571" t="s">
        <v>85</v>
      </c>
      <c r="B17" s="920"/>
      <c r="C17" s="519" t="s">
        <v>1415</v>
      </c>
      <c r="D17" s="519" t="s">
        <v>68</v>
      </c>
      <c r="E17" s="380"/>
      <c r="F17" s="380"/>
      <c r="G17" s="380"/>
      <c r="H17" s="380"/>
      <c r="I17" s="378">
        <f t="shared" ref="I17:I29" si="4">E17+G17</f>
        <v>0</v>
      </c>
      <c r="J17" s="378">
        <f t="shared" si="2"/>
        <v>0</v>
      </c>
    </row>
    <row r="18" spans="1:10" s="7" customFormat="1" ht="16.5" customHeight="1">
      <c r="A18" s="571" t="s">
        <v>55</v>
      </c>
      <c r="B18" s="920"/>
      <c r="C18" s="519" t="s">
        <v>1415</v>
      </c>
      <c r="D18" s="519" t="s">
        <v>599</v>
      </c>
      <c r="E18" s="381">
        <f>SUM(E16:E17)</f>
        <v>0</v>
      </c>
      <c r="F18" s="381">
        <f t="shared" ref="F18:H18" si="5">SUM(F16:F17)</f>
        <v>0</v>
      </c>
      <c r="G18" s="381">
        <f t="shared" si="5"/>
        <v>0</v>
      </c>
      <c r="H18" s="381">
        <f t="shared" si="5"/>
        <v>0</v>
      </c>
      <c r="I18" s="378">
        <f t="shared" si="4"/>
        <v>0</v>
      </c>
      <c r="J18" s="378">
        <f t="shared" si="2"/>
        <v>0</v>
      </c>
    </row>
    <row r="19" spans="1:10" s="7" customFormat="1" ht="16.5" customHeight="1">
      <c r="A19" s="571" t="s">
        <v>149</v>
      </c>
      <c r="B19" s="920"/>
      <c r="C19" s="919" t="s">
        <v>1417</v>
      </c>
      <c r="D19" s="919"/>
      <c r="E19" s="380"/>
      <c r="F19" s="380"/>
      <c r="G19" s="380"/>
      <c r="H19" s="380"/>
      <c r="I19" s="378">
        <f t="shared" si="4"/>
        <v>0</v>
      </c>
      <c r="J19" s="378">
        <f t="shared" si="2"/>
        <v>0</v>
      </c>
    </row>
    <row r="20" spans="1:10" s="7" customFormat="1" ht="16.5" customHeight="1">
      <c r="A20" s="571" t="s">
        <v>151</v>
      </c>
      <c r="B20" s="920"/>
      <c r="C20" s="919" t="s">
        <v>1418</v>
      </c>
      <c r="D20" s="919"/>
      <c r="E20" s="380"/>
      <c r="F20" s="380"/>
      <c r="G20" s="380"/>
      <c r="H20" s="380"/>
      <c r="I20" s="378">
        <f t="shared" si="4"/>
        <v>0</v>
      </c>
      <c r="J20" s="378">
        <f t="shared" si="2"/>
        <v>0</v>
      </c>
    </row>
    <row r="21" spans="1:10" s="7" customFormat="1" ht="16.5" customHeight="1">
      <c r="A21" s="571" t="s">
        <v>1701</v>
      </c>
      <c r="B21" s="920"/>
      <c r="C21" s="919" t="s">
        <v>1419</v>
      </c>
      <c r="D21" s="919"/>
      <c r="E21" s="380"/>
      <c r="F21" s="380"/>
      <c r="G21" s="380"/>
      <c r="H21" s="380"/>
      <c r="I21" s="378">
        <f t="shared" si="4"/>
        <v>0</v>
      </c>
      <c r="J21" s="378">
        <f t="shared" si="2"/>
        <v>0</v>
      </c>
    </row>
    <row r="22" spans="1:10" s="7" customFormat="1" ht="16.5" customHeight="1">
      <c r="A22" s="571" t="s">
        <v>1702</v>
      </c>
      <c r="B22" s="920"/>
      <c r="C22" s="919" t="s">
        <v>1420</v>
      </c>
      <c r="D22" s="919"/>
      <c r="E22" s="380"/>
      <c r="F22" s="380"/>
      <c r="G22" s="380"/>
      <c r="H22" s="380"/>
      <c r="I22" s="378">
        <f t="shared" si="4"/>
        <v>0</v>
      </c>
      <c r="J22" s="378">
        <f t="shared" si="2"/>
        <v>0</v>
      </c>
    </row>
    <row r="23" spans="1:10" s="372" customFormat="1" ht="16.5" customHeight="1">
      <c r="A23" s="571" t="s">
        <v>249</v>
      </c>
      <c r="B23" s="920"/>
      <c r="C23" s="919" t="s">
        <v>67</v>
      </c>
      <c r="D23" s="919"/>
      <c r="E23" s="381">
        <f>SUM(E18:E22)</f>
        <v>0</v>
      </c>
      <c r="F23" s="381">
        <f>SUM(F18:F22)</f>
        <v>0</v>
      </c>
      <c r="G23" s="381">
        <f t="shared" ref="G23:H23" si="6">SUM(G18:G22)</f>
        <v>0</v>
      </c>
      <c r="H23" s="381">
        <f t="shared" si="6"/>
        <v>0</v>
      </c>
      <c r="I23" s="378">
        <f t="shared" si="4"/>
        <v>0</v>
      </c>
      <c r="J23" s="378">
        <f t="shared" si="2"/>
        <v>0</v>
      </c>
    </row>
    <row r="24" spans="1:10" s="372" customFormat="1" ht="16.5" customHeight="1">
      <c r="A24" s="571" t="s">
        <v>107</v>
      </c>
      <c r="B24" s="920" t="s">
        <v>1421</v>
      </c>
      <c r="C24" s="919" t="s">
        <v>1422</v>
      </c>
      <c r="D24" s="919"/>
      <c r="E24" s="380"/>
      <c r="F24" s="380"/>
      <c r="G24" s="380"/>
      <c r="H24" s="380"/>
      <c r="I24" s="378">
        <f t="shared" si="4"/>
        <v>0</v>
      </c>
      <c r="J24" s="378">
        <f t="shared" si="2"/>
        <v>0</v>
      </c>
    </row>
    <row r="25" spans="1:10" s="7" customFormat="1" ht="16.5" customHeight="1">
      <c r="A25" s="571" t="s">
        <v>163</v>
      </c>
      <c r="B25" s="920"/>
      <c r="C25" s="919" t="s">
        <v>742</v>
      </c>
      <c r="D25" s="919"/>
      <c r="E25" s="380"/>
      <c r="F25" s="379"/>
      <c r="G25" s="380"/>
      <c r="H25" s="380"/>
      <c r="I25" s="378">
        <f t="shared" si="4"/>
        <v>0</v>
      </c>
      <c r="J25" s="378">
        <f t="shared" si="2"/>
        <v>0</v>
      </c>
    </row>
    <row r="26" spans="1:10" s="7" customFormat="1" ht="16.5" customHeight="1">
      <c r="A26" s="571" t="s">
        <v>61</v>
      </c>
      <c r="B26" s="920"/>
      <c r="C26" s="919" t="s">
        <v>1423</v>
      </c>
      <c r="D26" s="919"/>
      <c r="E26" s="380"/>
      <c r="F26" s="380"/>
      <c r="G26" s="380"/>
      <c r="H26" s="380"/>
      <c r="I26" s="378">
        <f t="shared" si="4"/>
        <v>0</v>
      </c>
      <c r="J26" s="378">
        <f t="shared" si="2"/>
        <v>0</v>
      </c>
    </row>
    <row r="27" spans="1:10" s="7" customFormat="1" ht="16.5" customHeight="1">
      <c r="A27" s="571" t="s">
        <v>62</v>
      </c>
      <c r="B27" s="920"/>
      <c r="C27" s="919" t="s">
        <v>1424</v>
      </c>
      <c r="D27" s="919"/>
      <c r="E27" s="380"/>
      <c r="F27" s="380"/>
      <c r="G27" s="380"/>
      <c r="H27" s="380"/>
      <c r="I27" s="378">
        <f t="shared" si="4"/>
        <v>0</v>
      </c>
      <c r="J27" s="378">
        <f t="shared" si="2"/>
        <v>0</v>
      </c>
    </row>
    <row r="28" spans="1:10" s="7" customFormat="1" ht="16.5" customHeight="1">
      <c r="A28" s="571" t="s">
        <v>63</v>
      </c>
      <c r="B28" s="920"/>
      <c r="C28" s="919" t="s">
        <v>1425</v>
      </c>
      <c r="D28" s="919"/>
      <c r="E28" s="380"/>
      <c r="F28" s="380"/>
      <c r="G28" s="380"/>
      <c r="H28" s="380"/>
      <c r="I28" s="378">
        <f t="shared" si="4"/>
        <v>0</v>
      </c>
      <c r="J28" s="378">
        <f t="shared" si="2"/>
        <v>0</v>
      </c>
    </row>
    <row r="29" spans="1:10" s="7" customFormat="1" ht="16.5" customHeight="1">
      <c r="A29" s="571" t="s">
        <v>148</v>
      </c>
      <c r="B29" s="920"/>
      <c r="C29" s="919" t="s">
        <v>1426</v>
      </c>
      <c r="D29" s="919"/>
      <c r="E29" s="380"/>
      <c r="F29" s="380"/>
      <c r="G29" s="380"/>
      <c r="H29" s="380"/>
      <c r="I29" s="378">
        <f t="shared" si="4"/>
        <v>0</v>
      </c>
      <c r="J29" s="378">
        <f t="shared" si="2"/>
        <v>0</v>
      </c>
    </row>
    <row r="30" spans="1:10" s="7" customFormat="1" ht="16.5" customHeight="1">
      <c r="A30" s="571" t="s">
        <v>909</v>
      </c>
      <c r="B30" s="920"/>
      <c r="C30" s="919" t="s">
        <v>67</v>
      </c>
      <c r="D30" s="919"/>
      <c r="E30" s="380">
        <f>SUM(E24:E29)</f>
        <v>0</v>
      </c>
      <c r="F30" s="380">
        <f t="shared" ref="F30:I30" si="7">SUM(F24:F29)</f>
        <v>0</v>
      </c>
      <c r="G30" s="380">
        <f t="shared" si="7"/>
        <v>0</v>
      </c>
      <c r="H30" s="380">
        <f t="shared" si="7"/>
        <v>0</v>
      </c>
      <c r="I30" s="380">
        <f t="shared" si="7"/>
        <v>0</v>
      </c>
      <c r="J30" s="378">
        <f t="shared" si="2"/>
        <v>0</v>
      </c>
    </row>
    <row r="31" spans="1:10" s="7" customFormat="1" ht="16.5" customHeight="1">
      <c r="A31" s="571" t="s">
        <v>170</v>
      </c>
      <c r="B31" s="919" t="s">
        <v>70</v>
      </c>
      <c r="C31" s="919"/>
      <c r="D31" s="919"/>
      <c r="E31" s="381">
        <f>E15+E23+E30</f>
        <v>0</v>
      </c>
      <c r="F31" s="381">
        <f t="shared" ref="F31:J31" si="8">F15+F23+F30</f>
        <v>0</v>
      </c>
      <c r="G31" s="381">
        <f t="shared" si="8"/>
        <v>0</v>
      </c>
      <c r="H31" s="381">
        <f t="shared" si="8"/>
        <v>0</v>
      </c>
      <c r="I31" s="381">
        <f t="shared" si="8"/>
        <v>0</v>
      </c>
      <c r="J31" s="381">
        <f t="shared" si="8"/>
        <v>0</v>
      </c>
    </row>
    <row r="32" spans="1:10" ht="16.5" customHeight="1"/>
    <row r="33" spans="1:10">
      <c r="A33" s="75" t="s">
        <v>547</v>
      </c>
    </row>
    <row r="35" spans="1:10">
      <c r="A35" s="76" t="s">
        <v>59</v>
      </c>
    </row>
    <row r="36" spans="1:10">
      <c r="A36" s="9"/>
    </row>
    <row r="37" spans="1:10">
      <c r="A37" s="7" t="s">
        <v>744</v>
      </c>
    </row>
    <row r="38" spans="1:10" s="4" customFormat="1">
      <c r="A38" s="10" t="s">
        <v>745</v>
      </c>
    </row>
    <row r="39" spans="1:10">
      <c r="A39" s="7" t="s">
        <v>746</v>
      </c>
    </row>
    <row r="40" spans="1:10">
      <c r="A40" s="7" t="s">
        <v>1427</v>
      </c>
    </row>
    <row r="41" spans="1:10">
      <c r="A41" s="7" t="s">
        <v>748</v>
      </c>
    </row>
    <row r="42" spans="1:10">
      <c r="A42" s="5" t="s">
        <v>749</v>
      </c>
    </row>
    <row r="43" spans="1:10">
      <c r="A43" s="389" t="s">
        <v>1436</v>
      </c>
      <c r="B43" s="351"/>
      <c r="C43" s="351"/>
      <c r="D43" s="351"/>
      <c r="E43" s="351"/>
      <c r="F43" s="351"/>
      <c r="G43" s="351"/>
      <c r="H43" s="351"/>
    </row>
    <row r="45" spans="1:10">
      <c r="A45" s="375" t="s">
        <v>173</v>
      </c>
    </row>
    <row r="46" spans="1:10">
      <c r="A46" s="442" t="s">
        <v>1748</v>
      </c>
      <c r="B46" s="280"/>
      <c r="C46" s="280"/>
      <c r="D46" s="280"/>
      <c r="E46" s="280"/>
      <c r="F46" s="280"/>
      <c r="G46" s="280"/>
      <c r="H46" s="280"/>
      <c r="I46" s="280"/>
      <c r="J46" s="280"/>
    </row>
  </sheetData>
  <mergeCells count="25">
    <mergeCell ref="B31:D31"/>
    <mergeCell ref="B16:B23"/>
    <mergeCell ref="C19:D19"/>
    <mergeCell ref="C20:D20"/>
    <mergeCell ref="C21:D21"/>
    <mergeCell ref="B24:B30"/>
    <mergeCell ref="C27:D27"/>
    <mergeCell ref="C28:D28"/>
    <mergeCell ref="C29:D29"/>
    <mergeCell ref="C30:D30"/>
    <mergeCell ref="C22:D22"/>
    <mergeCell ref="C23:D23"/>
    <mergeCell ref="C24:D24"/>
    <mergeCell ref="C25:D25"/>
    <mergeCell ref="C26:D26"/>
    <mergeCell ref="C12:D12"/>
    <mergeCell ref="C13:D13"/>
    <mergeCell ref="B11:B15"/>
    <mergeCell ref="C15:D15"/>
    <mergeCell ref="C14:D14"/>
    <mergeCell ref="A8:D10"/>
    <mergeCell ref="E9:F9"/>
    <mergeCell ref="G9:H9"/>
    <mergeCell ref="I9:J9"/>
    <mergeCell ref="C11:D11"/>
  </mergeCells>
  <phoneticPr fontId="6" type="noConversion"/>
  <pageMargins left="0.7" right="0.7" top="0.75" bottom="0.75" header="0.3" footer="0.3"/>
  <pageSetup paperSize="9" scale="68" fitToHeight="0" orientation="portrait" r:id="rId1"/>
  <drawing r:id="rId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D39A69-3B0E-4EEC-B21F-0211099539B4}">
  <sheetPr codeName="Sheet34">
    <tabColor theme="0" tint="-0.249977111117893"/>
    <pageSetUpPr fitToPage="1"/>
  </sheetPr>
  <dimension ref="A5:U35"/>
  <sheetViews>
    <sheetView showGridLines="0" view="pageBreakPreview" zoomScaleNormal="100" zoomScaleSheetLayoutView="100" workbookViewId="0">
      <selection activeCell="A13" sqref="A13:C22"/>
    </sheetView>
  </sheetViews>
  <sheetFormatPr defaultColWidth="8.8984375" defaultRowHeight="14.4"/>
  <cols>
    <col min="1" max="1" width="6.3984375" style="14" customWidth="1"/>
    <col min="2" max="2" width="7.3984375" style="14" customWidth="1"/>
    <col min="3" max="3" width="14.59765625" style="14" customWidth="1"/>
    <col min="4" max="21" width="8" style="14" customWidth="1"/>
    <col min="22" max="16384" width="8.8984375" style="14"/>
  </cols>
  <sheetData>
    <row r="5" spans="1:21" ht="20.25" customHeight="1">
      <c r="A5" s="16" t="s">
        <v>750</v>
      </c>
    </row>
    <row r="7" spans="1:21" ht="24" customHeight="1" thickBot="1">
      <c r="A7" s="14" t="s">
        <v>751</v>
      </c>
    </row>
    <row r="8" spans="1:21" ht="24" customHeight="1">
      <c r="A8" s="924" t="s">
        <v>555</v>
      </c>
      <c r="B8" s="925"/>
      <c r="C8" s="926"/>
      <c r="D8" s="77" t="s">
        <v>693</v>
      </c>
      <c r="E8" s="78" t="s">
        <v>694</v>
      </c>
      <c r="F8" s="79" t="s">
        <v>752</v>
      </c>
      <c r="G8" s="79" t="s">
        <v>753</v>
      </c>
      <c r="H8" s="79" t="s">
        <v>754</v>
      </c>
      <c r="I8" s="80" t="s">
        <v>755</v>
      </c>
      <c r="J8" s="81" t="s">
        <v>695</v>
      </c>
      <c r="K8" s="79" t="s">
        <v>696</v>
      </c>
      <c r="L8" s="79" t="s">
        <v>756</v>
      </c>
      <c r="M8" s="79" t="s">
        <v>757</v>
      </c>
      <c r="N8" s="80" t="s">
        <v>758</v>
      </c>
      <c r="O8" s="82" t="s">
        <v>759</v>
      </c>
      <c r="P8" s="81" t="s">
        <v>72</v>
      </c>
      <c r="Q8" s="79" t="s">
        <v>73</v>
      </c>
      <c r="R8" s="79" t="s">
        <v>74</v>
      </c>
      <c r="S8" s="79" t="s">
        <v>105</v>
      </c>
      <c r="T8" s="80" t="s">
        <v>107</v>
      </c>
      <c r="U8" s="82" t="s">
        <v>109</v>
      </c>
    </row>
    <row r="9" spans="1:21">
      <c r="A9" s="927"/>
      <c r="B9" s="928"/>
      <c r="C9" s="929"/>
      <c r="D9" s="933" t="s">
        <v>760</v>
      </c>
      <c r="E9" s="888"/>
      <c r="F9" s="888"/>
      <c r="G9" s="888"/>
      <c r="H9" s="888"/>
      <c r="I9" s="888"/>
      <c r="J9" s="888"/>
      <c r="K9" s="888"/>
      <c r="L9" s="888"/>
      <c r="M9" s="888"/>
      <c r="N9" s="888"/>
      <c r="O9" s="888"/>
      <c r="P9" s="888"/>
      <c r="Q9" s="888"/>
      <c r="R9" s="888"/>
      <c r="S9" s="888"/>
      <c r="T9" s="888"/>
      <c r="U9" s="934"/>
    </row>
    <row r="10" spans="1:21">
      <c r="A10" s="927"/>
      <c r="B10" s="928"/>
      <c r="C10" s="929"/>
      <c r="D10" s="933" t="s">
        <v>569</v>
      </c>
      <c r="E10" s="888"/>
      <c r="F10" s="888"/>
      <c r="G10" s="888"/>
      <c r="H10" s="888"/>
      <c r="I10" s="888"/>
      <c r="J10" s="935" t="s">
        <v>761</v>
      </c>
      <c r="K10" s="888"/>
      <c r="L10" s="888"/>
      <c r="M10" s="888"/>
      <c r="N10" s="888"/>
      <c r="O10" s="934"/>
      <c r="P10" s="935" t="s">
        <v>634</v>
      </c>
      <c r="Q10" s="888"/>
      <c r="R10" s="888"/>
      <c r="S10" s="888"/>
      <c r="T10" s="888"/>
      <c r="U10" s="934"/>
    </row>
    <row r="11" spans="1:21" ht="13.5" customHeight="1">
      <c r="A11" s="927"/>
      <c r="B11" s="928"/>
      <c r="C11" s="929"/>
      <c r="D11" s="936" t="s">
        <v>762</v>
      </c>
      <c r="E11" s="874"/>
      <c r="F11" s="872" t="s">
        <v>763</v>
      </c>
      <c r="G11" s="874"/>
      <c r="H11" s="872" t="s">
        <v>764</v>
      </c>
      <c r="I11" s="873"/>
      <c r="J11" s="936" t="s">
        <v>762</v>
      </c>
      <c r="K11" s="874"/>
      <c r="L11" s="872" t="s">
        <v>763</v>
      </c>
      <c r="M11" s="874"/>
      <c r="N11" s="872" t="s">
        <v>764</v>
      </c>
      <c r="O11" s="873"/>
      <c r="P11" s="936" t="s">
        <v>762</v>
      </c>
      <c r="Q11" s="874"/>
      <c r="R11" s="872" t="s">
        <v>763</v>
      </c>
      <c r="S11" s="874"/>
      <c r="T11" s="872" t="s">
        <v>764</v>
      </c>
      <c r="U11" s="873"/>
    </row>
    <row r="12" spans="1:21" ht="15" thickBot="1">
      <c r="A12" s="930"/>
      <c r="B12" s="931"/>
      <c r="C12" s="932"/>
      <c r="D12" s="83" t="s">
        <v>765</v>
      </c>
      <c r="E12" s="84" t="s">
        <v>702</v>
      </c>
      <c r="F12" s="85" t="s">
        <v>765</v>
      </c>
      <c r="G12" s="85" t="s">
        <v>702</v>
      </c>
      <c r="H12" s="85" t="s">
        <v>765</v>
      </c>
      <c r="I12" s="86" t="s">
        <v>702</v>
      </c>
      <c r="J12" s="87" t="s">
        <v>765</v>
      </c>
      <c r="K12" s="85" t="s">
        <v>702</v>
      </c>
      <c r="L12" s="85" t="s">
        <v>765</v>
      </c>
      <c r="M12" s="85" t="s">
        <v>702</v>
      </c>
      <c r="N12" s="86" t="s">
        <v>765</v>
      </c>
      <c r="O12" s="88" t="s">
        <v>702</v>
      </c>
      <c r="P12" s="87" t="s">
        <v>765</v>
      </c>
      <c r="Q12" s="85" t="s">
        <v>702</v>
      </c>
      <c r="R12" s="85" t="s">
        <v>765</v>
      </c>
      <c r="S12" s="85" t="s">
        <v>702</v>
      </c>
      <c r="T12" s="86" t="s">
        <v>765</v>
      </c>
      <c r="U12" s="88" t="s">
        <v>702</v>
      </c>
    </row>
    <row r="13" spans="1:21">
      <c r="A13" s="356" t="s">
        <v>556</v>
      </c>
      <c r="B13" s="921" t="s">
        <v>766</v>
      </c>
      <c r="C13" s="357" t="s">
        <v>767</v>
      </c>
      <c r="D13" s="89"/>
      <c r="E13" s="90"/>
      <c r="F13" s="90"/>
      <c r="G13" s="90"/>
      <c r="H13" s="90"/>
      <c r="I13" s="91"/>
      <c r="J13" s="92"/>
      <c r="K13" s="90"/>
      <c r="L13" s="90"/>
      <c r="M13" s="90"/>
      <c r="N13" s="91"/>
      <c r="O13" s="93"/>
      <c r="P13" s="92"/>
      <c r="Q13" s="90"/>
      <c r="R13" s="90"/>
      <c r="S13" s="90"/>
      <c r="T13" s="91"/>
      <c r="U13" s="93"/>
    </row>
    <row r="14" spans="1:21">
      <c r="A14" s="358" t="s">
        <v>557</v>
      </c>
      <c r="B14" s="921"/>
      <c r="C14" s="359" t="s">
        <v>768</v>
      </c>
      <c r="D14" s="94"/>
      <c r="E14" s="95"/>
      <c r="F14" s="95"/>
      <c r="G14" s="95"/>
      <c r="H14" s="95"/>
      <c r="I14" s="96"/>
      <c r="J14" s="97"/>
      <c r="K14" s="95"/>
      <c r="L14" s="95"/>
      <c r="M14" s="95"/>
      <c r="N14" s="96"/>
      <c r="O14" s="98"/>
      <c r="P14" s="99"/>
      <c r="Q14" s="100"/>
      <c r="R14" s="100"/>
      <c r="S14" s="100"/>
      <c r="T14" s="101"/>
      <c r="U14" s="102"/>
    </row>
    <row r="15" spans="1:21">
      <c r="A15" s="360" t="s">
        <v>558</v>
      </c>
      <c r="B15" s="922"/>
      <c r="C15" s="361" t="s">
        <v>67</v>
      </c>
      <c r="D15" s="103"/>
      <c r="E15" s="100"/>
      <c r="F15" s="100"/>
      <c r="G15" s="100"/>
      <c r="H15" s="100"/>
      <c r="I15" s="101"/>
      <c r="J15" s="99"/>
      <c r="K15" s="100"/>
      <c r="L15" s="100"/>
      <c r="M15" s="100"/>
      <c r="N15" s="101"/>
      <c r="O15" s="102"/>
      <c r="P15" s="99"/>
      <c r="Q15" s="100"/>
      <c r="R15" s="100"/>
      <c r="S15" s="100"/>
      <c r="T15" s="101"/>
      <c r="U15" s="102"/>
    </row>
    <row r="16" spans="1:21">
      <c r="A16" s="360" t="s">
        <v>559</v>
      </c>
      <c r="B16" s="923" t="s">
        <v>769</v>
      </c>
      <c r="C16" s="361" t="s">
        <v>770</v>
      </c>
      <c r="D16" s="103"/>
      <c r="E16" s="100"/>
      <c r="F16" s="100"/>
      <c r="G16" s="100"/>
      <c r="H16" s="100"/>
      <c r="I16" s="101"/>
      <c r="J16" s="99"/>
      <c r="K16" s="100"/>
      <c r="L16" s="100"/>
      <c r="M16" s="100"/>
      <c r="N16" s="101"/>
      <c r="O16" s="102"/>
      <c r="P16" s="99"/>
      <c r="Q16" s="100"/>
      <c r="R16" s="100"/>
      <c r="S16" s="100"/>
      <c r="T16" s="101"/>
      <c r="U16" s="102"/>
    </row>
    <row r="17" spans="1:21">
      <c r="A17" s="360" t="s">
        <v>561</v>
      </c>
      <c r="B17" s="921"/>
      <c r="C17" s="361" t="s">
        <v>771</v>
      </c>
      <c r="D17" s="103"/>
      <c r="E17" s="100"/>
      <c r="F17" s="100"/>
      <c r="G17" s="100"/>
      <c r="H17" s="100"/>
      <c r="I17" s="101"/>
      <c r="J17" s="99"/>
      <c r="K17" s="100"/>
      <c r="L17" s="100"/>
      <c r="M17" s="100"/>
      <c r="N17" s="101"/>
      <c r="O17" s="102"/>
      <c r="P17" s="99"/>
      <c r="Q17" s="100"/>
      <c r="R17" s="100"/>
      <c r="S17" s="100"/>
      <c r="T17" s="101"/>
      <c r="U17" s="102"/>
    </row>
    <row r="18" spans="1:21">
      <c r="A18" s="360" t="s">
        <v>560</v>
      </c>
      <c r="B18" s="922"/>
      <c r="C18" s="361" t="s">
        <v>67</v>
      </c>
      <c r="D18" s="103"/>
      <c r="E18" s="100"/>
      <c r="F18" s="100"/>
      <c r="G18" s="100"/>
      <c r="H18" s="100"/>
      <c r="I18" s="101"/>
      <c r="J18" s="99"/>
      <c r="K18" s="100"/>
      <c r="L18" s="100"/>
      <c r="M18" s="100"/>
      <c r="N18" s="101"/>
      <c r="O18" s="102"/>
      <c r="P18" s="99"/>
      <c r="Q18" s="100"/>
      <c r="R18" s="100"/>
      <c r="S18" s="100"/>
      <c r="T18" s="101"/>
      <c r="U18" s="102"/>
    </row>
    <row r="19" spans="1:21">
      <c r="A19" s="360" t="s">
        <v>170</v>
      </c>
      <c r="B19" s="923" t="s">
        <v>772</v>
      </c>
      <c r="C19" s="361" t="s">
        <v>773</v>
      </c>
      <c r="D19" s="103"/>
      <c r="E19" s="100"/>
      <c r="F19" s="100"/>
      <c r="G19" s="100"/>
      <c r="H19" s="100"/>
      <c r="I19" s="101"/>
      <c r="J19" s="99"/>
      <c r="K19" s="100"/>
      <c r="L19" s="100"/>
      <c r="M19" s="100"/>
      <c r="N19" s="101"/>
      <c r="O19" s="102"/>
      <c r="P19" s="99"/>
      <c r="Q19" s="100"/>
      <c r="R19" s="100"/>
      <c r="S19" s="100"/>
      <c r="T19" s="101"/>
      <c r="U19" s="102"/>
    </row>
    <row r="20" spans="1:21">
      <c r="A20" s="360" t="s">
        <v>743</v>
      </c>
      <c r="B20" s="921"/>
      <c r="C20" s="361" t="s">
        <v>774</v>
      </c>
      <c r="D20" s="103"/>
      <c r="E20" s="100"/>
      <c r="F20" s="100"/>
      <c r="G20" s="100"/>
      <c r="H20" s="100"/>
      <c r="I20" s="101"/>
      <c r="J20" s="99"/>
      <c r="K20" s="100"/>
      <c r="L20" s="100"/>
      <c r="M20" s="100"/>
      <c r="N20" s="101"/>
      <c r="O20" s="102"/>
      <c r="P20" s="99"/>
      <c r="Q20" s="100"/>
      <c r="R20" s="100"/>
      <c r="S20" s="100"/>
      <c r="T20" s="101"/>
      <c r="U20" s="102"/>
    </row>
    <row r="21" spans="1:21">
      <c r="A21" s="360" t="s">
        <v>775</v>
      </c>
      <c r="B21" s="922"/>
      <c r="C21" s="361" t="s">
        <v>67</v>
      </c>
      <c r="D21" s="103"/>
      <c r="E21" s="100"/>
      <c r="F21" s="100"/>
      <c r="G21" s="100"/>
      <c r="H21" s="100"/>
      <c r="I21" s="101"/>
      <c r="J21" s="99"/>
      <c r="K21" s="100"/>
      <c r="L21" s="100"/>
      <c r="M21" s="100"/>
      <c r="N21" s="101"/>
      <c r="O21" s="102"/>
      <c r="P21" s="99"/>
      <c r="Q21" s="100"/>
      <c r="R21" s="100"/>
      <c r="S21" s="100"/>
      <c r="T21" s="101"/>
      <c r="U21" s="102"/>
    </row>
    <row r="22" spans="1:21" ht="15" thickBot="1">
      <c r="A22" s="362" t="s">
        <v>776</v>
      </c>
      <c r="B22" s="937" t="s">
        <v>70</v>
      </c>
      <c r="C22" s="938"/>
      <c r="D22" s="104"/>
      <c r="E22" s="105"/>
      <c r="F22" s="105"/>
      <c r="G22" s="105"/>
      <c r="H22" s="105"/>
      <c r="I22" s="106"/>
      <c r="J22" s="107"/>
      <c r="K22" s="105"/>
      <c r="L22" s="105"/>
      <c r="M22" s="105"/>
      <c r="N22" s="106"/>
      <c r="O22" s="108"/>
      <c r="P22" s="107"/>
      <c r="Q22" s="105"/>
      <c r="R22" s="105"/>
      <c r="S22" s="105"/>
      <c r="T22" s="106"/>
      <c r="U22" s="108"/>
    </row>
    <row r="23" spans="1:21" ht="24" customHeight="1">
      <c r="A23" s="46"/>
    </row>
    <row r="24" spans="1:21" ht="24" customHeight="1">
      <c r="A24" s="37" t="s">
        <v>777</v>
      </c>
    </row>
    <row r="25" spans="1:21" ht="9" customHeight="1"/>
    <row r="26" spans="1:21" ht="24" customHeight="1">
      <c r="A26" s="109" t="s">
        <v>59</v>
      </c>
    </row>
    <row r="27" spans="1:21" ht="15.75" customHeight="1">
      <c r="A27" s="44"/>
    </row>
    <row r="28" spans="1:21" ht="17.25" customHeight="1">
      <c r="A28" s="110" t="s">
        <v>778</v>
      </c>
    </row>
    <row r="29" spans="1:21" ht="17.25" customHeight="1">
      <c r="A29" s="110" t="s">
        <v>779</v>
      </c>
    </row>
    <row r="30" spans="1:21" ht="17.25" customHeight="1">
      <c r="A30" s="110" t="s">
        <v>780</v>
      </c>
    </row>
    <row r="31" spans="1:21" ht="17.25" customHeight="1">
      <c r="A31" s="14" t="s">
        <v>781</v>
      </c>
    </row>
    <row r="33" spans="1:1" s="111" customFormat="1">
      <c r="A33" s="62" t="s">
        <v>173</v>
      </c>
    </row>
    <row r="34" spans="1:1" s="111" customFormat="1">
      <c r="A34" s="111" t="s">
        <v>782</v>
      </c>
    </row>
    <row r="35" spans="1:1">
      <c r="A35" s="14" t="s">
        <v>783</v>
      </c>
    </row>
  </sheetData>
  <mergeCells count="18">
    <mergeCell ref="B19:B21"/>
    <mergeCell ref="B22:C22"/>
    <mergeCell ref="N11:O11"/>
    <mergeCell ref="P11:Q11"/>
    <mergeCell ref="R11:S11"/>
    <mergeCell ref="T11:U11"/>
    <mergeCell ref="B13:B15"/>
    <mergeCell ref="B16:B18"/>
    <mergeCell ref="A8:C12"/>
    <mergeCell ref="D9:U9"/>
    <mergeCell ref="D10:I10"/>
    <mergeCell ref="J10:O10"/>
    <mergeCell ref="P10:U10"/>
    <mergeCell ref="D11:E11"/>
    <mergeCell ref="F11:G11"/>
    <mergeCell ref="H11:I11"/>
    <mergeCell ref="J11:K11"/>
    <mergeCell ref="L11:M11"/>
  </mergeCells>
  <phoneticPr fontId="6" type="noConversion"/>
  <pageMargins left="0.7" right="0.7" top="0.75" bottom="0.75" header="0.3" footer="0.3"/>
  <pageSetup paperSize="9" scale="44" fitToHeight="0" orientation="portrait" r:id="rId1"/>
  <drawing r:id="rId2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F30D8C-F88F-4FEA-8CE6-E028537E9844}">
  <sheetPr codeName="Sheet35">
    <tabColor rgb="FFFFFF00"/>
    <pageSetUpPr fitToPage="1"/>
  </sheetPr>
  <dimension ref="A1:AG30"/>
  <sheetViews>
    <sheetView showGridLines="0" view="pageBreakPreview" zoomScale="85" zoomScaleNormal="100" zoomScaleSheetLayoutView="85" workbookViewId="0">
      <selection activeCell="R23" sqref="A23:R23"/>
    </sheetView>
  </sheetViews>
  <sheetFormatPr defaultColWidth="8.8984375" defaultRowHeight="14.4"/>
  <cols>
    <col min="1" max="1" width="6.3984375" style="14" customWidth="1"/>
    <col min="2" max="3" width="10.19921875" style="14" customWidth="1"/>
    <col min="4" max="17" width="5.796875" style="14" customWidth="1"/>
    <col min="18" max="18" width="6.8984375" style="14" customWidth="1"/>
    <col min="19" max="19" width="7.796875" style="14" customWidth="1"/>
    <col min="20" max="21" width="5.796875" style="14" customWidth="1"/>
    <col min="22" max="23" width="8.8984375" style="14"/>
    <col min="24" max="33" width="6.59765625" style="14" customWidth="1"/>
    <col min="34" max="16384" width="8.8984375" style="14"/>
  </cols>
  <sheetData>
    <row r="1" spans="1:33">
      <c r="A1" s="520"/>
    </row>
    <row r="5" spans="1:33" ht="20.25" customHeight="1">
      <c r="A5" s="16" t="s">
        <v>750</v>
      </c>
    </row>
    <row r="7" spans="1:33" ht="24" customHeight="1" thickBot="1">
      <c r="A7" s="14" t="s">
        <v>751</v>
      </c>
    </row>
    <row r="8" spans="1:33" s="110" customFormat="1">
      <c r="A8" s="924" t="s">
        <v>555</v>
      </c>
      <c r="B8" s="925"/>
      <c r="C8" s="926"/>
      <c r="D8" s="524" t="s">
        <v>693</v>
      </c>
      <c r="E8" s="525" t="s">
        <v>694</v>
      </c>
      <c r="F8" s="526" t="s">
        <v>752</v>
      </c>
      <c r="G8" s="526" t="s">
        <v>753</v>
      </c>
      <c r="H8" s="576" t="s">
        <v>1619</v>
      </c>
      <c r="I8" s="576" t="s">
        <v>1620</v>
      </c>
      <c r="J8" s="576" t="s">
        <v>1621</v>
      </c>
      <c r="K8" s="576" t="s">
        <v>1622</v>
      </c>
      <c r="L8" s="526" t="s">
        <v>754</v>
      </c>
      <c r="M8" s="527" t="s">
        <v>755</v>
      </c>
      <c r="N8" s="528" t="s">
        <v>695</v>
      </c>
      <c r="O8" s="526" t="s">
        <v>696</v>
      </c>
      <c r="P8" s="526" t="s">
        <v>756</v>
      </c>
      <c r="Q8" s="526" t="s">
        <v>757</v>
      </c>
      <c r="R8" s="576" t="s">
        <v>1625</v>
      </c>
      <c r="S8" s="576" t="s">
        <v>1626</v>
      </c>
      <c r="T8" s="576" t="s">
        <v>1627</v>
      </c>
      <c r="U8" s="576" t="s">
        <v>1628</v>
      </c>
      <c r="V8" s="527" t="s">
        <v>758</v>
      </c>
      <c r="W8" s="529" t="s">
        <v>759</v>
      </c>
      <c r="X8" s="528" t="s">
        <v>72</v>
      </c>
      <c r="Y8" s="526" t="s">
        <v>73</v>
      </c>
      <c r="Z8" s="526" t="s">
        <v>74</v>
      </c>
      <c r="AA8" s="526" t="s">
        <v>105</v>
      </c>
      <c r="AB8" s="576" t="s">
        <v>1629</v>
      </c>
      <c r="AC8" s="576" t="s">
        <v>1630</v>
      </c>
      <c r="AD8" s="576" t="s">
        <v>1631</v>
      </c>
      <c r="AE8" s="576" t="s">
        <v>1632</v>
      </c>
      <c r="AF8" s="527" t="s">
        <v>107</v>
      </c>
      <c r="AG8" s="529" t="s">
        <v>109</v>
      </c>
    </row>
    <row r="9" spans="1:33" s="110" customFormat="1">
      <c r="A9" s="927"/>
      <c r="B9" s="928"/>
      <c r="C9" s="929"/>
      <c r="D9" s="933" t="s">
        <v>569</v>
      </c>
      <c r="E9" s="939"/>
      <c r="F9" s="939"/>
      <c r="G9" s="939"/>
      <c r="H9" s="939"/>
      <c r="I9" s="939"/>
      <c r="J9" s="939"/>
      <c r="K9" s="939"/>
      <c r="L9" s="939"/>
      <c r="M9" s="939"/>
      <c r="N9" s="935" t="s">
        <v>761</v>
      </c>
      <c r="O9" s="939"/>
      <c r="P9" s="939"/>
      <c r="Q9" s="939"/>
      <c r="R9" s="939"/>
      <c r="S9" s="939"/>
      <c r="T9" s="939"/>
      <c r="U9" s="939"/>
      <c r="V9" s="939"/>
      <c r="W9" s="940"/>
      <c r="X9" s="935" t="s">
        <v>634</v>
      </c>
      <c r="Y9" s="939"/>
      <c r="Z9" s="939"/>
      <c r="AA9" s="939"/>
      <c r="AB9" s="939"/>
      <c r="AC9" s="939"/>
      <c r="AD9" s="939"/>
      <c r="AE9" s="939"/>
      <c r="AF9" s="939"/>
      <c r="AG9" s="940"/>
    </row>
    <row r="10" spans="1:33" s="110" customFormat="1" ht="13.5" customHeight="1">
      <c r="A10" s="927"/>
      <c r="B10" s="928"/>
      <c r="C10" s="929"/>
      <c r="D10" s="936" t="s">
        <v>762</v>
      </c>
      <c r="E10" s="942"/>
      <c r="F10" s="941" t="s">
        <v>763</v>
      </c>
      <c r="G10" s="942"/>
      <c r="H10" s="943" t="s">
        <v>1617</v>
      </c>
      <c r="I10" s="944"/>
      <c r="J10" s="943" t="s">
        <v>1618</v>
      </c>
      <c r="K10" s="944"/>
      <c r="L10" s="941" t="s">
        <v>764</v>
      </c>
      <c r="M10" s="804"/>
      <c r="N10" s="936" t="s">
        <v>762</v>
      </c>
      <c r="O10" s="942"/>
      <c r="P10" s="941" t="s">
        <v>763</v>
      </c>
      <c r="Q10" s="942"/>
      <c r="R10" s="943" t="s">
        <v>1617</v>
      </c>
      <c r="S10" s="944"/>
      <c r="T10" s="943" t="s">
        <v>1618</v>
      </c>
      <c r="U10" s="944"/>
      <c r="V10" s="941" t="s">
        <v>764</v>
      </c>
      <c r="W10" s="804"/>
      <c r="X10" s="936" t="s">
        <v>762</v>
      </c>
      <c r="Y10" s="942"/>
      <c r="Z10" s="941" t="s">
        <v>763</v>
      </c>
      <c r="AA10" s="942"/>
      <c r="AB10" s="943" t="s">
        <v>1617</v>
      </c>
      <c r="AC10" s="944"/>
      <c r="AD10" s="943" t="s">
        <v>1618</v>
      </c>
      <c r="AE10" s="944"/>
      <c r="AF10" s="941" t="s">
        <v>764</v>
      </c>
      <c r="AG10" s="804"/>
    </row>
    <row r="11" spans="1:33" s="110" customFormat="1" ht="29.4" thickBot="1">
      <c r="A11" s="930"/>
      <c r="B11" s="931"/>
      <c r="C11" s="932"/>
      <c r="D11" s="83" t="s">
        <v>765</v>
      </c>
      <c r="E11" s="84" t="s">
        <v>702</v>
      </c>
      <c r="F11" s="85" t="s">
        <v>765</v>
      </c>
      <c r="G11" s="85" t="s">
        <v>702</v>
      </c>
      <c r="H11" s="523" t="s">
        <v>765</v>
      </c>
      <c r="I11" s="523" t="s">
        <v>702</v>
      </c>
      <c r="J11" s="523" t="s">
        <v>765</v>
      </c>
      <c r="K11" s="523" t="s">
        <v>702</v>
      </c>
      <c r="L11" s="85" t="s">
        <v>765</v>
      </c>
      <c r="M11" s="86" t="s">
        <v>702</v>
      </c>
      <c r="N11" s="87" t="s">
        <v>765</v>
      </c>
      <c r="O11" s="85" t="s">
        <v>702</v>
      </c>
      <c r="P11" s="85" t="s">
        <v>765</v>
      </c>
      <c r="Q11" s="85" t="s">
        <v>702</v>
      </c>
      <c r="R11" s="523" t="s">
        <v>765</v>
      </c>
      <c r="S11" s="523" t="s">
        <v>702</v>
      </c>
      <c r="T11" s="523" t="s">
        <v>765</v>
      </c>
      <c r="U11" s="523" t="s">
        <v>702</v>
      </c>
      <c r="V11" s="86" t="s">
        <v>765</v>
      </c>
      <c r="W11" s="500" t="s">
        <v>702</v>
      </c>
      <c r="X11" s="87" t="s">
        <v>765</v>
      </c>
      <c r="Y11" s="85" t="s">
        <v>702</v>
      </c>
      <c r="Z11" s="85" t="s">
        <v>765</v>
      </c>
      <c r="AA11" s="85" t="s">
        <v>702</v>
      </c>
      <c r="AB11" s="523" t="s">
        <v>765</v>
      </c>
      <c r="AC11" s="523" t="s">
        <v>702</v>
      </c>
      <c r="AD11" s="523" t="s">
        <v>765</v>
      </c>
      <c r="AE11" s="523" t="s">
        <v>702</v>
      </c>
      <c r="AF11" s="86" t="s">
        <v>765</v>
      </c>
      <c r="AG11" s="500" t="s">
        <v>702</v>
      </c>
    </row>
    <row r="12" spans="1:33" s="110" customFormat="1">
      <c r="A12" s="385" t="s">
        <v>558</v>
      </c>
      <c r="B12" s="388" t="s">
        <v>1435</v>
      </c>
      <c r="C12" s="386" t="s">
        <v>1391</v>
      </c>
      <c r="D12" s="352"/>
      <c r="E12" s="353"/>
      <c r="F12" s="353"/>
      <c r="G12" s="353"/>
      <c r="H12" s="353"/>
      <c r="I12" s="353"/>
      <c r="J12" s="353"/>
      <c r="K12" s="353"/>
      <c r="L12" s="353">
        <f>D12+F12-H12+J12</f>
        <v>0</v>
      </c>
      <c r="M12" s="353">
        <f>E12+G12-I12+K12</f>
        <v>0</v>
      </c>
      <c r="N12" s="355"/>
      <c r="O12" s="353"/>
      <c r="P12" s="353"/>
      <c r="Q12" s="353"/>
      <c r="R12" s="354"/>
      <c r="S12" s="354"/>
      <c r="T12" s="354"/>
      <c r="U12" s="354"/>
      <c r="V12" s="353">
        <f>N12+P12-R12+T12</f>
        <v>0</v>
      </c>
      <c r="W12" s="353">
        <f>O12+Q12-S12+U12</f>
        <v>0</v>
      </c>
      <c r="X12" s="355"/>
      <c r="Y12" s="353"/>
      <c r="Z12" s="353"/>
      <c r="AA12" s="353"/>
      <c r="AB12" s="354"/>
      <c r="AC12" s="354"/>
      <c r="AD12" s="354"/>
      <c r="AE12" s="354"/>
      <c r="AF12" s="353">
        <f>X12+Z12-AB12+AD12</f>
        <v>0</v>
      </c>
      <c r="AG12" s="353">
        <f>Y12+AA12-AC12+AE12</f>
        <v>0</v>
      </c>
    </row>
    <row r="13" spans="1:33" s="110" customFormat="1" ht="28.8">
      <c r="A13" s="385" t="s">
        <v>560</v>
      </c>
      <c r="B13" s="388" t="s">
        <v>1433</v>
      </c>
      <c r="C13" s="386" t="s">
        <v>1392</v>
      </c>
      <c r="D13" s="352"/>
      <c r="E13" s="353"/>
      <c r="F13" s="353"/>
      <c r="G13" s="353"/>
      <c r="H13" s="353"/>
      <c r="I13" s="353"/>
      <c r="J13" s="353"/>
      <c r="K13" s="353"/>
      <c r="L13" s="353">
        <f t="shared" ref="L13:L14" si="0">D13+F13-H13+J13</f>
        <v>0</v>
      </c>
      <c r="M13" s="353">
        <f t="shared" ref="M13:M14" si="1">E13+G13-I13+K13</f>
        <v>0</v>
      </c>
      <c r="N13" s="355"/>
      <c r="O13" s="353"/>
      <c r="P13" s="353"/>
      <c r="Q13" s="353"/>
      <c r="R13" s="354"/>
      <c r="S13" s="354"/>
      <c r="T13" s="354"/>
      <c r="U13" s="354"/>
      <c r="V13" s="353">
        <f t="shared" ref="V13:V14" si="2">N13+P13-R13+T13</f>
        <v>0</v>
      </c>
      <c r="W13" s="353">
        <f t="shared" ref="W13:W14" si="3">O13+Q13-S13+U13</f>
        <v>0</v>
      </c>
      <c r="X13" s="355"/>
      <c r="Y13" s="353"/>
      <c r="Z13" s="353"/>
      <c r="AA13" s="353"/>
      <c r="AB13" s="354"/>
      <c r="AC13" s="354"/>
      <c r="AD13" s="354"/>
      <c r="AE13" s="354"/>
      <c r="AF13" s="353">
        <f t="shared" ref="AF13:AF14" si="4">X13+Z13-AB13+AD13</f>
        <v>0</v>
      </c>
      <c r="AG13" s="353">
        <f t="shared" ref="AG13:AG14" si="5">Y13+AA13-AC13+AE13</f>
        <v>0</v>
      </c>
    </row>
    <row r="14" spans="1:33" s="110" customFormat="1">
      <c r="A14" s="385" t="s">
        <v>775</v>
      </c>
      <c r="B14" s="388" t="s">
        <v>1431</v>
      </c>
      <c r="C14" s="386" t="s">
        <v>1393</v>
      </c>
      <c r="D14" s="352"/>
      <c r="E14" s="353"/>
      <c r="F14" s="353"/>
      <c r="G14" s="353"/>
      <c r="H14" s="353"/>
      <c r="I14" s="353"/>
      <c r="J14" s="353"/>
      <c r="K14" s="353"/>
      <c r="L14" s="353">
        <f t="shared" si="0"/>
        <v>0</v>
      </c>
      <c r="M14" s="353">
        <f t="shared" si="1"/>
        <v>0</v>
      </c>
      <c r="N14" s="355"/>
      <c r="O14" s="353"/>
      <c r="P14" s="353"/>
      <c r="Q14" s="353"/>
      <c r="R14" s="354"/>
      <c r="S14" s="354"/>
      <c r="T14" s="354"/>
      <c r="U14" s="354"/>
      <c r="V14" s="353">
        <f t="shared" si="2"/>
        <v>0</v>
      </c>
      <c r="W14" s="353">
        <f t="shared" si="3"/>
        <v>0</v>
      </c>
      <c r="X14" s="355"/>
      <c r="Y14" s="353"/>
      <c r="Z14" s="353"/>
      <c r="AA14" s="353"/>
      <c r="AB14" s="354"/>
      <c r="AC14" s="354"/>
      <c r="AD14" s="354"/>
      <c r="AE14" s="354"/>
      <c r="AF14" s="353">
        <f t="shared" si="4"/>
        <v>0</v>
      </c>
      <c r="AG14" s="353">
        <f t="shared" si="5"/>
        <v>0</v>
      </c>
    </row>
    <row r="15" spans="1:33" s="110" customFormat="1" ht="15" thickBot="1">
      <c r="A15" s="387" t="s">
        <v>776</v>
      </c>
      <c r="B15" s="945" t="s">
        <v>70</v>
      </c>
      <c r="C15" s="946"/>
      <c r="D15" s="501">
        <f>SUM(D12:D14)</f>
        <v>0</v>
      </c>
      <c r="E15" s="502">
        <f t="shared" ref="E15:AG15" si="6">SUM(E12:E14)</f>
        <v>0</v>
      </c>
      <c r="F15" s="502">
        <f t="shared" si="6"/>
        <v>0</v>
      </c>
      <c r="G15" s="502">
        <f t="shared" si="6"/>
        <v>0</v>
      </c>
      <c r="H15" s="502">
        <f t="shared" si="6"/>
        <v>0</v>
      </c>
      <c r="I15" s="502">
        <f t="shared" si="6"/>
        <v>0</v>
      </c>
      <c r="J15" s="502">
        <f t="shared" si="6"/>
        <v>0</v>
      </c>
      <c r="K15" s="502">
        <f t="shared" si="6"/>
        <v>0</v>
      </c>
      <c r="L15" s="502">
        <f t="shared" si="6"/>
        <v>0</v>
      </c>
      <c r="M15" s="503">
        <f t="shared" si="6"/>
        <v>0</v>
      </c>
      <c r="N15" s="504">
        <f t="shared" si="6"/>
        <v>0</v>
      </c>
      <c r="O15" s="502">
        <f t="shared" si="6"/>
        <v>0</v>
      </c>
      <c r="P15" s="502">
        <f t="shared" si="6"/>
        <v>0</v>
      </c>
      <c r="Q15" s="502">
        <f t="shared" si="6"/>
        <v>0</v>
      </c>
      <c r="R15" s="503">
        <f t="shared" si="6"/>
        <v>0</v>
      </c>
      <c r="S15" s="503">
        <f t="shared" si="6"/>
        <v>0</v>
      </c>
      <c r="T15" s="503">
        <f t="shared" si="6"/>
        <v>0</v>
      </c>
      <c r="U15" s="503">
        <f t="shared" si="6"/>
        <v>0</v>
      </c>
      <c r="V15" s="503">
        <f t="shared" si="6"/>
        <v>0</v>
      </c>
      <c r="W15" s="505">
        <f t="shared" si="6"/>
        <v>0</v>
      </c>
      <c r="X15" s="504">
        <f t="shared" si="6"/>
        <v>0</v>
      </c>
      <c r="Y15" s="502">
        <f t="shared" si="6"/>
        <v>0</v>
      </c>
      <c r="Z15" s="502">
        <f t="shared" si="6"/>
        <v>0</v>
      </c>
      <c r="AA15" s="502">
        <f t="shared" si="6"/>
        <v>0</v>
      </c>
      <c r="AB15" s="503">
        <f t="shared" si="6"/>
        <v>0</v>
      </c>
      <c r="AC15" s="503">
        <f t="shared" si="6"/>
        <v>0</v>
      </c>
      <c r="AD15" s="503">
        <f t="shared" si="6"/>
        <v>0</v>
      </c>
      <c r="AE15" s="503">
        <f t="shared" si="6"/>
        <v>0</v>
      </c>
      <c r="AF15" s="503">
        <f t="shared" si="6"/>
        <v>0</v>
      </c>
      <c r="AG15" s="505">
        <f t="shared" si="6"/>
        <v>0</v>
      </c>
    </row>
    <row r="16" spans="1:33" ht="24" customHeight="1">
      <c r="A16" s="46"/>
      <c r="Z16" s="14" t="s">
        <v>244</v>
      </c>
    </row>
    <row r="17" spans="1:24">
      <c r="A17" s="37" t="s">
        <v>777</v>
      </c>
    </row>
    <row r="19" spans="1:24">
      <c r="A19" s="109" t="s">
        <v>59</v>
      </c>
    </row>
    <row r="20" spans="1:24">
      <c r="A20" s="44"/>
    </row>
    <row r="21" spans="1:24">
      <c r="A21" s="110" t="s">
        <v>778</v>
      </c>
    </row>
    <row r="22" spans="1:24">
      <c r="A22" s="110" t="s">
        <v>779</v>
      </c>
    </row>
    <row r="23" spans="1:24">
      <c r="A23" s="110" t="s">
        <v>780</v>
      </c>
    </row>
    <row r="24" spans="1:24">
      <c r="A24" s="14" t="s">
        <v>781</v>
      </c>
    </row>
    <row r="26" spans="1:24" s="111" customFormat="1">
      <c r="A26" s="62" t="s">
        <v>173</v>
      </c>
    </row>
    <row r="27" spans="1:24" s="111" customFormat="1">
      <c r="A27" s="111" t="s">
        <v>782</v>
      </c>
    </row>
    <row r="28" spans="1:24">
      <c r="A28" s="14" t="s">
        <v>783</v>
      </c>
    </row>
    <row r="29" spans="1:24">
      <c r="A29" s="351" t="s">
        <v>1753</v>
      </c>
      <c r="B29" s="351"/>
      <c r="C29" s="351"/>
      <c r="D29" s="351"/>
      <c r="E29" s="351"/>
      <c r="F29" s="351"/>
      <c r="G29" s="351"/>
      <c r="H29" s="351"/>
      <c r="I29" s="351"/>
      <c r="J29" s="351"/>
      <c r="K29" s="351"/>
      <c r="L29" s="351"/>
      <c r="M29" s="351"/>
      <c r="N29" s="351"/>
      <c r="O29" s="351"/>
      <c r="P29" s="351"/>
      <c r="Q29" s="351"/>
      <c r="R29" s="351"/>
      <c r="S29" s="351"/>
      <c r="T29" s="351"/>
      <c r="U29" s="351"/>
      <c r="V29" s="351"/>
      <c r="W29" s="351"/>
      <c r="X29" s="351"/>
    </row>
    <row r="30" spans="1:24">
      <c r="A30" s="351" t="s">
        <v>1754</v>
      </c>
      <c r="B30" s="351"/>
      <c r="C30" s="351"/>
      <c r="D30" s="351"/>
      <c r="E30" s="351"/>
      <c r="F30" s="351"/>
      <c r="G30" s="351"/>
      <c r="H30" s="351"/>
      <c r="I30" s="351"/>
      <c r="J30" s="351"/>
      <c r="K30" s="351"/>
      <c r="L30" s="351"/>
      <c r="M30" s="351"/>
      <c r="N30" s="351"/>
      <c r="O30" s="351"/>
      <c r="P30" s="351"/>
      <c r="Q30" s="351"/>
      <c r="R30" s="351"/>
      <c r="S30" s="351"/>
      <c r="T30" s="351"/>
      <c r="U30" s="351"/>
      <c r="V30" s="351"/>
      <c r="W30" s="351"/>
      <c r="X30" s="351"/>
    </row>
  </sheetData>
  <mergeCells count="20">
    <mergeCell ref="B15:C15"/>
    <mergeCell ref="N10:O10"/>
    <mergeCell ref="P10:Q10"/>
    <mergeCell ref="R10:S10"/>
    <mergeCell ref="T10:U10"/>
    <mergeCell ref="A8:C11"/>
    <mergeCell ref="D10:E10"/>
    <mergeCell ref="F10:G10"/>
    <mergeCell ref="H10:I10"/>
    <mergeCell ref="J10:K10"/>
    <mergeCell ref="L10:M10"/>
    <mergeCell ref="D9:M9"/>
    <mergeCell ref="N9:W9"/>
    <mergeCell ref="X9:AG9"/>
    <mergeCell ref="V10:W10"/>
    <mergeCell ref="X10:Y10"/>
    <mergeCell ref="Z10:AA10"/>
    <mergeCell ref="AB10:AC10"/>
    <mergeCell ref="AD10:AE10"/>
    <mergeCell ref="AF10:AG10"/>
  </mergeCells>
  <phoneticPr fontId="6" type="noConversion"/>
  <pageMargins left="0.7" right="0.7" top="0.75" bottom="0.75" header="0.3" footer="0.3"/>
  <pageSetup paperSize="9" scale="34" fitToHeight="0" orientation="portrait" r:id="rId1"/>
  <drawing r:id="rId2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04B759-60B5-4EB2-99AD-26412FD9A6C5}">
  <sheetPr codeName="Sheet36">
    <tabColor theme="0" tint="-0.249977111117893"/>
  </sheetPr>
  <dimension ref="A5:I29"/>
  <sheetViews>
    <sheetView showGridLines="0" view="pageBreakPreview" zoomScaleNormal="100" zoomScaleSheetLayoutView="100" workbookViewId="0">
      <selection activeCell="B1" sqref="B1"/>
    </sheetView>
  </sheetViews>
  <sheetFormatPr defaultRowHeight="14.4"/>
  <cols>
    <col min="1" max="1" width="8.8984375" style="5"/>
    <col min="2" max="3" width="15.59765625" style="5" customWidth="1"/>
    <col min="4" max="4" width="12.3984375" style="5" customWidth="1"/>
    <col min="5" max="5" width="13.8984375" style="5" bestFit="1" customWidth="1"/>
    <col min="6" max="6" width="14" style="5" customWidth="1"/>
    <col min="7" max="7" width="13.8984375" style="5" bestFit="1" customWidth="1"/>
    <col min="8" max="8" width="14" style="5" customWidth="1"/>
    <col min="9" max="9" width="13.8984375" style="5" bestFit="1" customWidth="1"/>
  </cols>
  <sheetData>
    <row r="5" spans="1:9" ht="20.399999999999999">
      <c r="A5" s="63" t="s">
        <v>1633</v>
      </c>
    </row>
    <row r="7" spans="1:9" ht="15" thickBot="1">
      <c r="A7" s="5" t="s">
        <v>751</v>
      </c>
    </row>
    <row r="8" spans="1:9">
      <c r="A8" s="949" t="s">
        <v>555</v>
      </c>
      <c r="B8" s="950"/>
      <c r="C8" s="950"/>
      <c r="D8" s="288" t="s">
        <v>693</v>
      </c>
      <c r="E8" s="114" t="s">
        <v>694</v>
      </c>
      <c r="F8" s="288" t="s">
        <v>695</v>
      </c>
      <c r="G8" s="115" t="s">
        <v>696</v>
      </c>
      <c r="H8" s="288" t="s">
        <v>657</v>
      </c>
      <c r="I8" s="115" t="s">
        <v>697</v>
      </c>
    </row>
    <row r="9" spans="1:9">
      <c r="A9" s="951"/>
      <c r="B9" s="947"/>
      <c r="C9" s="947"/>
      <c r="D9" s="911" t="s">
        <v>569</v>
      </c>
      <c r="E9" s="911"/>
      <c r="F9" s="911" t="s">
        <v>761</v>
      </c>
      <c r="G9" s="952"/>
      <c r="H9" s="911" t="s">
        <v>1634</v>
      </c>
      <c r="I9" s="952"/>
    </row>
    <row r="10" spans="1:9">
      <c r="A10" s="951"/>
      <c r="B10" s="947"/>
      <c r="C10" s="947"/>
      <c r="D10" s="490" t="s">
        <v>563</v>
      </c>
      <c r="E10" s="68" t="s">
        <v>1635</v>
      </c>
      <c r="F10" s="490" t="s">
        <v>563</v>
      </c>
      <c r="G10" s="506" t="s">
        <v>1635</v>
      </c>
      <c r="H10" s="490" t="s">
        <v>563</v>
      </c>
      <c r="I10" s="506" t="s">
        <v>1635</v>
      </c>
    </row>
    <row r="11" spans="1:9" ht="15.6">
      <c r="A11" s="507" t="s">
        <v>556</v>
      </c>
      <c r="B11" s="947" t="s">
        <v>1636</v>
      </c>
      <c r="C11" s="491" t="s">
        <v>1637</v>
      </c>
      <c r="D11" s="508"/>
      <c r="E11" s="231"/>
      <c r="F11" s="508"/>
      <c r="G11" s="509"/>
      <c r="H11" s="508"/>
      <c r="I11" s="509"/>
    </row>
    <row r="12" spans="1:9" ht="15.6">
      <c r="A12" s="507" t="s">
        <v>693</v>
      </c>
      <c r="B12" s="947"/>
      <c r="C12" s="491" t="s">
        <v>1638</v>
      </c>
      <c r="D12" s="508"/>
      <c r="E12" s="231"/>
      <c r="F12" s="508"/>
      <c r="G12" s="509"/>
      <c r="H12" s="508"/>
      <c r="I12" s="509"/>
    </row>
    <row r="13" spans="1:9" ht="15.6">
      <c r="A13" s="507" t="s">
        <v>557</v>
      </c>
      <c r="B13" s="947" t="s">
        <v>1639</v>
      </c>
      <c r="C13" s="491" t="s">
        <v>1637</v>
      </c>
      <c r="D13" s="508"/>
      <c r="E13" s="231"/>
      <c r="F13" s="508"/>
      <c r="G13" s="509"/>
      <c r="H13" s="508"/>
      <c r="I13" s="509"/>
    </row>
    <row r="14" spans="1:9" ht="15.6">
      <c r="A14" s="507" t="s">
        <v>695</v>
      </c>
      <c r="B14" s="947"/>
      <c r="C14" s="491" t="s">
        <v>1638</v>
      </c>
      <c r="D14" s="508"/>
      <c r="E14" s="231"/>
      <c r="F14" s="508"/>
      <c r="G14" s="509"/>
      <c r="H14" s="508"/>
      <c r="I14" s="509"/>
    </row>
    <row r="15" spans="1:9" ht="15.6">
      <c r="A15" s="507" t="s">
        <v>558</v>
      </c>
      <c r="B15" s="947" t="s">
        <v>1640</v>
      </c>
      <c r="C15" s="491" t="s">
        <v>1637</v>
      </c>
      <c r="D15" s="508"/>
      <c r="E15" s="231"/>
      <c r="F15" s="508"/>
      <c r="G15" s="509"/>
      <c r="H15" s="508"/>
      <c r="I15" s="509"/>
    </row>
    <row r="16" spans="1:9" ht="15.6">
      <c r="A16" s="510" t="s">
        <v>657</v>
      </c>
      <c r="B16" s="947"/>
      <c r="C16" s="491" t="s">
        <v>1638</v>
      </c>
      <c r="D16" s="508"/>
      <c r="E16" s="231"/>
      <c r="F16" s="508"/>
      <c r="G16" s="509"/>
      <c r="H16" s="508"/>
      <c r="I16" s="509"/>
    </row>
    <row r="17" spans="1:9" ht="15.6">
      <c r="A17" s="507" t="s">
        <v>559</v>
      </c>
      <c r="B17" s="947" t="s">
        <v>1641</v>
      </c>
      <c r="C17" s="491" t="s">
        <v>1637</v>
      </c>
      <c r="D17" s="508"/>
      <c r="E17" s="231"/>
      <c r="F17" s="508"/>
      <c r="G17" s="509"/>
      <c r="H17" s="508"/>
      <c r="I17" s="509"/>
    </row>
    <row r="18" spans="1:9" ht="15.6">
      <c r="A18" s="507" t="s">
        <v>671</v>
      </c>
      <c r="B18" s="947"/>
      <c r="C18" s="491" t="s">
        <v>1638</v>
      </c>
      <c r="D18" s="508"/>
      <c r="E18" s="231"/>
      <c r="F18" s="508"/>
      <c r="G18" s="509"/>
      <c r="H18" s="508"/>
      <c r="I18" s="509"/>
    </row>
    <row r="19" spans="1:9" ht="15.6">
      <c r="A19" s="507" t="s">
        <v>561</v>
      </c>
      <c r="B19" s="947" t="s">
        <v>68</v>
      </c>
      <c r="C19" s="491" t="s">
        <v>1637</v>
      </c>
      <c r="D19" s="508"/>
      <c r="E19" s="231"/>
      <c r="F19" s="508"/>
      <c r="G19" s="509"/>
      <c r="H19" s="508"/>
      <c r="I19" s="509"/>
    </row>
    <row r="20" spans="1:9" ht="15.6">
      <c r="A20" s="507" t="s">
        <v>673</v>
      </c>
      <c r="B20" s="947"/>
      <c r="C20" s="491" t="s">
        <v>1638</v>
      </c>
      <c r="D20" s="508"/>
      <c r="E20" s="231"/>
      <c r="F20" s="508"/>
      <c r="G20" s="509"/>
      <c r="H20" s="508"/>
      <c r="I20" s="509"/>
    </row>
    <row r="21" spans="1:9" ht="15.6">
      <c r="A21" s="507" t="s">
        <v>560</v>
      </c>
      <c r="B21" s="947" t="s">
        <v>581</v>
      </c>
      <c r="C21" s="491" t="s">
        <v>1637</v>
      </c>
      <c r="D21" s="511">
        <f t="shared" ref="D21:I22" si="0">D11+D13+D15+D17+D19</f>
        <v>0</v>
      </c>
      <c r="E21" s="433">
        <f t="shared" si="0"/>
        <v>0</v>
      </c>
      <c r="F21" s="511">
        <f t="shared" si="0"/>
        <v>0</v>
      </c>
      <c r="G21" s="512">
        <f t="shared" si="0"/>
        <v>0</v>
      </c>
      <c r="H21" s="511">
        <f t="shared" si="0"/>
        <v>0</v>
      </c>
      <c r="I21" s="512">
        <f t="shared" si="0"/>
        <v>0</v>
      </c>
    </row>
    <row r="22" spans="1:9" ht="16.2" thickBot="1">
      <c r="A22" s="513" t="s">
        <v>674</v>
      </c>
      <c r="B22" s="948"/>
      <c r="C22" s="514" t="s">
        <v>1638</v>
      </c>
      <c r="D22" s="515">
        <f t="shared" si="0"/>
        <v>0</v>
      </c>
      <c r="E22" s="516">
        <f t="shared" si="0"/>
        <v>0</v>
      </c>
      <c r="F22" s="515">
        <f t="shared" si="0"/>
        <v>0</v>
      </c>
      <c r="G22" s="517">
        <f t="shared" si="0"/>
        <v>0</v>
      </c>
      <c r="H22" s="515">
        <f t="shared" si="0"/>
        <v>0</v>
      </c>
      <c r="I22" s="517">
        <f t="shared" si="0"/>
        <v>0</v>
      </c>
    </row>
    <row r="23" spans="1:9">
      <c r="A23" s="3"/>
    </row>
    <row r="24" spans="1:9">
      <c r="A24" s="130" t="s">
        <v>547</v>
      </c>
    </row>
    <row r="26" spans="1:9">
      <c r="A26" s="131" t="s">
        <v>59</v>
      </c>
    </row>
    <row r="27" spans="1:9">
      <c r="A27" s="4" t="s">
        <v>1642</v>
      </c>
    </row>
    <row r="28" spans="1:9">
      <c r="A28" s="5" t="s">
        <v>1643</v>
      </c>
    </row>
    <row r="29" spans="1:9">
      <c r="A29" s="235"/>
      <c r="B29" s="235"/>
      <c r="C29" s="235"/>
      <c r="D29" s="235"/>
      <c r="E29" s="235"/>
      <c r="F29" s="235"/>
      <c r="G29" s="235"/>
      <c r="H29" s="235"/>
      <c r="I29" s="235"/>
    </row>
  </sheetData>
  <mergeCells count="10">
    <mergeCell ref="D9:E9"/>
    <mergeCell ref="F9:G9"/>
    <mergeCell ref="H9:I9"/>
    <mergeCell ref="B11:B12"/>
    <mergeCell ref="B13:B14"/>
    <mergeCell ref="B15:B16"/>
    <mergeCell ref="B17:B18"/>
    <mergeCell ref="B19:B20"/>
    <mergeCell ref="B21:B22"/>
    <mergeCell ref="A8:C10"/>
  </mergeCells>
  <phoneticPr fontId="6" type="noConversion"/>
  <pageMargins left="0.7" right="0.7" top="0.75" bottom="0.75" header="0.3" footer="0.3"/>
  <pageSetup paperSize="9" scale="54" orientation="portrait" r:id="rId1"/>
  <drawing r:id="rId2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F4805C-C135-45E5-83DA-6CA028077AB6}">
  <sheetPr codeName="Sheet37">
    <tabColor rgb="FFFFFF00"/>
  </sheetPr>
  <dimension ref="A1:P32"/>
  <sheetViews>
    <sheetView showGridLines="0" view="pageBreakPreview" zoomScale="85" zoomScaleNormal="100" zoomScaleSheetLayoutView="85" workbookViewId="0">
      <selection activeCell="A27" sqref="A27"/>
    </sheetView>
  </sheetViews>
  <sheetFormatPr defaultRowHeight="14.4"/>
  <sheetData>
    <row r="1" spans="1:9">
      <c r="A1" s="521"/>
      <c r="B1" s="5"/>
      <c r="C1" s="5"/>
      <c r="D1" s="5"/>
      <c r="E1" s="5"/>
      <c r="F1" s="5"/>
      <c r="G1" s="5"/>
      <c r="H1" s="5"/>
      <c r="I1" s="5"/>
    </row>
    <row r="2" spans="1:9">
      <c r="A2" s="5"/>
      <c r="B2" s="5"/>
      <c r="C2" s="5"/>
      <c r="D2" s="5"/>
      <c r="E2" s="5"/>
      <c r="F2" s="5"/>
      <c r="G2" s="5"/>
      <c r="H2" s="5"/>
      <c r="I2" s="5"/>
    </row>
    <row r="3" spans="1:9">
      <c r="A3" s="5"/>
      <c r="B3" s="5"/>
      <c r="C3" s="5"/>
      <c r="D3" s="5"/>
      <c r="E3" s="5"/>
      <c r="F3" s="5"/>
      <c r="G3" s="5"/>
      <c r="H3" s="5"/>
      <c r="I3" s="5"/>
    </row>
    <row r="4" spans="1:9">
      <c r="A4" s="5"/>
      <c r="B4" s="5"/>
      <c r="C4" s="5"/>
      <c r="D4" s="5"/>
      <c r="E4" s="5"/>
      <c r="F4" s="5"/>
      <c r="G4" s="5"/>
      <c r="H4" s="5"/>
      <c r="I4" s="5"/>
    </row>
    <row r="5" spans="1:9" ht="20.399999999999999">
      <c r="A5" s="63" t="s">
        <v>1633</v>
      </c>
      <c r="B5" s="5"/>
      <c r="C5" s="5"/>
      <c r="D5" s="5"/>
      <c r="E5" s="5"/>
      <c r="F5" s="5"/>
      <c r="G5" s="5"/>
      <c r="H5" s="5"/>
      <c r="I5" s="5"/>
    </row>
    <row r="6" spans="1:9">
      <c r="A6" s="5"/>
      <c r="B6" s="5"/>
      <c r="C6" s="5"/>
      <c r="D6" s="5"/>
      <c r="E6" s="5"/>
      <c r="F6" s="5"/>
      <c r="G6" s="5"/>
      <c r="H6" s="5"/>
      <c r="I6" s="5"/>
    </row>
    <row r="7" spans="1:9">
      <c r="A7" s="5" t="s">
        <v>751</v>
      </c>
      <c r="B7" s="5"/>
      <c r="C7" s="5"/>
      <c r="D7" s="5"/>
      <c r="E7" s="5"/>
      <c r="F7" s="5"/>
      <c r="G7" s="5"/>
      <c r="H7" s="5"/>
      <c r="I7" s="5"/>
    </row>
    <row r="8" spans="1:9">
      <c r="A8" s="947" t="s">
        <v>555</v>
      </c>
      <c r="B8" s="947"/>
      <c r="C8" s="947"/>
      <c r="D8" s="573" t="s">
        <v>693</v>
      </c>
      <c r="E8" s="575" t="s">
        <v>694</v>
      </c>
      <c r="F8" s="573" t="s">
        <v>695</v>
      </c>
      <c r="G8" s="575" t="s">
        <v>696</v>
      </c>
      <c r="H8" s="573" t="s">
        <v>657</v>
      </c>
      <c r="I8" s="575" t="s">
        <v>697</v>
      </c>
    </row>
    <row r="9" spans="1:9">
      <c r="A9" s="947"/>
      <c r="B9" s="947"/>
      <c r="C9" s="947"/>
      <c r="D9" s="911" t="s">
        <v>569</v>
      </c>
      <c r="E9" s="911"/>
      <c r="F9" s="911" t="s">
        <v>761</v>
      </c>
      <c r="G9" s="911"/>
      <c r="H9" s="911" t="s">
        <v>1634</v>
      </c>
      <c r="I9" s="911"/>
    </row>
    <row r="10" spans="1:9" ht="28.8">
      <c r="A10" s="947"/>
      <c r="B10" s="947"/>
      <c r="C10" s="947"/>
      <c r="D10" s="573" t="s">
        <v>563</v>
      </c>
      <c r="E10" s="68" t="s">
        <v>1635</v>
      </c>
      <c r="F10" s="573" t="s">
        <v>563</v>
      </c>
      <c r="G10" s="68" t="s">
        <v>1635</v>
      </c>
      <c r="H10" s="573" t="s">
        <v>563</v>
      </c>
      <c r="I10" s="68" t="s">
        <v>1635</v>
      </c>
    </row>
    <row r="11" spans="1:9" ht="15.6">
      <c r="A11" s="573" t="s">
        <v>556</v>
      </c>
      <c r="B11" s="947" t="s">
        <v>1636</v>
      </c>
      <c r="C11" s="574" t="s">
        <v>1637</v>
      </c>
      <c r="D11" s="508"/>
      <c r="E11" s="231"/>
      <c r="F11" s="508"/>
      <c r="G11" s="231"/>
      <c r="H11" s="508"/>
      <c r="I11" s="231"/>
    </row>
    <row r="12" spans="1:9" ht="15.6">
      <c r="A12" s="573" t="s">
        <v>693</v>
      </c>
      <c r="B12" s="947"/>
      <c r="C12" s="574" t="s">
        <v>1638</v>
      </c>
      <c r="D12" s="508"/>
      <c r="E12" s="231"/>
      <c r="F12" s="508"/>
      <c r="G12" s="231"/>
      <c r="H12" s="508"/>
      <c r="I12" s="231"/>
    </row>
    <row r="13" spans="1:9" ht="15.6">
      <c r="A13" s="573" t="s">
        <v>557</v>
      </c>
      <c r="B13" s="947" t="s">
        <v>1639</v>
      </c>
      <c r="C13" s="574" t="s">
        <v>1637</v>
      </c>
      <c r="D13" s="508"/>
      <c r="E13" s="231"/>
      <c r="F13" s="508"/>
      <c r="G13" s="231"/>
      <c r="H13" s="508"/>
      <c r="I13" s="231"/>
    </row>
    <row r="14" spans="1:9" ht="15.6">
      <c r="A14" s="573" t="s">
        <v>695</v>
      </c>
      <c r="B14" s="947"/>
      <c r="C14" s="574" t="s">
        <v>1638</v>
      </c>
      <c r="D14" s="508"/>
      <c r="E14" s="231"/>
      <c r="F14" s="508"/>
      <c r="G14" s="231"/>
      <c r="H14" s="508"/>
      <c r="I14" s="231"/>
    </row>
    <row r="15" spans="1:9" ht="15.6">
      <c r="A15" s="573" t="s">
        <v>558</v>
      </c>
      <c r="B15" s="947" t="s">
        <v>1640</v>
      </c>
      <c r="C15" s="574" t="s">
        <v>1637</v>
      </c>
      <c r="D15" s="508"/>
      <c r="E15" s="231"/>
      <c r="F15" s="508"/>
      <c r="G15" s="231"/>
      <c r="H15" s="508"/>
      <c r="I15" s="231"/>
    </row>
    <row r="16" spans="1:9" ht="15.6">
      <c r="A16" s="574" t="s">
        <v>657</v>
      </c>
      <c r="B16" s="947"/>
      <c r="C16" s="574" t="s">
        <v>1638</v>
      </c>
      <c r="D16" s="508"/>
      <c r="E16" s="231"/>
      <c r="F16" s="508"/>
      <c r="G16" s="231"/>
      <c r="H16" s="508"/>
      <c r="I16" s="231"/>
    </row>
    <row r="17" spans="1:16" ht="15.6">
      <c r="A17" s="573" t="s">
        <v>559</v>
      </c>
      <c r="B17" s="947" t="s">
        <v>1641</v>
      </c>
      <c r="C17" s="574" t="s">
        <v>1637</v>
      </c>
      <c r="D17" s="508"/>
      <c r="E17" s="231"/>
      <c r="F17" s="508"/>
      <c r="G17" s="231"/>
      <c r="H17" s="508"/>
      <c r="I17" s="231"/>
    </row>
    <row r="18" spans="1:16" ht="15.6">
      <c r="A18" s="573" t="s">
        <v>671</v>
      </c>
      <c r="B18" s="947"/>
      <c r="C18" s="574" t="s">
        <v>1638</v>
      </c>
      <c r="D18" s="508"/>
      <c r="E18" s="231"/>
      <c r="F18" s="508"/>
      <c r="G18" s="231"/>
      <c r="H18" s="508"/>
      <c r="I18" s="231"/>
    </row>
    <row r="19" spans="1:16" ht="15.6">
      <c r="A19" s="573" t="s">
        <v>561</v>
      </c>
      <c r="B19" s="947" t="s">
        <v>68</v>
      </c>
      <c r="C19" s="574" t="s">
        <v>1637</v>
      </c>
      <c r="D19" s="508"/>
      <c r="E19" s="231"/>
      <c r="F19" s="508"/>
      <c r="G19" s="231"/>
      <c r="H19" s="508"/>
      <c r="I19" s="231"/>
    </row>
    <row r="20" spans="1:16" ht="15.6">
      <c r="A20" s="573" t="s">
        <v>673</v>
      </c>
      <c r="B20" s="947"/>
      <c r="C20" s="574" t="s">
        <v>1638</v>
      </c>
      <c r="D20" s="508"/>
      <c r="E20" s="231"/>
      <c r="F20" s="508"/>
      <c r="G20" s="231"/>
      <c r="H20" s="508"/>
      <c r="I20" s="231"/>
    </row>
    <row r="21" spans="1:16" ht="15.6">
      <c r="A21" s="573" t="s">
        <v>560</v>
      </c>
      <c r="B21" s="947" t="s">
        <v>581</v>
      </c>
      <c r="C21" s="574" t="s">
        <v>1637</v>
      </c>
      <c r="D21" s="511">
        <f t="shared" ref="D21:I22" si="0">D11+D13+D15+D17+D19</f>
        <v>0</v>
      </c>
      <c r="E21" s="433">
        <f t="shared" si="0"/>
        <v>0</v>
      </c>
      <c r="F21" s="511">
        <f t="shared" si="0"/>
        <v>0</v>
      </c>
      <c r="G21" s="433">
        <f t="shared" si="0"/>
        <v>0</v>
      </c>
      <c r="H21" s="511">
        <f t="shared" si="0"/>
        <v>0</v>
      </c>
      <c r="I21" s="433">
        <f t="shared" si="0"/>
        <v>0</v>
      </c>
    </row>
    <row r="22" spans="1:16" ht="15.6">
      <c r="A22" s="573" t="s">
        <v>674</v>
      </c>
      <c r="B22" s="947"/>
      <c r="C22" s="574" t="s">
        <v>1638</v>
      </c>
      <c r="D22" s="511">
        <f>D12+D14+D16+D18+D20</f>
        <v>0</v>
      </c>
      <c r="E22" s="433">
        <f t="shared" si="0"/>
        <v>0</v>
      </c>
      <c r="F22" s="511">
        <f t="shared" si="0"/>
        <v>0</v>
      </c>
      <c r="G22" s="433">
        <f t="shared" si="0"/>
        <v>0</v>
      </c>
      <c r="H22" s="511">
        <f t="shared" si="0"/>
        <v>0</v>
      </c>
      <c r="I22" s="433">
        <f t="shared" si="0"/>
        <v>0</v>
      </c>
    </row>
    <row r="23" spans="1:16">
      <c r="A23" s="3"/>
      <c r="B23" s="5"/>
      <c r="C23" s="5"/>
      <c r="D23" s="5"/>
      <c r="E23" s="5"/>
      <c r="F23" s="5"/>
      <c r="G23" s="5"/>
      <c r="H23" s="5"/>
      <c r="I23" s="5"/>
    </row>
    <row r="24" spans="1:16">
      <c r="A24" s="130" t="s">
        <v>547</v>
      </c>
      <c r="B24" s="5"/>
      <c r="C24" s="5"/>
      <c r="D24" s="5"/>
      <c r="E24" s="5"/>
      <c r="F24" s="5"/>
      <c r="G24" s="5"/>
      <c r="H24" s="5"/>
      <c r="I24" s="5"/>
    </row>
    <row r="25" spans="1:16">
      <c r="A25" s="5"/>
      <c r="B25" s="5"/>
      <c r="C25" s="5"/>
      <c r="D25" s="5"/>
      <c r="E25" s="5"/>
      <c r="F25" s="5"/>
      <c r="G25" s="5"/>
      <c r="H25" s="5"/>
      <c r="I25" s="5"/>
    </row>
    <row r="26" spans="1:16">
      <c r="A26" s="131" t="s">
        <v>59</v>
      </c>
      <c r="B26" s="5"/>
      <c r="C26" s="5"/>
      <c r="D26" s="5"/>
      <c r="E26" s="5"/>
      <c r="F26" s="5"/>
      <c r="G26" s="5"/>
      <c r="H26" s="5"/>
      <c r="I26" s="5"/>
    </row>
    <row r="27" spans="1:16">
      <c r="A27" s="4" t="s">
        <v>1642</v>
      </c>
      <c r="B27" s="5"/>
      <c r="C27" s="5"/>
      <c r="D27" s="5"/>
      <c r="E27" s="5"/>
      <c r="F27" s="5"/>
      <c r="G27" s="5"/>
      <c r="H27" s="5"/>
      <c r="I27" s="5"/>
    </row>
    <row r="28" spans="1:16">
      <c r="A28" s="5" t="s">
        <v>1643</v>
      </c>
      <c r="B28" s="5"/>
      <c r="C28" s="5"/>
      <c r="D28" s="5"/>
      <c r="E28" s="5"/>
      <c r="F28" s="5"/>
      <c r="G28" s="5"/>
      <c r="H28" s="5"/>
      <c r="I28" s="5"/>
    </row>
    <row r="29" spans="1:16">
      <c r="A29" s="351" t="s">
        <v>1763</v>
      </c>
      <c r="B29" s="238"/>
      <c r="C29" s="238"/>
      <c r="D29" s="238"/>
      <c r="E29" s="238"/>
      <c r="F29" s="238"/>
      <c r="G29" s="238"/>
      <c r="H29" s="238"/>
      <c r="I29" s="238"/>
      <c r="J29" s="238"/>
      <c r="K29" s="238"/>
      <c r="L29" s="238"/>
      <c r="M29" s="238"/>
      <c r="N29" s="238"/>
      <c r="O29" s="238"/>
      <c r="P29" s="238"/>
    </row>
    <row r="31" spans="1:16">
      <c r="A31" s="280" t="s">
        <v>173</v>
      </c>
    </row>
    <row r="32" spans="1:16">
      <c r="A32" s="351" t="s">
        <v>1749</v>
      </c>
      <c r="B32" s="351"/>
      <c r="C32" s="351"/>
      <c r="D32" s="351"/>
      <c r="E32" s="351"/>
      <c r="F32" s="351"/>
      <c r="G32" s="351"/>
      <c r="H32" s="351"/>
      <c r="I32" s="351"/>
      <c r="J32" s="351"/>
      <c r="K32" s="351"/>
      <c r="L32" s="351"/>
      <c r="M32" s="351"/>
      <c r="N32" s="351"/>
      <c r="O32" s="351"/>
      <c r="P32" s="351"/>
    </row>
  </sheetData>
  <mergeCells count="10">
    <mergeCell ref="D9:E9"/>
    <mergeCell ref="F9:G9"/>
    <mergeCell ref="H9:I9"/>
    <mergeCell ref="B11:B12"/>
    <mergeCell ref="B13:B14"/>
    <mergeCell ref="B15:B16"/>
    <mergeCell ref="B17:B18"/>
    <mergeCell ref="B19:B20"/>
    <mergeCell ref="B21:B22"/>
    <mergeCell ref="A8:C10"/>
  </mergeCells>
  <phoneticPr fontId="6" type="noConversion"/>
  <pageMargins left="0.7" right="0.7" top="0.75" bottom="0.75" header="0.3" footer="0.3"/>
  <pageSetup paperSize="9" scale="50" orientation="portrait" r:id="rId1"/>
  <drawing r:id="rId2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806FFE-5FDA-443A-9D97-142533D559F1}">
  <sheetPr codeName="Sheet38">
    <tabColor theme="0" tint="-0.249977111117893"/>
    <pageSetUpPr fitToPage="1"/>
  </sheetPr>
  <dimension ref="A5:L72"/>
  <sheetViews>
    <sheetView view="pageBreakPreview" zoomScale="85" zoomScaleNormal="85" zoomScaleSheetLayoutView="85" workbookViewId="0">
      <pane xSplit="4" ySplit="10" topLeftCell="E39" activePane="bottomRight" state="frozen"/>
      <selection pane="topRight" activeCell="E1" sqref="E1"/>
      <selection pane="bottomLeft" activeCell="A11" sqref="A11"/>
      <selection pane="bottomRight"/>
    </sheetView>
  </sheetViews>
  <sheetFormatPr defaultColWidth="8.8984375" defaultRowHeight="14.4"/>
  <cols>
    <col min="1" max="1" width="6.59765625" style="323" customWidth="1"/>
    <col min="2" max="2" width="13.19921875" style="323" customWidth="1"/>
    <col min="3" max="3" width="8.8984375" style="323"/>
    <col min="4" max="4" width="11.59765625" style="323" customWidth="1"/>
    <col min="5" max="12" width="7.8984375" style="323" customWidth="1"/>
    <col min="13" max="16384" width="8.8984375" style="5"/>
  </cols>
  <sheetData>
    <row r="5" spans="1:12" ht="20.25" customHeight="1">
      <c r="A5" s="463" t="s">
        <v>1623</v>
      </c>
      <c r="B5" s="463"/>
      <c r="C5" s="464"/>
      <c r="D5" s="464"/>
      <c r="E5" s="465"/>
      <c r="G5" s="465"/>
      <c r="K5" s="465"/>
      <c r="L5" s="465"/>
    </row>
    <row r="7" spans="1:12">
      <c r="A7" s="466" t="s">
        <v>1524</v>
      </c>
      <c r="B7" s="467"/>
      <c r="C7" s="464"/>
      <c r="D7" s="464"/>
      <c r="L7" s="468"/>
    </row>
    <row r="8" spans="1:12" ht="13.5" customHeight="1">
      <c r="A8" s="954" t="s">
        <v>555</v>
      </c>
      <c r="B8" s="954"/>
      <c r="C8" s="954"/>
      <c r="D8" s="954"/>
      <c r="E8" s="489" t="s">
        <v>556</v>
      </c>
      <c r="F8" s="489" t="s">
        <v>557</v>
      </c>
      <c r="G8" s="489" t="s">
        <v>752</v>
      </c>
      <c r="H8" s="489" t="s">
        <v>753</v>
      </c>
    </row>
    <row r="9" spans="1:12" ht="14.25" customHeight="1">
      <c r="A9" s="954"/>
      <c r="B9" s="954"/>
      <c r="C9" s="954"/>
      <c r="D9" s="954"/>
      <c r="E9" s="955" t="s">
        <v>569</v>
      </c>
      <c r="F9" s="956"/>
      <c r="G9" s="956"/>
      <c r="H9" s="957"/>
    </row>
    <row r="10" spans="1:12" ht="14.25" customHeight="1">
      <c r="A10" s="954"/>
      <c r="B10" s="954"/>
      <c r="C10" s="954"/>
      <c r="D10" s="954"/>
      <c r="E10" s="470" t="s">
        <v>562</v>
      </c>
      <c r="F10" s="470" t="s">
        <v>565</v>
      </c>
      <c r="G10" s="470" t="s">
        <v>566</v>
      </c>
      <c r="H10" s="471" t="s">
        <v>564</v>
      </c>
    </row>
    <row r="11" spans="1:12" ht="14.25" customHeight="1">
      <c r="A11" s="472" t="s">
        <v>1527</v>
      </c>
      <c r="B11" s="902" t="s">
        <v>1528</v>
      </c>
      <c r="C11" s="903" t="s">
        <v>1529</v>
      </c>
      <c r="D11" s="903"/>
      <c r="E11" s="496"/>
      <c r="F11" s="496"/>
      <c r="G11" s="496"/>
      <c r="H11" s="497">
        <f t="shared" ref="H11:H42" si="0">E11+F11-G11</f>
        <v>0</v>
      </c>
    </row>
    <row r="12" spans="1:12" ht="14.25" customHeight="1">
      <c r="A12" s="472" t="s">
        <v>1530</v>
      </c>
      <c r="B12" s="902"/>
      <c r="C12" s="903" t="s">
        <v>1531</v>
      </c>
      <c r="D12" s="903"/>
      <c r="E12" s="496"/>
      <c r="F12" s="496"/>
      <c r="G12" s="496"/>
      <c r="H12" s="497">
        <f t="shared" si="0"/>
        <v>0</v>
      </c>
    </row>
    <row r="13" spans="1:12">
      <c r="A13" s="472" t="s">
        <v>1532</v>
      </c>
      <c r="B13" s="902"/>
      <c r="C13" s="903" t="s">
        <v>1533</v>
      </c>
      <c r="D13" s="903"/>
      <c r="E13" s="496"/>
      <c r="F13" s="496"/>
      <c r="G13" s="496"/>
      <c r="H13" s="497">
        <f t="shared" si="0"/>
        <v>0</v>
      </c>
    </row>
    <row r="14" spans="1:12">
      <c r="A14" s="472" t="s">
        <v>1534</v>
      </c>
      <c r="B14" s="902"/>
      <c r="C14" s="903" t="s">
        <v>1535</v>
      </c>
      <c r="D14" s="903"/>
      <c r="E14" s="496"/>
      <c r="F14" s="496"/>
      <c r="G14" s="496"/>
      <c r="H14" s="497">
        <f t="shared" si="0"/>
        <v>0</v>
      </c>
    </row>
    <row r="15" spans="1:12" ht="14.25" customHeight="1">
      <c r="A15" s="472" t="s">
        <v>1536</v>
      </c>
      <c r="B15" s="902"/>
      <c r="C15" s="903" t="s">
        <v>68</v>
      </c>
      <c r="D15" s="903"/>
      <c r="E15" s="496"/>
      <c r="F15" s="496"/>
      <c r="G15" s="496"/>
      <c r="H15" s="497">
        <f t="shared" si="0"/>
        <v>0</v>
      </c>
    </row>
    <row r="16" spans="1:12">
      <c r="A16" s="472" t="s">
        <v>1537</v>
      </c>
      <c r="B16" s="902"/>
      <c r="C16" s="903" t="s">
        <v>599</v>
      </c>
      <c r="D16" s="903"/>
      <c r="E16" s="496">
        <f>E11+E12+E13+E14+E15</f>
        <v>0</v>
      </c>
      <c r="F16" s="496">
        <f>F11+F12+F13+F14+F15</f>
        <v>0</v>
      </c>
      <c r="G16" s="496">
        <f>G11+G12+G13+G14+G15</f>
        <v>0</v>
      </c>
      <c r="H16" s="497">
        <f t="shared" si="0"/>
        <v>0</v>
      </c>
    </row>
    <row r="17" spans="1:8">
      <c r="A17" s="472" t="s">
        <v>1538</v>
      </c>
      <c r="B17" s="902" t="s">
        <v>1539</v>
      </c>
      <c r="C17" s="903" t="s">
        <v>1540</v>
      </c>
      <c r="D17" s="903"/>
      <c r="E17" s="496"/>
      <c r="F17" s="496"/>
      <c r="G17" s="496"/>
      <c r="H17" s="497">
        <f t="shared" si="0"/>
        <v>0</v>
      </c>
    </row>
    <row r="18" spans="1:8" ht="14.25" customHeight="1">
      <c r="A18" s="472" t="s">
        <v>1541</v>
      </c>
      <c r="B18" s="902"/>
      <c r="C18" s="903" t="s">
        <v>1542</v>
      </c>
      <c r="D18" s="903"/>
      <c r="E18" s="496"/>
      <c r="F18" s="496"/>
      <c r="G18" s="496"/>
      <c r="H18" s="497">
        <f t="shared" si="0"/>
        <v>0</v>
      </c>
    </row>
    <row r="19" spans="1:8">
      <c r="A19" s="472" t="s">
        <v>1543</v>
      </c>
      <c r="B19" s="902"/>
      <c r="C19" s="903" t="s">
        <v>1544</v>
      </c>
      <c r="D19" s="903"/>
      <c r="E19" s="496"/>
      <c r="F19" s="496"/>
      <c r="G19" s="496"/>
      <c r="H19" s="497">
        <f t="shared" si="0"/>
        <v>0</v>
      </c>
    </row>
    <row r="20" spans="1:8">
      <c r="A20" s="472" t="s">
        <v>1545</v>
      </c>
      <c r="B20" s="902"/>
      <c r="C20" s="903" t="s">
        <v>68</v>
      </c>
      <c r="D20" s="903"/>
      <c r="E20" s="496"/>
      <c r="F20" s="496"/>
      <c r="G20" s="496"/>
      <c r="H20" s="497">
        <f t="shared" si="0"/>
        <v>0</v>
      </c>
    </row>
    <row r="21" spans="1:8">
      <c r="A21" s="472" t="s">
        <v>1546</v>
      </c>
      <c r="B21" s="902"/>
      <c r="C21" s="903" t="s">
        <v>599</v>
      </c>
      <c r="D21" s="903"/>
      <c r="E21" s="498">
        <f>E17+E18+E19+E20</f>
        <v>0</v>
      </c>
      <c r="F21" s="498">
        <f>F17+F18+F19+F20</f>
        <v>0</v>
      </c>
      <c r="G21" s="498">
        <f>G17+G18+G19+G20</f>
        <v>0</v>
      </c>
      <c r="H21" s="497">
        <f t="shared" si="0"/>
        <v>0</v>
      </c>
    </row>
    <row r="22" spans="1:8">
      <c r="A22" s="472" t="s">
        <v>1547</v>
      </c>
      <c r="B22" s="902" t="s">
        <v>1548</v>
      </c>
      <c r="C22" s="903" t="s">
        <v>1549</v>
      </c>
      <c r="D22" s="903"/>
      <c r="E22" s="476"/>
      <c r="F22" s="476"/>
      <c r="G22" s="476"/>
      <c r="H22" s="497">
        <f t="shared" si="0"/>
        <v>0</v>
      </c>
    </row>
    <row r="23" spans="1:8">
      <c r="A23" s="472" t="s">
        <v>1550</v>
      </c>
      <c r="B23" s="902"/>
      <c r="C23" s="903" t="s">
        <v>1551</v>
      </c>
      <c r="D23" s="903"/>
      <c r="E23" s="476"/>
      <c r="F23" s="476"/>
      <c r="G23" s="476"/>
      <c r="H23" s="497">
        <f t="shared" si="0"/>
        <v>0</v>
      </c>
    </row>
    <row r="24" spans="1:8">
      <c r="A24" s="472" t="s">
        <v>1552</v>
      </c>
      <c r="B24" s="902"/>
      <c r="C24" s="903" t="s">
        <v>1553</v>
      </c>
      <c r="D24" s="903"/>
      <c r="E24" s="476"/>
      <c r="F24" s="476"/>
      <c r="G24" s="476"/>
      <c r="H24" s="497">
        <f t="shared" si="0"/>
        <v>0</v>
      </c>
    </row>
    <row r="25" spans="1:8">
      <c r="A25" s="472" t="s">
        <v>1554</v>
      </c>
      <c r="B25" s="902"/>
      <c r="C25" s="903" t="s">
        <v>1555</v>
      </c>
      <c r="D25" s="903"/>
      <c r="E25" s="476"/>
      <c r="F25" s="476"/>
      <c r="G25" s="476"/>
      <c r="H25" s="497">
        <f t="shared" si="0"/>
        <v>0</v>
      </c>
    </row>
    <row r="26" spans="1:8">
      <c r="A26" s="472" t="s">
        <v>1556</v>
      </c>
      <c r="B26" s="902"/>
      <c r="C26" s="903" t="s">
        <v>68</v>
      </c>
      <c r="D26" s="903"/>
      <c r="E26" s="476"/>
      <c r="F26" s="476"/>
      <c r="G26" s="476"/>
      <c r="H26" s="497">
        <f t="shared" si="0"/>
        <v>0</v>
      </c>
    </row>
    <row r="27" spans="1:8" ht="19.5" customHeight="1">
      <c r="A27" s="472" t="s">
        <v>1557</v>
      </c>
      <c r="B27" s="902"/>
      <c r="C27" s="903" t="s">
        <v>599</v>
      </c>
      <c r="D27" s="903"/>
      <c r="E27" s="496">
        <f>E22+E23+E24+E25+E26</f>
        <v>0</v>
      </c>
      <c r="F27" s="496">
        <f t="shared" ref="F27:G27" si="1">F22+F23+F24+F25+F26</f>
        <v>0</v>
      </c>
      <c r="G27" s="496">
        <f t="shared" si="1"/>
        <v>0</v>
      </c>
      <c r="H27" s="497">
        <f t="shared" si="0"/>
        <v>0</v>
      </c>
    </row>
    <row r="28" spans="1:8" ht="19.5" customHeight="1">
      <c r="A28" s="472" t="s">
        <v>1558</v>
      </c>
      <c r="B28" s="902" t="s">
        <v>1559</v>
      </c>
      <c r="C28" s="903" t="s">
        <v>1560</v>
      </c>
      <c r="D28" s="903"/>
      <c r="E28" s="476"/>
      <c r="F28" s="476"/>
      <c r="G28" s="476"/>
      <c r="H28" s="497">
        <f t="shared" si="0"/>
        <v>0</v>
      </c>
    </row>
    <row r="29" spans="1:8" ht="19.5" customHeight="1">
      <c r="A29" s="472" t="s">
        <v>1561</v>
      </c>
      <c r="B29" s="902"/>
      <c r="C29" s="903" t="s">
        <v>1562</v>
      </c>
      <c r="D29" s="903"/>
      <c r="E29" s="476"/>
      <c r="F29" s="476"/>
      <c r="G29" s="476"/>
      <c r="H29" s="497">
        <f t="shared" si="0"/>
        <v>0</v>
      </c>
    </row>
    <row r="30" spans="1:8">
      <c r="A30" s="472" t="s">
        <v>1563</v>
      </c>
      <c r="B30" s="902"/>
      <c r="C30" s="903" t="s">
        <v>1564</v>
      </c>
      <c r="D30" s="903"/>
      <c r="E30" s="476"/>
      <c r="F30" s="476"/>
      <c r="G30" s="476"/>
      <c r="H30" s="497">
        <f t="shared" si="0"/>
        <v>0</v>
      </c>
    </row>
    <row r="31" spans="1:8">
      <c r="A31" s="472" t="s">
        <v>1565</v>
      </c>
      <c r="B31" s="902"/>
      <c r="C31" s="903" t="s">
        <v>1566</v>
      </c>
      <c r="D31" s="903"/>
      <c r="E31" s="476"/>
      <c r="F31" s="476"/>
      <c r="G31" s="476"/>
      <c r="H31" s="497">
        <f t="shared" si="0"/>
        <v>0</v>
      </c>
    </row>
    <row r="32" spans="1:8">
      <c r="A32" s="472" t="s">
        <v>1567</v>
      </c>
      <c r="B32" s="902"/>
      <c r="C32" s="903" t="s">
        <v>68</v>
      </c>
      <c r="D32" s="903"/>
      <c r="E32" s="476"/>
      <c r="F32" s="476"/>
      <c r="G32" s="476"/>
      <c r="H32" s="497">
        <f t="shared" si="0"/>
        <v>0</v>
      </c>
    </row>
    <row r="33" spans="1:8">
      <c r="A33" s="472" t="s">
        <v>1568</v>
      </c>
      <c r="B33" s="902"/>
      <c r="C33" s="903" t="s">
        <v>599</v>
      </c>
      <c r="D33" s="903"/>
      <c r="E33" s="496">
        <f>E28+E29+E30+E31+E32</f>
        <v>0</v>
      </c>
      <c r="F33" s="496">
        <f>F28+F29+F30+F31+F32</f>
        <v>0</v>
      </c>
      <c r="G33" s="496">
        <f>G28+G29+G30+G31+G32</f>
        <v>0</v>
      </c>
      <c r="H33" s="497">
        <f t="shared" si="0"/>
        <v>0</v>
      </c>
    </row>
    <row r="34" spans="1:8">
      <c r="A34" s="472" t="s">
        <v>1569</v>
      </c>
      <c r="B34" s="902" t="s">
        <v>1570</v>
      </c>
      <c r="C34" s="903" t="s">
        <v>1571</v>
      </c>
      <c r="D34" s="903"/>
      <c r="E34" s="476"/>
      <c r="F34" s="476"/>
      <c r="G34" s="476"/>
      <c r="H34" s="497">
        <f t="shared" si="0"/>
        <v>0</v>
      </c>
    </row>
    <row r="35" spans="1:8">
      <c r="A35" s="472" t="s">
        <v>1572</v>
      </c>
      <c r="B35" s="902"/>
      <c r="C35" s="903" t="s">
        <v>1573</v>
      </c>
      <c r="D35" s="903"/>
      <c r="E35" s="476"/>
      <c r="F35" s="476"/>
      <c r="G35" s="476"/>
      <c r="H35" s="497">
        <f t="shared" si="0"/>
        <v>0</v>
      </c>
    </row>
    <row r="36" spans="1:8">
      <c r="A36" s="472" t="s">
        <v>1574</v>
      </c>
      <c r="B36" s="902"/>
      <c r="C36" s="903" t="s">
        <v>1575</v>
      </c>
      <c r="D36" s="903"/>
      <c r="E36" s="476"/>
      <c r="F36" s="476"/>
      <c r="G36" s="476"/>
      <c r="H36" s="497">
        <f t="shared" si="0"/>
        <v>0</v>
      </c>
    </row>
    <row r="37" spans="1:8">
      <c r="A37" s="472" t="s">
        <v>1576</v>
      </c>
      <c r="B37" s="902"/>
      <c r="C37" s="903" t="s">
        <v>68</v>
      </c>
      <c r="D37" s="903"/>
      <c r="E37" s="476"/>
      <c r="F37" s="476"/>
      <c r="G37" s="476"/>
      <c r="H37" s="497">
        <f t="shared" si="0"/>
        <v>0</v>
      </c>
    </row>
    <row r="38" spans="1:8">
      <c r="A38" s="472" t="s">
        <v>1577</v>
      </c>
      <c r="B38" s="902"/>
      <c r="C38" s="903" t="s">
        <v>599</v>
      </c>
      <c r="D38" s="903"/>
      <c r="E38" s="496">
        <f>E34+E35+E36+E37</f>
        <v>0</v>
      </c>
      <c r="F38" s="496">
        <f>F34+F35+F36+F37</f>
        <v>0</v>
      </c>
      <c r="G38" s="496">
        <f>G34+G35+G36+G37</f>
        <v>0</v>
      </c>
      <c r="H38" s="497">
        <f t="shared" si="0"/>
        <v>0</v>
      </c>
    </row>
    <row r="39" spans="1:8">
      <c r="A39" s="472" t="s">
        <v>1578</v>
      </c>
      <c r="B39" s="902" t="s">
        <v>1579</v>
      </c>
      <c r="C39" s="903" t="s">
        <v>1580</v>
      </c>
      <c r="D39" s="903"/>
      <c r="E39" s="476"/>
      <c r="F39" s="476"/>
      <c r="G39" s="476"/>
      <c r="H39" s="497">
        <f t="shared" si="0"/>
        <v>0</v>
      </c>
    </row>
    <row r="40" spans="1:8">
      <c r="A40" s="472" t="s">
        <v>1581</v>
      </c>
      <c r="B40" s="902"/>
      <c r="C40" s="903" t="s">
        <v>1535</v>
      </c>
      <c r="D40" s="903"/>
      <c r="E40" s="476"/>
      <c r="F40" s="476"/>
      <c r="G40" s="476"/>
      <c r="H40" s="497">
        <f t="shared" si="0"/>
        <v>0</v>
      </c>
    </row>
    <row r="41" spans="1:8">
      <c r="A41" s="472" t="s">
        <v>1582</v>
      </c>
      <c r="B41" s="902"/>
      <c r="C41" s="903" t="s">
        <v>1583</v>
      </c>
      <c r="D41" s="903"/>
      <c r="E41" s="476"/>
      <c r="F41" s="476"/>
      <c r="G41" s="476"/>
      <c r="H41" s="497">
        <f t="shared" si="0"/>
        <v>0</v>
      </c>
    </row>
    <row r="42" spans="1:8">
      <c r="A42" s="472" t="s">
        <v>1584</v>
      </c>
      <c r="B42" s="902"/>
      <c r="C42" s="904" t="s">
        <v>68</v>
      </c>
      <c r="D42" s="905"/>
      <c r="E42" s="476"/>
      <c r="F42" s="476"/>
      <c r="G42" s="476"/>
      <c r="H42" s="497">
        <f t="shared" si="0"/>
        <v>0</v>
      </c>
    </row>
    <row r="43" spans="1:8">
      <c r="A43" s="472" t="s">
        <v>1585</v>
      </c>
      <c r="B43" s="902"/>
      <c r="C43" s="903" t="s">
        <v>599</v>
      </c>
      <c r="D43" s="903"/>
      <c r="E43" s="496">
        <f>E39+E40+E41+E42</f>
        <v>0</v>
      </c>
      <c r="F43" s="496">
        <f>F39+F40+F41+F42</f>
        <v>0</v>
      </c>
      <c r="G43" s="496">
        <f>G39+G40+G41+G42</f>
        <v>0</v>
      </c>
      <c r="H43" s="497">
        <f t="shared" ref="H43:H63" si="2">E43+F43-G43</f>
        <v>0</v>
      </c>
    </row>
    <row r="44" spans="1:8">
      <c r="A44" s="472" t="s">
        <v>1586</v>
      </c>
      <c r="B44" s="906" t="s">
        <v>1587</v>
      </c>
      <c r="C44" s="903" t="s">
        <v>1588</v>
      </c>
      <c r="D44" s="903"/>
      <c r="E44" s="476"/>
      <c r="F44" s="476"/>
      <c r="G44" s="476"/>
      <c r="H44" s="497">
        <f t="shared" si="2"/>
        <v>0</v>
      </c>
    </row>
    <row r="45" spans="1:8">
      <c r="A45" s="472" t="s">
        <v>1589</v>
      </c>
      <c r="B45" s="907"/>
      <c r="C45" s="903" t="s">
        <v>1590</v>
      </c>
      <c r="D45" s="903"/>
      <c r="E45" s="476"/>
      <c r="F45" s="476"/>
      <c r="G45" s="476"/>
      <c r="H45" s="497">
        <f t="shared" si="2"/>
        <v>0</v>
      </c>
    </row>
    <row r="46" spans="1:8">
      <c r="A46" s="472" t="s">
        <v>1591</v>
      </c>
      <c r="B46" s="907"/>
      <c r="C46" s="903" t="s">
        <v>68</v>
      </c>
      <c r="D46" s="903"/>
      <c r="E46" s="476"/>
      <c r="F46" s="476"/>
      <c r="G46" s="476"/>
      <c r="H46" s="497">
        <f t="shared" si="2"/>
        <v>0</v>
      </c>
    </row>
    <row r="47" spans="1:8">
      <c r="A47" s="472" t="s">
        <v>1592</v>
      </c>
      <c r="B47" s="907"/>
      <c r="C47" s="903" t="s">
        <v>599</v>
      </c>
      <c r="D47" s="903"/>
      <c r="E47" s="496">
        <f>E44+E45+E46</f>
        <v>0</v>
      </c>
      <c r="F47" s="496">
        <f>F44+F45+F46</f>
        <v>0</v>
      </c>
      <c r="G47" s="496">
        <f>G44+G45+G46</f>
        <v>0</v>
      </c>
      <c r="H47" s="497">
        <f t="shared" si="2"/>
        <v>0</v>
      </c>
    </row>
    <row r="48" spans="1:8">
      <c r="A48" s="472" t="s">
        <v>1593</v>
      </c>
      <c r="B48" s="906" t="s">
        <v>1594</v>
      </c>
      <c r="C48" s="903" t="s">
        <v>1595</v>
      </c>
      <c r="D48" s="903"/>
      <c r="E48" s="476"/>
      <c r="F48" s="476"/>
      <c r="G48" s="476"/>
      <c r="H48" s="497">
        <f t="shared" si="2"/>
        <v>0</v>
      </c>
    </row>
    <row r="49" spans="1:8">
      <c r="A49" s="472" t="s">
        <v>1596</v>
      </c>
      <c r="B49" s="907"/>
      <c r="C49" s="903" t="s">
        <v>1597</v>
      </c>
      <c r="D49" s="903"/>
      <c r="E49" s="476"/>
      <c r="F49" s="476"/>
      <c r="G49" s="476"/>
      <c r="H49" s="497">
        <f t="shared" si="2"/>
        <v>0</v>
      </c>
    </row>
    <row r="50" spans="1:8">
      <c r="A50" s="472" t="s">
        <v>1598</v>
      </c>
      <c r="B50" s="907"/>
      <c r="C50" s="903" t="s">
        <v>1599</v>
      </c>
      <c r="D50" s="903"/>
      <c r="E50" s="476"/>
      <c r="F50" s="476"/>
      <c r="G50" s="476"/>
      <c r="H50" s="497">
        <f t="shared" si="2"/>
        <v>0</v>
      </c>
    </row>
    <row r="51" spans="1:8">
      <c r="A51" s="472" t="s">
        <v>1600</v>
      </c>
      <c r="B51" s="907"/>
      <c r="C51" s="903" t="s">
        <v>1601</v>
      </c>
      <c r="D51" s="903"/>
      <c r="E51" s="476"/>
      <c r="F51" s="476"/>
      <c r="G51" s="476"/>
      <c r="H51" s="497">
        <f t="shared" si="2"/>
        <v>0</v>
      </c>
    </row>
    <row r="52" spans="1:8">
      <c r="A52" s="472" t="s">
        <v>1602</v>
      </c>
      <c r="B52" s="907"/>
      <c r="C52" s="904" t="s">
        <v>1603</v>
      </c>
      <c r="D52" s="905"/>
      <c r="E52" s="476"/>
      <c r="F52" s="476"/>
      <c r="G52" s="476"/>
      <c r="H52" s="497">
        <f t="shared" si="2"/>
        <v>0</v>
      </c>
    </row>
    <row r="53" spans="1:8">
      <c r="A53" s="472" t="s">
        <v>1604</v>
      </c>
      <c r="B53" s="907"/>
      <c r="C53" s="903" t="s">
        <v>68</v>
      </c>
      <c r="D53" s="903"/>
      <c r="E53" s="476"/>
      <c r="F53" s="476"/>
      <c r="G53" s="476"/>
      <c r="H53" s="497">
        <f t="shared" si="2"/>
        <v>0</v>
      </c>
    </row>
    <row r="54" spans="1:8">
      <c r="A54" s="472" t="s">
        <v>1605</v>
      </c>
      <c r="B54" s="909"/>
      <c r="C54" s="903" t="s">
        <v>599</v>
      </c>
      <c r="D54" s="903"/>
      <c r="E54" s="496">
        <f>E48+E49+E50+E51+E52+E53</f>
        <v>0</v>
      </c>
      <c r="F54" s="496">
        <f>F48+F49+F50+F51+F52+F53</f>
        <v>0</v>
      </c>
      <c r="G54" s="496">
        <f>G48+G49+G50+G51+G52+G53</f>
        <v>0</v>
      </c>
      <c r="H54" s="497">
        <f t="shared" si="2"/>
        <v>0</v>
      </c>
    </row>
    <row r="55" spans="1:8">
      <c r="A55" s="472" t="s">
        <v>112</v>
      </c>
      <c r="B55" s="906" t="s">
        <v>68</v>
      </c>
      <c r="C55" s="903" t="s">
        <v>1606</v>
      </c>
      <c r="D55" s="903"/>
      <c r="E55" s="476"/>
      <c r="F55" s="476"/>
      <c r="G55" s="476"/>
      <c r="H55" s="497">
        <f t="shared" si="2"/>
        <v>0</v>
      </c>
    </row>
    <row r="56" spans="1:8">
      <c r="A56" s="472" t="s">
        <v>115</v>
      </c>
      <c r="B56" s="907"/>
      <c r="C56" s="903" t="s">
        <v>1607</v>
      </c>
      <c r="D56" s="903"/>
      <c r="E56" s="476"/>
      <c r="F56" s="476"/>
      <c r="G56" s="476"/>
      <c r="H56" s="497">
        <f t="shared" si="2"/>
        <v>0</v>
      </c>
    </row>
    <row r="57" spans="1:8">
      <c r="A57" s="472" t="s">
        <v>117</v>
      </c>
      <c r="B57" s="907"/>
      <c r="C57" s="903" t="s">
        <v>1608</v>
      </c>
      <c r="D57" s="903"/>
      <c r="E57" s="476"/>
      <c r="F57" s="476"/>
      <c r="G57" s="476"/>
      <c r="H57" s="497">
        <f t="shared" si="2"/>
        <v>0</v>
      </c>
    </row>
    <row r="58" spans="1:8">
      <c r="A58" s="472" t="s">
        <v>119</v>
      </c>
      <c r="B58" s="907"/>
      <c r="C58" s="903" t="s">
        <v>1609</v>
      </c>
      <c r="D58" s="903"/>
      <c r="E58" s="476"/>
      <c r="F58" s="476"/>
      <c r="G58" s="476"/>
      <c r="H58" s="497">
        <f t="shared" si="2"/>
        <v>0</v>
      </c>
    </row>
    <row r="59" spans="1:8">
      <c r="A59" s="472" t="s">
        <v>121</v>
      </c>
      <c r="B59" s="907"/>
      <c r="C59" s="903" t="s">
        <v>1610</v>
      </c>
      <c r="D59" s="903"/>
      <c r="E59" s="476"/>
      <c r="F59" s="476"/>
      <c r="G59" s="476"/>
      <c r="H59" s="497">
        <f t="shared" si="2"/>
        <v>0</v>
      </c>
    </row>
    <row r="60" spans="1:8">
      <c r="A60" s="472" t="s">
        <v>123</v>
      </c>
      <c r="B60" s="907"/>
      <c r="C60" s="903" t="s">
        <v>1611</v>
      </c>
      <c r="D60" s="903"/>
      <c r="E60" s="476"/>
      <c r="F60" s="476"/>
      <c r="G60" s="476"/>
      <c r="H60" s="497">
        <f t="shared" si="2"/>
        <v>0</v>
      </c>
    </row>
    <row r="61" spans="1:8">
      <c r="A61" s="472" t="s">
        <v>125</v>
      </c>
      <c r="B61" s="907"/>
      <c r="C61" s="903" t="s">
        <v>1612</v>
      </c>
      <c r="D61" s="903"/>
      <c r="E61" s="476"/>
      <c r="F61" s="476"/>
      <c r="G61" s="476"/>
      <c r="H61" s="497">
        <f t="shared" si="2"/>
        <v>0</v>
      </c>
    </row>
    <row r="62" spans="1:8">
      <c r="A62" s="472" t="s">
        <v>127</v>
      </c>
      <c r="B62" s="907"/>
      <c r="C62" s="903" t="s">
        <v>68</v>
      </c>
      <c r="D62" s="903"/>
      <c r="E62" s="476"/>
      <c r="F62" s="476"/>
      <c r="G62" s="476"/>
      <c r="H62" s="497">
        <f t="shared" si="2"/>
        <v>0</v>
      </c>
    </row>
    <row r="63" spans="1:8">
      <c r="A63" s="472" t="s">
        <v>1359</v>
      </c>
      <c r="B63" s="909"/>
      <c r="C63" s="903" t="s">
        <v>599</v>
      </c>
      <c r="D63" s="903"/>
      <c r="E63" s="496">
        <f>E55+E56+E57+E58+E59+E60+E61+E62</f>
        <v>0</v>
      </c>
      <c r="F63" s="496">
        <f>F55+F56+F57+F58+F59+F60+F61+F62</f>
        <v>0</v>
      </c>
      <c r="G63" s="496">
        <f>G55+G56+G57+G58+G59+G60+G61+G62</f>
        <v>0</v>
      </c>
      <c r="H63" s="497">
        <f t="shared" si="2"/>
        <v>0</v>
      </c>
    </row>
    <row r="64" spans="1:8">
      <c r="A64" s="472" t="s">
        <v>166</v>
      </c>
      <c r="B64" s="953" t="s">
        <v>78</v>
      </c>
      <c r="C64" s="953"/>
      <c r="D64" s="953"/>
      <c r="E64" s="499">
        <f>E16+E21+E27+E33+E38+E43+E47+E54+E63</f>
        <v>0</v>
      </c>
      <c r="F64" s="499">
        <f>F16+F21+F27+F33+F38+F43+F47+F54+F63</f>
        <v>0</v>
      </c>
      <c r="G64" s="499">
        <f>G16+G21+G27+G33+G38+G43+G47+G54+G63</f>
        <v>0</v>
      </c>
      <c r="H64" s="499">
        <f>H16+H21+H27+H33+H38+H43+H47+H54+H63</f>
        <v>0</v>
      </c>
    </row>
    <row r="66" spans="1:4">
      <c r="A66" s="375" t="s">
        <v>547</v>
      </c>
    </row>
    <row r="68" spans="1:4">
      <c r="A68" s="478" t="s">
        <v>59</v>
      </c>
      <c r="C68" s="464"/>
      <c r="D68" s="464"/>
    </row>
    <row r="69" spans="1:4">
      <c r="A69" s="464"/>
      <c r="C69" s="464"/>
      <c r="D69" s="464"/>
    </row>
    <row r="70" spans="1:4">
      <c r="A70" s="5" t="s">
        <v>1624</v>
      </c>
    </row>
    <row r="71" spans="1:4">
      <c r="A71" s="5" t="s">
        <v>1614</v>
      </c>
      <c r="C71" s="464"/>
      <c r="D71" s="464"/>
    </row>
    <row r="72" spans="1:4">
      <c r="A72" s="5" t="s">
        <v>781</v>
      </c>
    </row>
  </sheetData>
  <mergeCells count="65">
    <mergeCell ref="A8:D10"/>
    <mergeCell ref="E9:H9"/>
    <mergeCell ref="B11:B16"/>
    <mergeCell ref="C11:D11"/>
    <mergeCell ref="C12:D12"/>
    <mergeCell ref="C13:D13"/>
    <mergeCell ref="C14:D14"/>
    <mergeCell ref="C15:D15"/>
    <mergeCell ref="C16:D16"/>
    <mergeCell ref="B17:B21"/>
    <mergeCell ref="C17:D17"/>
    <mergeCell ref="C18:D18"/>
    <mergeCell ref="C19:D19"/>
    <mergeCell ref="C20:D20"/>
    <mergeCell ref="C21:D21"/>
    <mergeCell ref="B22:B27"/>
    <mergeCell ref="C22:D22"/>
    <mergeCell ref="C23:D23"/>
    <mergeCell ref="C24:D24"/>
    <mergeCell ref="C25:D25"/>
    <mergeCell ref="C26:D26"/>
    <mergeCell ref="C27:D27"/>
    <mergeCell ref="B28:B33"/>
    <mergeCell ref="C28:D28"/>
    <mergeCell ref="C29:D29"/>
    <mergeCell ref="C30:D30"/>
    <mergeCell ref="C31:D31"/>
    <mergeCell ref="C32:D32"/>
    <mergeCell ref="C33:D33"/>
    <mergeCell ref="B34:B38"/>
    <mergeCell ref="C34:D34"/>
    <mergeCell ref="C35:D35"/>
    <mergeCell ref="C36:D36"/>
    <mergeCell ref="C37:D37"/>
    <mergeCell ref="C38:D38"/>
    <mergeCell ref="C49:D49"/>
    <mergeCell ref="C50:D50"/>
    <mergeCell ref="C51:D51"/>
    <mergeCell ref="B39:B43"/>
    <mergeCell ref="C39:D39"/>
    <mergeCell ref="C40:D40"/>
    <mergeCell ref="C41:D41"/>
    <mergeCell ref="C42:D42"/>
    <mergeCell ref="C43:D43"/>
    <mergeCell ref="B44:B47"/>
    <mergeCell ref="C44:D44"/>
    <mergeCell ref="C45:D45"/>
    <mergeCell ref="C46:D46"/>
    <mergeCell ref="C47:D47"/>
    <mergeCell ref="C61:D61"/>
    <mergeCell ref="C62:D62"/>
    <mergeCell ref="C63:D63"/>
    <mergeCell ref="B64:D64"/>
    <mergeCell ref="C52:D52"/>
    <mergeCell ref="C53:D53"/>
    <mergeCell ref="C54:D54"/>
    <mergeCell ref="B55:B63"/>
    <mergeCell ref="C55:D55"/>
    <mergeCell ref="C56:D56"/>
    <mergeCell ref="C57:D57"/>
    <mergeCell ref="C58:D58"/>
    <mergeCell ref="C59:D59"/>
    <mergeCell ref="C60:D60"/>
    <mergeCell ref="B48:B54"/>
    <mergeCell ref="C48:D48"/>
  </mergeCells>
  <phoneticPr fontId="6" type="noConversion"/>
  <pageMargins left="0.7" right="0.7" top="0.75" bottom="0.75" header="0.3" footer="0.3"/>
  <pageSetup paperSize="9" scale="73" fitToHeight="0" orientation="portrait" r:id="rId1"/>
  <drawing r:id="rId2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E9C935-4F63-49A5-91C4-805359A7E16B}">
  <sheetPr codeName="Sheet39">
    <tabColor rgb="FFFFFF00"/>
    <pageSetUpPr fitToPage="1"/>
  </sheetPr>
  <dimension ref="A1:P76"/>
  <sheetViews>
    <sheetView view="pageBreakPreview" zoomScale="85" zoomScaleNormal="85" zoomScaleSheetLayoutView="85" workbookViewId="0">
      <pane xSplit="4" ySplit="10" topLeftCell="E46" activePane="bottomRight" state="frozen"/>
      <selection pane="topRight" activeCell="E1" sqref="E1"/>
      <selection pane="bottomLeft" activeCell="A11" sqref="A11"/>
      <selection pane="bottomRight" activeCell="S52" sqref="S52"/>
    </sheetView>
  </sheetViews>
  <sheetFormatPr defaultColWidth="8.8984375" defaultRowHeight="14.4"/>
  <cols>
    <col min="1" max="1" width="6.59765625" style="323" customWidth="1"/>
    <col min="2" max="2" width="13.19921875" style="323" customWidth="1"/>
    <col min="3" max="3" width="8.8984375" style="323"/>
    <col min="4" max="4" width="11.59765625" style="323" customWidth="1"/>
    <col min="5" max="13" width="7.8984375" style="323" customWidth="1"/>
    <col min="14" max="16" width="8.8984375" style="323"/>
    <col min="17" max="16384" width="8.8984375" style="5"/>
  </cols>
  <sheetData>
    <row r="1" spans="1:13">
      <c r="A1" s="521"/>
    </row>
    <row r="5" spans="1:13" ht="20.25" customHeight="1">
      <c r="A5" s="463" t="s">
        <v>1623</v>
      </c>
      <c r="B5" s="463"/>
      <c r="C5" s="464"/>
      <c r="D5" s="464"/>
      <c r="E5" s="465"/>
      <c r="G5" s="465"/>
      <c r="H5" s="465"/>
      <c r="L5" s="465"/>
      <c r="M5" s="465"/>
    </row>
    <row r="7" spans="1:13">
      <c r="A7" s="466" t="s">
        <v>1524</v>
      </c>
      <c r="B7" s="467"/>
      <c r="C7" s="464"/>
      <c r="D7" s="464"/>
      <c r="M7" s="468"/>
    </row>
    <row r="8" spans="1:13" ht="13.5" customHeight="1">
      <c r="A8" s="958" t="s">
        <v>555</v>
      </c>
      <c r="B8" s="958"/>
      <c r="C8" s="958"/>
      <c r="D8" s="958"/>
      <c r="E8" s="489" t="s">
        <v>556</v>
      </c>
      <c r="F8" s="489" t="s">
        <v>557</v>
      </c>
      <c r="G8" s="489" t="s">
        <v>752</v>
      </c>
      <c r="H8" s="495" t="s">
        <v>265</v>
      </c>
      <c r="I8" s="489" t="s">
        <v>753</v>
      </c>
    </row>
    <row r="9" spans="1:13" ht="14.25" customHeight="1">
      <c r="A9" s="958"/>
      <c r="B9" s="958"/>
      <c r="C9" s="958"/>
      <c r="D9" s="958"/>
      <c r="E9" s="955" t="s">
        <v>569</v>
      </c>
      <c r="F9" s="956"/>
      <c r="G9" s="956"/>
      <c r="H9" s="956"/>
      <c r="I9" s="957"/>
    </row>
    <row r="10" spans="1:13" ht="14.25" customHeight="1">
      <c r="A10" s="958"/>
      <c r="B10" s="958"/>
      <c r="C10" s="958"/>
      <c r="D10" s="958"/>
      <c r="E10" s="470" t="s">
        <v>562</v>
      </c>
      <c r="F10" s="470" t="s">
        <v>565</v>
      </c>
      <c r="G10" s="470" t="s">
        <v>566</v>
      </c>
      <c r="H10" s="480" t="s">
        <v>68</v>
      </c>
      <c r="I10" s="471" t="s">
        <v>564</v>
      </c>
    </row>
    <row r="11" spans="1:13" ht="13.5" customHeight="1">
      <c r="A11" s="472" t="s">
        <v>1527</v>
      </c>
      <c r="B11" s="902" t="s">
        <v>1528</v>
      </c>
      <c r="C11" s="903" t="s">
        <v>1529</v>
      </c>
      <c r="D11" s="903"/>
      <c r="E11" s="496"/>
      <c r="F11" s="496"/>
      <c r="G11" s="496"/>
      <c r="H11" s="481"/>
      <c r="I11" s="497">
        <f>E11+F11-G11+H11</f>
        <v>0</v>
      </c>
    </row>
    <row r="12" spans="1:13">
      <c r="A12" s="472" t="s">
        <v>1530</v>
      </c>
      <c r="B12" s="902"/>
      <c r="C12" s="903" t="s">
        <v>1531</v>
      </c>
      <c r="D12" s="903"/>
      <c r="E12" s="496"/>
      <c r="F12" s="496"/>
      <c r="G12" s="496"/>
      <c r="H12" s="481"/>
      <c r="I12" s="497">
        <f t="shared" ref="I12:I64" si="0">E12+F12-G12+H12</f>
        <v>0</v>
      </c>
    </row>
    <row r="13" spans="1:13">
      <c r="A13" s="472" t="s">
        <v>1532</v>
      </c>
      <c r="B13" s="902"/>
      <c r="C13" s="903" t="s">
        <v>1533</v>
      </c>
      <c r="D13" s="903"/>
      <c r="E13" s="496"/>
      <c r="F13" s="496"/>
      <c r="G13" s="496"/>
      <c r="H13" s="481"/>
      <c r="I13" s="497">
        <f t="shared" si="0"/>
        <v>0</v>
      </c>
    </row>
    <row r="14" spans="1:13">
      <c r="A14" s="472" t="s">
        <v>1534</v>
      </c>
      <c r="B14" s="902"/>
      <c r="C14" s="903" t="s">
        <v>1535</v>
      </c>
      <c r="D14" s="903"/>
      <c r="E14" s="496"/>
      <c r="F14" s="496"/>
      <c r="G14" s="496"/>
      <c r="H14" s="481"/>
      <c r="I14" s="497">
        <f t="shared" si="0"/>
        <v>0</v>
      </c>
    </row>
    <row r="15" spans="1:13" ht="14.25" customHeight="1">
      <c r="A15" s="472" t="s">
        <v>1536</v>
      </c>
      <c r="B15" s="902"/>
      <c r="C15" s="903" t="s">
        <v>68</v>
      </c>
      <c r="D15" s="903"/>
      <c r="E15" s="496"/>
      <c r="F15" s="496"/>
      <c r="G15" s="496"/>
      <c r="H15" s="481"/>
      <c r="I15" s="497">
        <f t="shared" si="0"/>
        <v>0</v>
      </c>
    </row>
    <row r="16" spans="1:13">
      <c r="A16" s="472" t="s">
        <v>1537</v>
      </c>
      <c r="B16" s="902"/>
      <c r="C16" s="903" t="s">
        <v>599</v>
      </c>
      <c r="D16" s="903"/>
      <c r="E16" s="496">
        <f>E11+E12+E13+E14+E15</f>
        <v>0</v>
      </c>
      <c r="F16" s="496">
        <f>F11+F12+F13+F14+F15</f>
        <v>0</v>
      </c>
      <c r="G16" s="496">
        <f>G11+G12+G13+G14+G15</f>
        <v>0</v>
      </c>
      <c r="H16" s="481">
        <f>H11+H12+H13+H14+H15</f>
        <v>0</v>
      </c>
      <c r="I16" s="497">
        <f t="shared" si="0"/>
        <v>0</v>
      </c>
    </row>
    <row r="17" spans="1:9">
      <c r="A17" s="472" t="s">
        <v>1538</v>
      </c>
      <c r="B17" s="902" t="s">
        <v>1539</v>
      </c>
      <c r="C17" s="903" t="s">
        <v>1540</v>
      </c>
      <c r="D17" s="903"/>
      <c r="E17" s="496"/>
      <c r="F17" s="496"/>
      <c r="G17" s="496"/>
      <c r="H17" s="481"/>
      <c r="I17" s="497">
        <f t="shared" si="0"/>
        <v>0</v>
      </c>
    </row>
    <row r="18" spans="1:9">
      <c r="A18" s="472" t="s">
        <v>1541</v>
      </c>
      <c r="B18" s="902"/>
      <c r="C18" s="903" t="s">
        <v>1542</v>
      </c>
      <c r="D18" s="903"/>
      <c r="E18" s="496"/>
      <c r="F18" s="496"/>
      <c r="G18" s="496"/>
      <c r="H18" s="481"/>
      <c r="I18" s="497">
        <f t="shared" si="0"/>
        <v>0</v>
      </c>
    </row>
    <row r="19" spans="1:9">
      <c r="A19" s="472" t="s">
        <v>1543</v>
      </c>
      <c r="B19" s="902"/>
      <c r="C19" s="903" t="s">
        <v>1544</v>
      </c>
      <c r="D19" s="903"/>
      <c r="E19" s="496"/>
      <c r="F19" s="496"/>
      <c r="G19" s="496"/>
      <c r="H19" s="481"/>
      <c r="I19" s="497">
        <f t="shared" si="0"/>
        <v>0</v>
      </c>
    </row>
    <row r="20" spans="1:9">
      <c r="A20" s="472" t="s">
        <v>1545</v>
      </c>
      <c r="B20" s="902"/>
      <c r="C20" s="903" t="s">
        <v>68</v>
      </c>
      <c r="D20" s="903"/>
      <c r="E20" s="496"/>
      <c r="F20" s="496"/>
      <c r="G20" s="496"/>
      <c r="H20" s="481"/>
      <c r="I20" s="497">
        <f t="shared" si="0"/>
        <v>0</v>
      </c>
    </row>
    <row r="21" spans="1:9" ht="19.5" customHeight="1">
      <c r="A21" s="472" t="s">
        <v>1546</v>
      </c>
      <c r="B21" s="902"/>
      <c r="C21" s="903" t="s">
        <v>599</v>
      </c>
      <c r="D21" s="903"/>
      <c r="E21" s="498">
        <f>E17+E18+E19+E20</f>
        <v>0</v>
      </c>
      <c r="F21" s="498">
        <f>F17+F18+F19+F20</f>
        <v>0</v>
      </c>
      <c r="G21" s="498">
        <f>G17+G18+G19+G20</f>
        <v>0</v>
      </c>
      <c r="H21" s="482">
        <f>H17+H18+H19+H20</f>
        <v>0</v>
      </c>
      <c r="I21" s="497">
        <f t="shared" si="0"/>
        <v>0</v>
      </c>
    </row>
    <row r="22" spans="1:9" ht="19.5" customHeight="1">
      <c r="A22" s="472" t="s">
        <v>1547</v>
      </c>
      <c r="B22" s="902" t="s">
        <v>1548</v>
      </c>
      <c r="C22" s="903" t="s">
        <v>1549</v>
      </c>
      <c r="D22" s="903"/>
      <c r="E22" s="476"/>
      <c r="F22" s="476"/>
      <c r="G22" s="476"/>
      <c r="H22" s="483"/>
      <c r="I22" s="497">
        <f t="shared" si="0"/>
        <v>0</v>
      </c>
    </row>
    <row r="23" spans="1:9" ht="19.5" customHeight="1">
      <c r="A23" s="472" t="s">
        <v>1550</v>
      </c>
      <c r="B23" s="902"/>
      <c r="C23" s="903" t="s">
        <v>1551</v>
      </c>
      <c r="D23" s="903"/>
      <c r="E23" s="476"/>
      <c r="F23" s="476"/>
      <c r="G23" s="476"/>
      <c r="H23" s="483"/>
      <c r="I23" s="497">
        <f t="shared" si="0"/>
        <v>0</v>
      </c>
    </row>
    <row r="24" spans="1:9">
      <c r="A24" s="472" t="s">
        <v>1552</v>
      </c>
      <c r="B24" s="902"/>
      <c r="C24" s="903" t="s">
        <v>1553</v>
      </c>
      <c r="D24" s="903"/>
      <c r="E24" s="476"/>
      <c r="F24" s="476"/>
      <c r="G24" s="476"/>
      <c r="H24" s="483"/>
      <c r="I24" s="497">
        <f t="shared" si="0"/>
        <v>0</v>
      </c>
    </row>
    <row r="25" spans="1:9">
      <c r="A25" s="472" t="s">
        <v>1554</v>
      </c>
      <c r="B25" s="902"/>
      <c r="C25" s="903" t="s">
        <v>1555</v>
      </c>
      <c r="D25" s="903"/>
      <c r="E25" s="476"/>
      <c r="F25" s="476"/>
      <c r="G25" s="476"/>
      <c r="H25" s="483"/>
      <c r="I25" s="497">
        <f t="shared" si="0"/>
        <v>0</v>
      </c>
    </row>
    <row r="26" spans="1:9">
      <c r="A26" s="472" t="s">
        <v>1556</v>
      </c>
      <c r="B26" s="902"/>
      <c r="C26" s="903" t="s">
        <v>68</v>
      </c>
      <c r="D26" s="903"/>
      <c r="E26" s="476"/>
      <c r="F26" s="476"/>
      <c r="G26" s="476"/>
      <c r="H26" s="483"/>
      <c r="I26" s="497">
        <f t="shared" si="0"/>
        <v>0</v>
      </c>
    </row>
    <row r="27" spans="1:9">
      <c r="A27" s="472" t="s">
        <v>1557</v>
      </c>
      <c r="B27" s="902"/>
      <c r="C27" s="903" t="s">
        <v>599</v>
      </c>
      <c r="D27" s="903"/>
      <c r="E27" s="496">
        <f>E22+E23+E24+E25+E26</f>
        <v>0</v>
      </c>
      <c r="F27" s="496">
        <f t="shared" ref="F27:H27" si="1">F22+F23+F24+F25+F26</f>
        <v>0</v>
      </c>
      <c r="G27" s="496">
        <f t="shared" si="1"/>
        <v>0</v>
      </c>
      <c r="H27" s="481">
        <f t="shared" si="1"/>
        <v>0</v>
      </c>
      <c r="I27" s="497">
        <f t="shared" si="0"/>
        <v>0</v>
      </c>
    </row>
    <row r="28" spans="1:9">
      <c r="A28" s="472" t="s">
        <v>1558</v>
      </c>
      <c r="B28" s="902" t="s">
        <v>1559</v>
      </c>
      <c r="C28" s="903" t="s">
        <v>1560</v>
      </c>
      <c r="D28" s="903"/>
      <c r="E28" s="476"/>
      <c r="F28" s="476"/>
      <c r="G28" s="476"/>
      <c r="H28" s="483"/>
      <c r="I28" s="497">
        <f t="shared" si="0"/>
        <v>0</v>
      </c>
    </row>
    <row r="29" spans="1:9">
      <c r="A29" s="472" t="s">
        <v>1561</v>
      </c>
      <c r="B29" s="902"/>
      <c r="C29" s="903" t="s">
        <v>1562</v>
      </c>
      <c r="D29" s="903"/>
      <c r="E29" s="476"/>
      <c r="F29" s="476"/>
      <c r="G29" s="476"/>
      <c r="H29" s="483"/>
      <c r="I29" s="497">
        <f t="shared" si="0"/>
        <v>0</v>
      </c>
    </row>
    <row r="30" spans="1:9">
      <c r="A30" s="472" t="s">
        <v>1563</v>
      </c>
      <c r="B30" s="902"/>
      <c r="C30" s="903" t="s">
        <v>1564</v>
      </c>
      <c r="D30" s="903"/>
      <c r="E30" s="476"/>
      <c r="F30" s="476"/>
      <c r="G30" s="476"/>
      <c r="H30" s="483"/>
      <c r="I30" s="497">
        <f t="shared" si="0"/>
        <v>0</v>
      </c>
    </row>
    <row r="31" spans="1:9">
      <c r="A31" s="472" t="s">
        <v>1565</v>
      </c>
      <c r="B31" s="902"/>
      <c r="C31" s="903" t="s">
        <v>1566</v>
      </c>
      <c r="D31" s="903"/>
      <c r="E31" s="476"/>
      <c r="F31" s="476"/>
      <c r="G31" s="476"/>
      <c r="H31" s="483"/>
      <c r="I31" s="497">
        <f t="shared" si="0"/>
        <v>0</v>
      </c>
    </row>
    <row r="32" spans="1:9">
      <c r="A32" s="472" t="s">
        <v>1567</v>
      </c>
      <c r="B32" s="902"/>
      <c r="C32" s="903" t="s">
        <v>68</v>
      </c>
      <c r="D32" s="903"/>
      <c r="E32" s="476"/>
      <c r="F32" s="476"/>
      <c r="G32" s="476"/>
      <c r="H32" s="483"/>
      <c r="I32" s="497">
        <f t="shared" si="0"/>
        <v>0</v>
      </c>
    </row>
    <row r="33" spans="1:9">
      <c r="A33" s="472" t="s">
        <v>1568</v>
      </c>
      <c r="B33" s="902"/>
      <c r="C33" s="903" t="s">
        <v>599</v>
      </c>
      <c r="D33" s="903"/>
      <c r="E33" s="496">
        <f>E28+E29+E30+E31+E32</f>
        <v>0</v>
      </c>
      <c r="F33" s="496">
        <f>F28+F29+F30+F31+F32</f>
        <v>0</v>
      </c>
      <c r="G33" s="496">
        <f>G28+G29+G30+G31+G32</f>
        <v>0</v>
      </c>
      <c r="H33" s="481">
        <f>H28+H29+H30+H31+H32</f>
        <v>0</v>
      </c>
      <c r="I33" s="497">
        <f t="shared" si="0"/>
        <v>0</v>
      </c>
    </row>
    <row r="34" spans="1:9">
      <c r="A34" s="472" t="s">
        <v>1569</v>
      </c>
      <c r="B34" s="902" t="s">
        <v>1570</v>
      </c>
      <c r="C34" s="903" t="s">
        <v>1571</v>
      </c>
      <c r="D34" s="903"/>
      <c r="E34" s="476"/>
      <c r="F34" s="476"/>
      <c r="G34" s="476"/>
      <c r="H34" s="483"/>
      <c r="I34" s="497">
        <f t="shared" si="0"/>
        <v>0</v>
      </c>
    </row>
    <row r="35" spans="1:9">
      <c r="A35" s="472" t="s">
        <v>1572</v>
      </c>
      <c r="B35" s="902"/>
      <c r="C35" s="903" t="s">
        <v>1573</v>
      </c>
      <c r="D35" s="903"/>
      <c r="E35" s="476"/>
      <c r="F35" s="476"/>
      <c r="G35" s="476"/>
      <c r="H35" s="483"/>
      <c r="I35" s="497">
        <f t="shared" si="0"/>
        <v>0</v>
      </c>
    </row>
    <row r="36" spans="1:9">
      <c r="A36" s="472" t="s">
        <v>1574</v>
      </c>
      <c r="B36" s="902"/>
      <c r="C36" s="903" t="s">
        <v>1575</v>
      </c>
      <c r="D36" s="903"/>
      <c r="E36" s="476"/>
      <c r="F36" s="476"/>
      <c r="G36" s="476"/>
      <c r="H36" s="483"/>
      <c r="I36" s="497">
        <f t="shared" si="0"/>
        <v>0</v>
      </c>
    </row>
    <row r="37" spans="1:9">
      <c r="A37" s="472" t="s">
        <v>1576</v>
      </c>
      <c r="B37" s="902"/>
      <c r="C37" s="903" t="s">
        <v>68</v>
      </c>
      <c r="D37" s="903"/>
      <c r="E37" s="476"/>
      <c r="F37" s="476"/>
      <c r="G37" s="476"/>
      <c r="H37" s="483"/>
      <c r="I37" s="497">
        <f t="shared" si="0"/>
        <v>0</v>
      </c>
    </row>
    <row r="38" spans="1:9">
      <c r="A38" s="472" t="s">
        <v>1577</v>
      </c>
      <c r="B38" s="902"/>
      <c r="C38" s="903" t="s">
        <v>599</v>
      </c>
      <c r="D38" s="903"/>
      <c r="E38" s="496">
        <f>E34+E35+E36+E37</f>
        <v>0</v>
      </c>
      <c r="F38" s="496">
        <f>F34+F35+F36+F37</f>
        <v>0</v>
      </c>
      <c r="G38" s="496">
        <f>G34+G35+G36+G37</f>
        <v>0</v>
      </c>
      <c r="H38" s="481">
        <f>H34+H35+H36+H37</f>
        <v>0</v>
      </c>
      <c r="I38" s="497">
        <f t="shared" si="0"/>
        <v>0</v>
      </c>
    </row>
    <row r="39" spans="1:9">
      <c r="A39" s="472" t="s">
        <v>1578</v>
      </c>
      <c r="B39" s="902" t="s">
        <v>1579</v>
      </c>
      <c r="C39" s="903" t="s">
        <v>1580</v>
      </c>
      <c r="D39" s="903"/>
      <c r="E39" s="476"/>
      <c r="F39" s="476"/>
      <c r="G39" s="476"/>
      <c r="H39" s="483"/>
      <c r="I39" s="497">
        <f t="shared" si="0"/>
        <v>0</v>
      </c>
    </row>
    <row r="40" spans="1:9">
      <c r="A40" s="472" t="s">
        <v>1581</v>
      </c>
      <c r="B40" s="902"/>
      <c r="C40" s="903" t="s">
        <v>1535</v>
      </c>
      <c r="D40" s="903"/>
      <c r="E40" s="476"/>
      <c r="F40" s="476"/>
      <c r="G40" s="476"/>
      <c r="H40" s="483"/>
      <c r="I40" s="497">
        <f t="shared" si="0"/>
        <v>0</v>
      </c>
    </row>
    <row r="41" spans="1:9">
      <c r="A41" s="472" t="s">
        <v>1582</v>
      </c>
      <c r="B41" s="902"/>
      <c r="C41" s="903" t="s">
        <v>1583</v>
      </c>
      <c r="D41" s="903"/>
      <c r="E41" s="476"/>
      <c r="F41" s="476"/>
      <c r="G41" s="476"/>
      <c r="H41" s="483"/>
      <c r="I41" s="497">
        <f t="shared" si="0"/>
        <v>0</v>
      </c>
    </row>
    <row r="42" spans="1:9">
      <c r="A42" s="472" t="s">
        <v>1584</v>
      </c>
      <c r="B42" s="902"/>
      <c r="C42" s="904" t="s">
        <v>68</v>
      </c>
      <c r="D42" s="905"/>
      <c r="E42" s="476"/>
      <c r="F42" s="476"/>
      <c r="G42" s="476"/>
      <c r="H42" s="483"/>
      <c r="I42" s="497">
        <f t="shared" si="0"/>
        <v>0</v>
      </c>
    </row>
    <row r="43" spans="1:9">
      <c r="A43" s="472" t="s">
        <v>1585</v>
      </c>
      <c r="B43" s="902"/>
      <c r="C43" s="903" t="s">
        <v>599</v>
      </c>
      <c r="D43" s="903"/>
      <c r="E43" s="496">
        <f>E39+E40+E41+E42</f>
        <v>0</v>
      </c>
      <c r="F43" s="496">
        <f>F39+F40+F41+F42</f>
        <v>0</v>
      </c>
      <c r="G43" s="496">
        <f>G39+G40+G41+G42</f>
        <v>0</v>
      </c>
      <c r="H43" s="481">
        <f>H39+H40+H41+H42</f>
        <v>0</v>
      </c>
      <c r="I43" s="497">
        <f t="shared" si="0"/>
        <v>0</v>
      </c>
    </row>
    <row r="44" spans="1:9">
      <c r="A44" s="472" t="s">
        <v>1586</v>
      </c>
      <c r="B44" s="906" t="s">
        <v>1587</v>
      </c>
      <c r="C44" s="903" t="s">
        <v>1588</v>
      </c>
      <c r="D44" s="903"/>
      <c r="E44" s="476"/>
      <c r="F44" s="476"/>
      <c r="G44" s="476"/>
      <c r="H44" s="483"/>
      <c r="I44" s="497">
        <f t="shared" si="0"/>
        <v>0</v>
      </c>
    </row>
    <row r="45" spans="1:9">
      <c r="A45" s="472" t="s">
        <v>1589</v>
      </c>
      <c r="B45" s="907"/>
      <c r="C45" s="903" t="s">
        <v>1590</v>
      </c>
      <c r="D45" s="903"/>
      <c r="E45" s="476"/>
      <c r="F45" s="476"/>
      <c r="G45" s="476"/>
      <c r="H45" s="483"/>
      <c r="I45" s="497">
        <f t="shared" si="0"/>
        <v>0</v>
      </c>
    </row>
    <row r="46" spans="1:9">
      <c r="A46" s="472" t="s">
        <v>1591</v>
      </c>
      <c r="B46" s="907"/>
      <c r="C46" s="903" t="s">
        <v>68</v>
      </c>
      <c r="D46" s="903"/>
      <c r="E46" s="476"/>
      <c r="F46" s="476"/>
      <c r="G46" s="476"/>
      <c r="H46" s="483"/>
      <c r="I46" s="497">
        <f t="shared" si="0"/>
        <v>0</v>
      </c>
    </row>
    <row r="47" spans="1:9">
      <c r="A47" s="472" t="s">
        <v>1592</v>
      </c>
      <c r="B47" s="907"/>
      <c r="C47" s="903" t="s">
        <v>599</v>
      </c>
      <c r="D47" s="903"/>
      <c r="E47" s="496">
        <f>E44+E45+E46</f>
        <v>0</v>
      </c>
      <c r="F47" s="496">
        <f>F44+F45+F46</f>
        <v>0</v>
      </c>
      <c r="G47" s="496">
        <f>G44+G45+G46</f>
        <v>0</v>
      </c>
      <c r="H47" s="481">
        <f>H44+H45+H46</f>
        <v>0</v>
      </c>
      <c r="I47" s="497">
        <f t="shared" si="0"/>
        <v>0</v>
      </c>
    </row>
    <row r="48" spans="1:9">
      <c r="A48" s="472" t="s">
        <v>1593</v>
      </c>
      <c r="B48" s="906" t="s">
        <v>1594</v>
      </c>
      <c r="C48" s="903" t="s">
        <v>1595</v>
      </c>
      <c r="D48" s="903"/>
      <c r="E48" s="476"/>
      <c r="F48" s="476"/>
      <c r="G48" s="476"/>
      <c r="H48" s="483"/>
      <c r="I48" s="497">
        <f t="shared" si="0"/>
        <v>0</v>
      </c>
    </row>
    <row r="49" spans="1:9">
      <c r="A49" s="472" t="s">
        <v>1596</v>
      </c>
      <c r="B49" s="907"/>
      <c r="C49" s="903" t="s">
        <v>1597</v>
      </c>
      <c r="D49" s="903"/>
      <c r="E49" s="476"/>
      <c r="F49" s="476"/>
      <c r="G49" s="476"/>
      <c r="H49" s="483"/>
      <c r="I49" s="497">
        <f t="shared" si="0"/>
        <v>0</v>
      </c>
    </row>
    <row r="50" spans="1:9">
      <c r="A50" s="472" t="s">
        <v>1598</v>
      </c>
      <c r="B50" s="907"/>
      <c r="C50" s="903" t="s">
        <v>1599</v>
      </c>
      <c r="D50" s="903"/>
      <c r="E50" s="476"/>
      <c r="F50" s="476"/>
      <c r="G50" s="476"/>
      <c r="H50" s="483"/>
      <c r="I50" s="497">
        <f t="shared" si="0"/>
        <v>0</v>
      </c>
    </row>
    <row r="51" spans="1:9">
      <c r="A51" s="472" t="s">
        <v>1600</v>
      </c>
      <c r="B51" s="907"/>
      <c r="C51" s="903" t="s">
        <v>1601</v>
      </c>
      <c r="D51" s="903"/>
      <c r="E51" s="476"/>
      <c r="F51" s="476"/>
      <c r="G51" s="476"/>
      <c r="H51" s="483"/>
      <c r="I51" s="497">
        <f t="shared" si="0"/>
        <v>0</v>
      </c>
    </row>
    <row r="52" spans="1:9">
      <c r="A52" s="472" t="s">
        <v>1602</v>
      </c>
      <c r="B52" s="907"/>
      <c r="C52" s="904" t="s">
        <v>1603</v>
      </c>
      <c r="D52" s="905"/>
      <c r="E52" s="476"/>
      <c r="F52" s="476"/>
      <c r="G52" s="476"/>
      <c r="H52" s="483"/>
      <c r="I52" s="497">
        <f t="shared" si="0"/>
        <v>0</v>
      </c>
    </row>
    <row r="53" spans="1:9">
      <c r="A53" s="472" t="s">
        <v>1604</v>
      </c>
      <c r="B53" s="907"/>
      <c r="C53" s="903" t="s">
        <v>68</v>
      </c>
      <c r="D53" s="903"/>
      <c r="E53" s="476"/>
      <c r="F53" s="476"/>
      <c r="G53" s="476"/>
      <c r="H53" s="483"/>
      <c r="I53" s="497">
        <f t="shared" si="0"/>
        <v>0</v>
      </c>
    </row>
    <row r="54" spans="1:9">
      <c r="A54" s="472" t="s">
        <v>1605</v>
      </c>
      <c r="B54" s="909"/>
      <c r="C54" s="903" t="s">
        <v>599</v>
      </c>
      <c r="D54" s="903"/>
      <c r="E54" s="496">
        <f>E48+E49+E50+E51+E52+E53</f>
        <v>0</v>
      </c>
      <c r="F54" s="496">
        <f>F48+F49+F50+F51+F52+F53</f>
        <v>0</v>
      </c>
      <c r="G54" s="496">
        <f>G48+G49+G50+G51+G52+G53</f>
        <v>0</v>
      </c>
      <c r="H54" s="481">
        <f>H48+H49+H50+H51+H52+H53</f>
        <v>0</v>
      </c>
      <c r="I54" s="497">
        <f t="shared" si="0"/>
        <v>0</v>
      </c>
    </row>
    <row r="55" spans="1:9">
      <c r="A55" s="472" t="s">
        <v>112</v>
      </c>
      <c r="B55" s="906" t="s">
        <v>68</v>
      </c>
      <c r="C55" s="903" t="s">
        <v>1606</v>
      </c>
      <c r="D55" s="903"/>
      <c r="E55" s="476"/>
      <c r="F55" s="476"/>
      <c r="G55" s="476"/>
      <c r="H55" s="483"/>
      <c r="I55" s="497">
        <f t="shared" si="0"/>
        <v>0</v>
      </c>
    </row>
    <row r="56" spans="1:9">
      <c r="A56" s="472" t="s">
        <v>115</v>
      </c>
      <c r="B56" s="907"/>
      <c r="C56" s="903" t="s">
        <v>1607</v>
      </c>
      <c r="D56" s="903"/>
      <c r="E56" s="476"/>
      <c r="F56" s="476"/>
      <c r="G56" s="476"/>
      <c r="H56" s="483"/>
      <c r="I56" s="497">
        <f t="shared" si="0"/>
        <v>0</v>
      </c>
    </row>
    <row r="57" spans="1:9">
      <c r="A57" s="472" t="s">
        <v>117</v>
      </c>
      <c r="B57" s="907"/>
      <c r="C57" s="903" t="s">
        <v>1608</v>
      </c>
      <c r="D57" s="903"/>
      <c r="E57" s="476"/>
      <c r="F57" s="476"/>
      <c r="G57" s="476"/>
      <c r="H57" s="483"/>
      <c r="I57" s="497">
        <f t="shared" si="0"/>
        <v>0</v>
      </c>
    </row>
    <row r="58" spans="1:9">
      <c r="A58" s="472" t="s">
        <v>119</v>
      </c>
      <c r="B58" s="907"/>
      <c r="C58" s="903" t="s">
        <v>1609</v>
      </c>
      <c r="D58" s="903"/>
      <c r="E58" s="476"/>
      <c r="F58" s="476"/>
      <c r="G58" s="476"/>
      <c r="H58" s="483"/>
      <c r="I58" s="497">
        <f t="shared" si="0"/>
        <v>0</v>
      </c>
    </row>
    <row r="59" spans="1:9">
      <c r="A59" s="472" t="s">
        <v>121</v>
      </c>
      <c r="B59" s="907"/>
      <c r="C59" s="903" t="s">
        <v>1610</v>
      </c>
      <c r="D59" s="903"/>
      <c r="E59" s="476"/>
      <c r="F59" s="476"/>
      <c r="G59" s="476"/>
      <c r="H59" s="483"/>
      <c r="I59" s="497">
        <f t="shared" si="0"/>
        <v>0</v>
      </c>
    </row>
    <row r="60" spans="1:9">
      <c r="A60" s="472" t="s">
        <v>123</v>
      </c>
      <c r="B60" s="907"/>
      <c r="C60" s="903" t="s">
        <v>1611</v>
      </c>
      <c r="D60" s="903"/>
      <c r="E60" s="476"/>
      <c r="F60" s="476"/>
      <c r="G60" s="476"/>
      <c r="H60" s="483"/>
      <c r="I60" s="497">
        <f t="shared" si="0"/>
        <v>0</v>
      </c>
    </row>
    <row r="61" spans="1:9">
      <c r="A61" s="472" t="s">
        <v>125</v>
      </c>
      <c r="B61" s="907"/>
      <c r="C61" s="903" t="s">
        <v>1612</v>
      </c>
      <c r="D61" s="903"/>
      <c r="E61" s="476"/>
      <c r="F61" s="476"/>
      <c r="G61" s="476"/>
      <c r="H61" s="483"/>
      <c r="I61" s="497">
        <f t="shared" si="0"/>
        <v>0</v>
      </c>
    </row>
    <row r="62" spans="1:9">
      <c r="A62" s="472" t="s">
        <v>127</v>
      </c>
      <c r="B62" s="907"/>
      <c r="C62" s="903" t="s">
        <v>68</v>
      </c>
      <c r="D62" s="903"/>
      <c r="E62" s="476"/>
      <c r="F62" s="476"/>
      <c r="G62" s="476"/>
      <c r="H62" s="483"/>
      <c r="I62" s="497">
        <f t="shared" si="0"/>
        <v>0</v>
      </c>
    </row>
    <row r="63" spans="1:9">
      <c r="A63" s="472" t="s">
        <v>1359</v>
      </c>
      <c r="B63" s="909"/>
      <c r="C63" s="903" t="s">
        <v>599</v>
      </c>
      <c r="D63" s="903"/>
      <c r="E63" s="496">
        <f>E55+E56+E57+E58+E59+E60+E61+E62</f>
        <v>0</v>
      </c>
      <c r="F63" s="496">
        <f>F55+F56+F57+F58+F59+F60+F61+F62</f>
        <v>0</v>
      </c>
      <c r="G63" s="496">
        <f>G55+G56+G57+G58+G59+G60+G61+G62</f>
        <v>0</v>
      </c>
      <c r="H63" s="481">
        <f>H55+H56+H57+H58+H59+H60+H61+H62</f>
        <v>0</v>
      </c>
      <c r="I63" s="497">
        <f t="shared" si="0"/>
        <v>0</v>
      </c>
    </row>
    <row r="64" spans="1:9">
      <c r="A64" s="472" t="s">
        <v>166</v>
      </c>
      <c r="B64" s="953" t="s">
        <v>78</v>
      </c>
      <c r="C64" s="953"/>
      <c r="D64" s="953"/>
      <c r="E64" s="499">
        <f>E16+E21+E27+E33+E38+E43+E47+E54+E63</f>
        <v>0</v>
      </c>
      <c r="F64" s="499">
        <f>F16+F21+F27+F33+F38+F43+F47+F54+F63</f>
        <v>0</v>
      </c>
      <c r="G64" s="499">
        <f>G16+G21+G27+G33+G38+G43+G47+G54+G63</f>
        <v>0</v>
      </c>
      <c r="H64" s="484">
        <f t="shared" ref="H64" si="2">H16+H21+H27+H33+H38+H43+H47+H54+H63</f>
        <v>0</v>
      </c>
      <c r="I64" s="497">
        <f t="shared" si="0"/>
        <v>0</v>
      </c>
    </row>
    <row r="66" spans="1:7">
      <c r="A66" s="375" t="s">
        <v>547</v>
      </c>
    </row>
    <row r="68" spans="1:7">
      <c r="A68" s="478" t="s">
        <v>59</v>
      </c>
      <c r="C68" s="464"/>
      <c r="D68" s="464"/>
    </row>
    <row r="69" spans="1:7">
      <c r="A69" s="464"/>
      <c r="C69" s="464"/>
      <c r="D69" s="464"/>
    </row>
    <row r="70" spans="1:7">
      <c r="A70" s="5" t="s">
        <v>1624</v>
      </c>
    </row>
    <row r="71" spans="1:7">
      <c r="A71" s="5" t="s">
        <v>1614</v>
      </c>
      <c r="C71" s="464"/>
      <c r="D71" s="464"/>
    </row>
    <row r="72" spans="1:7">
      <c r="A72" s="5" t="s">
        <v>781</v>
      </c>
    </row>
    <row r="73" spans="1:7">
      <c r="A73" s="351" t="s">
        <v>1688</v>
      </c>
      <c r="B73" s="351"/>
      <c r="C73" s="351"/>
      <c r="D73" s="351"/>
      <c r="E73" s="351"/>
      <c r="F73" s="351"/>
      <c r="G73" s="351"/>
    </row>
    <row r="74" spans="1:7">
      <c r="A74" s="522"/>
    </row>
    <row r="75" spans="1:7">
      <c r="A75" s="280" t="s">
        <v>173</v>
      </c>
      <c r="B75" s="280"/>
      <c r="C75" s="280"/>
      <c r="D75" s="280"/>
      <c r="E75" s="280"/>
      <c r="F75" s="280"/>
      <c r="G75" s="280"/>
    </row>
    <row r="76" spans="1:7">
      <c r="A76" s="351" t="s">
        <v>1750</v>
      </c>
      <c r="B76" s="351"/>
      <c r="C76" s="351"/>
      <c r="D76" s="351"/>
      <c r="E76" s="351"/>
      <c r="F76" s="351"/>
      <c r="G76" s="351"/>
    </row>
  </sheetData>
  <mergeCells count="65">
    <mergeCell ref="A8:D10"/>
    <mergeCell ref="E9:I9"/>
    <mergeCell ref="B11:B16"/>
    <mergeCell ref="C11:D11"/>
    <mergeCell ref="C12:D12"/>
    <mergeCell ref="C13:D13"/>
    <mergeCell ref="C14:D14"/>
    <mergeCell ref="C15:D15"/>
    <mergeCell ref="C16:D16"/>
    <mergeCell ref="B17:B21"/>
    <mergeCell ref="C17:D17"/>
    <mergeCell ref="C18:D18"/>
    <mergeCell ref="C19:D19"/>
    <mergeCell ref="C20:D20"/>
    <mergeCell ref="C21:D21"/>
    <mergeCell ref="B22:B27"/>
    <mergeCell ref="C22:D22"/>
    <mergeCell ref="C23:D23"/>
    <mergeCell ref="C24:D24"/>
    <mergeCell ref="C25:D25"/>
    <mergeCell ref="C26:D26"/>
    <mergeCell ref="C27:D27"/>
    <mergeCell ref="B28:B33"/>
    <mergeCell ref="C28:D28"/>
    <mergeCell ref="C29:D29"/>
    <mergeCell ref="C30:D30"/>
    <mergeCell ref="C31:D31"/>
    <mergeCell ref="C32:D32"/>
    <mergeCell ref="C33:D33"/>
    <mergeCell ref="B34:B38"/>
    <mergeCell ref="C34:D34"/>
    <mergeCell ref="C35:D35"/>
    <mergeCell ref="C36:D36"/>
    <mergeCell ref="C37:D37"/>
    <mergeCell ref="C38:D38"/>
    <mergeCell ref="C49:D49"/>
    <mergeCell ref="C50:D50"/>
    <mergeCell ref="C51:D51"/>
    <mergeCell ref="B39:B43"/>
    <mergeCell ref="C39:D39"/>
    <mergeCell ref="C40:D40"/>
    <mergeCell ref="C41:D41"/>
    <mergeCell ref="C42:D42"/>
    <mergeCell ref="C43:D43"/>
    <mergeCell ref="B44:B47"/>
    <mergeCell ref="C44:D44"/>
    <mergeCell ref="C45:D45"/>
    <mergeCell ref="C46:D46"/>
    <mergeCell ref="C47:D47"/>
    <mergeCell ref="C61:D61"/>
    <mergeCell ref="C62:D62"/>
    <mergeCell ref="C63:D63"/>
    <mergeCell ref="B64:D64"/>
    <mergeCell ref="C52:D52"/>
    <mergeCell ref="C53:D53"/>
    <mergeCell ref="C54:D54"/>
    <mergeCell ref="B55:B63"/>
    <mergeCell ref="C55:D55"/>
    <mergeCell ref="C56:D56"/>
    <mergeCell ref="C57:D57"/>
    <mergeCell ref="C58:D58"/>
    <mergeCell ref="C59:D59"/>
    <mergeCell ref="C60:D60"/>
    <mergeCell ref="B48:B54"/>
    <mergeCell ref="C48:D48"/>
  </mergeCells>
  <phoneticPr fontId="6" type="noConversion"/>
  <pageMargins left="0.7" right="0.7" top="0.75" bottom="0.75" header="0.3" footer="0.3"/>
  <pageSetup paperSize="9" scale="68" fitToHeight="0" orientation="portrait" r:id="rId1"/>
  <drawing r:id="rId2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51AD9F-A8F3-4EC7-B084-5DB8B47E340E}">
  <sheetPr codeName="Sheet40">
    <tabColor theme="0" tint="-0.249977111117893"/>
    <pageSetUpPr fitToPage="1"/>
  </sheetPr>
  <dimension ref="A5:I29"/>
  <sheetViews>
    <sheetView view="pageBreakPreview" zoomScaleNormal="85" zoomScaleSheetLayoutView="100" workbookViewId="0">
      <selection activeCell="A14" sqref="A14"/>
    </sheetView>
  </sheetViews>
  <sheetFormatPr defaultColWidth="8.8984375" defaultRowHeight="14.4"/>
  <cols>
    <col min="1" max="2" width="8.8984375" style="5"/>
    <col min="3" max="3" width="17.09765625" style="5" customWidth="1"/>
    <col min="4" max="16384" width="8.8984375" style="5"/>
  </cols>
  <sheetData>
    <row r="5" spans="1:9" ht="20.25" customHeight="1">
      <c r="A5" s="63" t="s">
        <v>785</v>
      </c>
    </row>
    <row r="7" spans="1:9" ht="15" thickBot="1">
      <c r="A7" s="5" t="s">
        <v>751</v>
      </c>
    </row>
    <row r="8" spans="1:9" ht="13.5" customHeight="1">
      <c r="A8" s="964" t="s">
        <v>555</v>
      </c>
      <c r="B8" s="965"/>
      <c r="C8" s="966"/>
      <c r="D8" s="112" t="s">
        <v>693</v>
      </c>
      <c r="E8" s="113" t="s">
        <v>694</v>
      </c>
      <c r="F8" s="114" t="s">
        <v>752</v>
      </c>
      <c r="G8" s="114" t="s">
        <v>753</v>
      </c>
      <c r="H8" s="114" t="s">
        <v>754</v>
      </c>
      <c r="I8" s="115" t="s">
        <v>755</v>
      </c>
    </row>
    <row r="9" spans="1:9" ht="14.25" customHeight="1">
      <c r="A9" s="967"/>
      <c r="B9" s="968"/>
      <c r="C9" s="969"/>
      <c r="D9" s="973" t="s">
        <v>569</v>
      </c>
      <c r="E9" s="974"/>
      <c r="F9" s="974"/>
      <c r="G9" s="974"/>
      <c r="H9" s="974"/>
      <c r="I9" s="975"/>
    </row>
    <row r="10" spans="1:9" ht="14.25" customHeight="1">
      <c r="A10" s="967"/>
      <c r="B10" s="968"/>
      <c r="C10" s="969"/>
      <c r="D10" s="976" t="s">
        <v>698</v>
      </c>
      <c r="E10" s="977"/>
      <c r="F10" s="978" t="s">
        <v>786</v>
      </c>
      <c r="G10" s="977"/>
      <c r="H10" s="978" t="s">
        <v>699</v>
      </c>
      <c r="I10" s="979"/>
    </row>
    <row r="11" spans="1:9" ht="15" thickBot="1">
      <c r="A11" s="970"/>
      <c r="B11" s="971"/>
      <c r="C11" s="972"/>
      <c r="D11" s="117" t="s">
        <v>765</v>
      </c>
      <c r="E11" s="118" t="s">
        <v>702</v>
      </c>
      <c r="F11" s="119" t="s">
        <v>765</v>
      </c>
      <c r="G11" s="119" t="s">
        <v>702</v>
      </c>
      <c r="H11" s="119" t="s">
        <v>765</v>
      </c>
      <c r="I11" s="120" t="s">
        <v>702</v>
      </c>
    </row>
    <row r="12" spans="1:9" ht="15.6">
      <c r="A12" s="363" t="s">
        <v>556</v>
      </c>
      <c r="B12" s="960" t="s">
        <v>766</v>
      </c>
      <c r="C12" s="364" t="s">
        <v>767</v>
      </c>
      <c r="D12" s="121"/>
      <c r="E12" s="122"/>
      <c r="F12" s="122"/>
      <c r="G12" s="122"/>
      <c r="H12" s="122"/>
      <c r="I12" s="123"/>
    </row>
    <row r="13" spans="1:9" ht="15.6">
      <c r="A13" s="301" t="s">
        <v>557</v>
      </c>
      <c r="B13" s="960"/>
      <c r="C13" s="365" t="s">
        <v>768</v>
      </c>
      <c r="D13" s="124"/>
      <c r="E13" s="125"/>
      <c r="F13" s="125"/>
      <c r="G13" s="125"/>
      <c r="H13" s="125"/>
      <c r="I13" s="126"/>
    </row>
    <row r="14" spans="1:9" ht="15.6">
      <c r="A14" s="366" t="s">
        <v>558</v>
      </c>
      <c r="B14" s="961"/>
      <c r="C14" s="365" t="s">
        <v>67</v>
      </c>
      <c r="D14" s="124">
        <f t="shared" ref="D14:I14" si="0">D12+D13</f>
        <v>0</v>
      </c>
      <c r="E14" s="125">
        <f t="shared" si="0"/>
        <v>0</v>
      </c>
      <c r="F14" s="125">
        <f t="shared" si="0"/>
        <v>0</v>
      </c>
      <c r="G14" s="125">
        <f t="shared" si="0"/>
        <v>0</v>
      </c>
      <c r="H14" s="125">
        <f t="shared" si="0"/>
        <v>0</v>
      </c>
      <c r="I14" s="126">
        <f t="shared" si="0"/>
        <v>0</v>
      </c>
    </row>
    <row r="15" spans="1:9" ht="15.6">
      <c r="A15" s="366" t="s">
        <v>559</v>
      </c>
      <c r="B15" s="959" t="s">
        <v>769</v>
      </c>
      <c r="C15" s="365" t="s">
        <v>770</v>
      </c>
      <c r="D15" s="124"/>
      <c r="E15" s="125"/>
      <c r="F15" s="125"/>
      <c r="G15" s="125"/>
      <c r="H15" s="125"/>
      <c r="I15" s="126"/>
    </row>
    <row r="16" spans="1:9" ht="15.6">
      <c r="A16" s="366" t="s">
        <v>561</v>
      </c>
      <c r="B16" s="960"/>
      <c r="C16" s="365" t="s">
        <v>771</v>
      </c>
      <c r="D16" s="124"/>
      <c r="E16" s="125"/>
      <c r="F16" s="125"/>
      <c r="G16" s="125"/>
      <c r="H16" s="125"/>
      <c r="I16" s="126"/>
    </row>
    <row r="17" spans="1:9" ht="15.6">
      <c r="A17" s="366" t="s">
        <v>560</v>
      </c>
      <c r="B17" s="961"/>
      <c r="C17" s="365" t="s">
        <v>67</v>
      </c>
      <c r="D17" s="124">
        <f t="shared" ref="D17:I17" si="1">D15+D16</f>
        <v>0</v>
      </c>
      <c r="E17" s="125">
        <f t="shared" si="1"/>
        <v>0</v>
      </c>
      <c r="F17" s="125">
        <f t="shared" si="1"/>
        <v>0</v>
      </c>
      <c r="G17" s="125">
        <f t="shared" si="1"/>
        <v>0</v>
      </c>
      <c r="H17" s="125">
        <f t="shared" si="1"/>
        <v>0</v>
      </c>
      <c r="I17" s="126">
        <f t="shared" si="1"/>
        <v>0</v>
      </c>
    </row>
    <row r="18" spans="1:9" ht="15.6">
      <c r="A18" s="301" t="s">
        <v>170</v>
      </c>
      <c r="B18" s="959" t="s">
        <v>772</v>
      </c>
      <c r="C18" s="365" t="s">
        <v>773</v>
      </c>
      <c r="D18" s="124"/>
      <c r="E18" s="125"/>
      <c r="F18" s="125"/>
      <c r="G18" s="125"/>
      <c r="H18" s="125"/>
      <c r="I18" s="126"/>
    </row>
    <row r="19" spans="1:9" ht="15.6">
      <c r="A19" s="366" t="s">
        <v>743</v>
      </c>
      <c r="B19" s="960"/>
      <c r="C19" s="365" t="s">
        <v>774</v>
      </c>
      <c r="D19" s="124"/>
      <c r="E19" s="125"/>
      <c r="F19" s="125"/>
      <c r="G19" s="125"/>
      <c r="H19" s="125"/>
      <c r="I19" s="126"/>
    </row>
    <row r="20" spans="1:9" ht="15.6">
      <c r="A20" s="366" t="s">
        <v>775</v>
      </c>
      <c r="B20" s="961"/>
      <c r="C20" s="365" t="s">
        <v>67</v>
      </c>
      <c r="D20" s="124">
        <f t="shared" ref="D20:I20" si="2">D18+D19</f>
        <v>0</v>
      </c>
      <c r="E20" s="125">
        <f t="shared" si="2"/>
        <v>0</v>
      </c>
      <c r="F20" s="125">
        <f t="shared" si="2"/>
        <v>0</v>
      </c>
      <c r="G20" s="125">
        <f t="shared" si="2"/>
        <v>0</v>
      </c>
      <c r="H20" s="125">
        <f t="shared" si="2"/>
        <v>0</v>
      </c>
      <c r="I20" s="126">
        <f t="shared" si="2"/>
        <v>0</v>
      </c>
    </row>
    <row r="21" spans="1:9" ht="16.2" thickBot="1">
      <c r="A21" s="367" t="s">
        <v>776</v>
      </c>
      <c r="B21" s="962" t="s">
        <v>70</v>
      </c>
      <c r="C21" s="963"/>
      <c r="D21" s="127">
        <f t="shared" ref="D21:I21" si="3">D14+D17+D20</f>
        <v>0</v>
      </c>
      <c r="E21" s="128">
        <f t="shared" si="3"/>
        <v>0</v>
      </c>
      <c r="F21" s="128">
        <f t="shared" si="3"/>
        <v>0</v>
      </c>
      <c r="G21" s="128">
        <f t="shared" si="3"/>
        <v>0</v>
      </c>
      <c r="H21" s="128">
        <f t="shared" si="3"/>
        <v>0</v>
      </c>
      <c r="I21" s="129">
        <f t="shared" si="3"/>
        <v>0</v>
      </c>
    </row>
    <row r="22" spans="1:9">
      <c r="A22" s="3"/>
    </row>
    <row r="23" spans="1:9">
      <c r="A23" s="130" t="s">
        <v>547</v>
      </c>
    </row>
    <row r="25" spans="1:9">
      <c r="A25" s="131" t="s">
        <v>59</v>
      </c>
    </row>
    <row r="26" spans="1:9">
      <c r="A26" s="2"/>
    </row>
    <row r="27" spans="1:9" ht="19.5" customHeight="1">
      <c r="A27" s="5" t="s">
        <v>787</v>
      </c>
    </row>
    <row r="28" spans="1:9" ht="19.5" customHeight="1">
      <c r="A28" s="5" t="s">
        <v>788</v>
      </c>
    </row>
    <row r="29" spans="1:9" ht="19.5" customHeight="1">
      <c r="A29" s="5" t="s">
        <v>781</v>
      </c>
    </row>
  </sheetData>
  <mergeCells count="9">
    <mergeCell ref="B15:B17"/>
    <mergeCell ref="B18:B20"/>
    <mergeCell ref="B21:C21"/>
    <mergeCell ref="A8:C11"/>
    <mergeCell ref="D9:I9"/>
    <mergeCell ref="D10:E10"/>
    <mergeCell ref="F10:G10"/>
    <mergeCell ref="H10:I10"/>
    <mergeCell ref="B12:B14"/>
  </mergeCells>
  <phoneticPr fontId="6" type="noConversion"/>
  <pageMargins left="0.7" right="0.7" top="0.75" bottom="0.75" header="0.3" footer="0.3"/>
  <pageSetup paperSize="9" scale="53" fitToHeight="0" orientation="portrait" r:id="rId1"/>
  <drawing r:id="rId2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88ECB9-E27F-4D96-9892-A7C61287D20B}">
  <sheetPr codeName="Sheet41">
    <tabColor rgb="FFFFFF00"/>
    <pageSetUpPr fitToPage="1"/>
  </sheetPr>
  <dimension ref="A1:Q27"/>
  <sheetViews>
    <sheetView view="pageBreakPreview" zoomScaleNormal="85" zoomScaleSheetLayoutView="100" workbookViewId="0"/>
  </sheetViews>
  <sheetFormatPr defaultColWidth="8.8984375" defaultRowHeight="14.4"/>
  <cols>
    <col min="1" max="2" width="8.8984375" style="5"/>
    <col min="3" max="3" width="17.09765625" style="5" customWidth="1"/>
    <col min="4" max="16384" width="8.8984375" style="5"/>
  </cols>
  <sheetData>
    <row r="1" spans="1:13">
      <c r="A1" s="521"/>
    </row>
    <row r="5" spans="1:13" ht="20.25" customHeight="1">
      <c r="A5" s="63" t="s">
        <v>785</v>
      </c>
    </row>
    <row r="7" spans="1:13">
      <c r="A7" s="5" t="s">
        <v>751</v>
      </c>
    </row>
    <row r="8" spans="1:13" ht="13.5" customHeight="1">
      <c r="A8" s="947" t="s">
        <v>555</v>
      </c>
      <c r="B8" s="947"/>
      <c r="C8" s="947"/>
      <c r="D8" s="492" t="s">
        <v>693</v>
      </c>
      <c r="E8" s="492" t="s">
        <v>694</v>
      </c>
      <c r="F8" s="492" t="s">
        <v>752</v>
      </c>
      <c r="G8" s="492" t="s">
        <v>753</v>
      </c>
      <c r="H8" s="518" t="s">
        <v>1619</v>
      </c>
      <c r="I8" s="518" t="s">
        <v>1620</v>
      </c>
      <c r="J8" s="518" t="s">
        <v>1621</v>
      </c>
      <c r="K8" s="518" t="s">
        <v>1622</v>
      </c>
      <c r="L8" s="492" t="s">
        <v>754</v>
      </c>
      <c r="M8" s="492" t="s">
        <v>755</v>
      </c>
    </row>
    <row r="9" spans="1:13" ht="14.25" customHeight="1">
      <c r="A9" s="947"/>
      <c r="B9" s="947"/>
      <c r="C9" s="947"/>
      <c r="D9" s="983" t="s">
        <v>569</v>
      </c>
      <c r="E9" s="983"/>
      <c r="F9" s="983"/>
      <c r="G9" s="983"/>
      <c r="H9" s="983"/>
      <c r="I9" s="983"/>
      <c r="J9" s="983"/>
      <c r="K9" s="983"/>
      <c r="L9" s="983"/>
      <c r="M9" s="983"/>
    </row>
    <row r="10" spans="1:13" ht="14.25" customHeight="1">
      <c r="A10" s="947"/>
      <c r="B10" s="947"/>
      <c r="C10" s="947"/>
      <c r="D10" s="980" t="s">
        <v>698</v>
      </c>
      <c r="E10" s="980"/>
      <c r="F10" s="980" t="s">
        <v>786</v>
      </c>
      <c r="G10" s="980"/>
      <c r="H10" s="981" t="s">
        <v>1617</v>
      </c>
      <c r="I10" s="982"/>
      <c r="J10" s="981" t="s">
        <v>1618</v>
      </c>
      <c r="K10" s="982"/>
      <c r="L10" s="980" t="s">
        <v>699</v>
      </c>
      <c r="M10" s="980"/>
    </row>
    <row r="11" spans="1:13">
      <c r="A11" s="947"/>
      <c r="B11" s="947"/>
      <c r="C11" s="947"/>
      <c r="D11" s="487" t="s">
        <v>765</v>
      </c>
      <c r="E11" s="487" t="s">
        <v>702</v>
      </c>
      <c r="F11" s="487" t="s">
        <v>765</v>
      </c>
      <c r="G11" s="487" t="s">
        <v>702</v>
      </c>
      <c r="H11" s="518" t="s">
        <v>765</v>
      </c>
      <c r="I11" s="518" t="s">
        <v>702</v>
      </c>
      <c r="J11" s="518" t="s">
        <v>765</v>
      </c>
      <c r="K11" s="518" t="s">
        <v>702</v>
      </c>
      <c r="L11" s="487" t="s">
        <v>765</v>
      </c>
      <c r="M11" s="487" t="s">
        <v>702</v>
      </c>
    </row>
    <row r="12" spans="1:13" ht="28.8">
      <c r="A12" s="383" t="s">
        <v>558</v>
      </c>
      <c r="B12" s="432" t="s">
        <v>1434</v>
      </c>
      <c r="C12" s="432" t="s">
        <v>1391</v>
      </c>
      <c r="D12" s="433"/>
      <c r="E12" s="433"/>
      <c r="F12" s="433"/>
      <c r="G12" s="433"/>
      <c r="H12" s="494"/>
      <c r="I12" s="494"/>
      <c r="J12" s="494"/>
      <c r="K12" s="494"/>
      <c r="L12" s="433">
        <f>D12+F12-H12+J12</f>
        <v>0</v>
      </c>
      <c r="M12" s="433">
        <f>E12+G12-I12-K12</f>
        <v>0</v>
      </c>
    </row>
    <row r="13" spans="1:13" ht="28.8">
      <c r="A13" s="383" t="s">
        <v>560</v>
      </c>
      <c r="B13" s="432" t="s">
        <v>1432</v>
      </c>
      <c r="C13" s="432" t="s">
        <v>1392</v>
      </c>
      <c r="D13" s="433"/>
      <c r="E13" s="433"/>
      <c r="F13" s="433"/>
      <c r="G13" s="433"/>
      <c r="H13" s="433"/>
      <c r="I13" s="433"/>
      <c r="J13" s="433"/>
      <c r="K13" s="433"/>
      <c r="L13" s="433">
        <f t="shared" ref="L13:L15" si="0">D13+F13-H13+J13</f>
        <v>0</v>
      </c>
      <c r="M13" s="433">
        <f t="shared" ref="M13:M15" si="1">E13+G13-I13-K13</f>
        <v>0</v>
      </c>
    </row>
    <row r="14" spans="1:13" ht="28.8">
      <c r="A14" s="383" t="s">
        <v>775</v>
      </c>
      <c r="B14" s="432" t="s">
        <v>1430</v>
      </c>
      <c r="C14" s="432" t="s">
        <v>1393</v>
      </c>
      <c r="D14" s="493"/>
      <c r="E14" s="493"/>
      <c r="F14" s="493"/>
      <c r="G14" s="493"/>
      <c r="H14" s="493"/>
      <c r="I14" s="493"/>
      <c r="J14" s="493"/>
      <c r="K14" s="493"/>
      <c r="L14" s="493">
        <f t="shared" si="0"/>
        <v>0</v>
      </c>
      <c r="M14" s="493">
        <f t="shared" si="1"/>
        <v>0</v>
      </c>
    </row>
    <row r="15" spans="1:13" ht="14.25" customHeight="1">
      <c r="A15" s="383" t="s">
        <v>776</v>
      </c>
      <c r="B15" s="703" t="s">
        <v>70</v>
      </c>
      <c r="C15" s="703"/>
      <c r="D15" s="493">
        <f>SUM(D12:D14)</f>
        <v>0</v>
      </c>
      <c r="E15" s="493">
        <f t="shared" ref="E15:K15" si="2">SUM(E12:E14)</f>
        <v>0</v>
      </c>
      <c r="F15" s="493">
        <f t="shared" si="2"/>
        <v>0</v>
      </c>
      <c r="G15" s="493">
        <f t="shared" si="2"/>
        <v>0</v>
      </c>
      <c r="H15" s="493">
        <f t="shared" si="2"/>
        <v>0</v>
      </c>
      <c r="I15" s="493">
        <f t="shared" si="2"/>
        <v>0</v>
      </c>
      <c r="J15" s="493">
        <f t="shared" si="2"/>
        <v>0</v>
      </c>
      <c r="K15" s="493">
        <f t="shared" si="2"/>
        <v>0</v>
      </c>
      <c r="L15" s="493">
        <f t="shared" si="0"/>
        <v>0</v>
      </c>
      <c r="M15" s="493">
        <f t="shared" si="1"/>
        <v>0</v>
      </c>
    </row>
    <row r="16" spans="1:13">
      <c r="A16" s="3"/>
    </row>
    <row r="17" spans="1:17">
      <c r="A17" s="130" t="s">
        <v>547</v>
      </c>
    </row>
    <row r="19" spans="1:17">
      <c r="A19" s="131" t="s">
        <v>59</v>
      </c>
    </row>
    <row r="20" spans="1:17">
      <c r="A20" s="2"/>
    </row>
    <row r="21" spans="1:17">
      <c r="A21" s="5" t="s">
        <v>787</v>
      </c>
    </row>
    <row r="22" spans="1:17">
      <c r="A22" s="5" t="s">
        <v>788</v>
      </c>
    </row>
    <row r="23" spans="1:17">
      <c r="A23" s="5" t="s">
        <v>781</v>
      </c>
    </row>
    <row r="25" spans="1:17">
      <c r="A25" s="62" t="s">
        <v>173</v>
      </c>
    </row>
    <row r="26" spans="1:17">
      <c r="A26" s="351" t="s">
        <v>1751</v>
      </c>
      <c r="B26" s="351"/>
      <c r="C26" s="351"/>
      <c r="D26" s="351"/>
      <c r="E26" s="351"/>
      <c r="F26" s="351"/>
      <c r="G26" s="351"/>
      <c r="H26" s="351"/>
      <c r="I26" s="351"/>
      <c r="J26" s="351"/>
      <c r="K26" s="351"/>
      <c r="L26" s="351"/>
      <c r="M26" s="351"/>
      <c r="N26" s="351"/>
      <c r="O26" s="351"/>
      <c r="P26" s="351"/>
      <c r="Q26" s="351"/>
    </row>
    <row r="27" spans="1:17">
      <c r="A27" s="351" t="s">
        <v>1752</v>
      </c>
      <c r="B27" s="351"/>
      <c r="C27" s="351"/>
      <c r="D27" s="351"/>
      <c r="E27" s="351"/>
      <c r="F27" s="351"/>
      <c r="G27" s="351"/>
      <c r="H27" s="351"/>
      <c r="I27" s="351"/>
      <c r="J27" s="351"/>
      <c r="K27" s="351"/>
      <c r="L27" s="351"/>
      <c r="M27" s="351"/>
      <c r="N27" s="351"/>
      <c r="O27" s="351"/>
      <c r="P27" s="351"/>
      <c r="Q27" s="351"/>
    </row>
  </sheetData>
  <mergeCells count="8">
    <mergeCell ref="B15:C15"/>
    <mergeCell ref="A8:C11"/>
    <mergeCell ref="D10:E10"/>
    <mergeCell ref="F10:G10"/>
    <mergeCell ref="H10:I10"/>
    <mergeCell ref="D9:M9"/>
    <mergeCell ref="J10:K10"/>
    <mergeCell ref="L10:M10"/>
  </mergeCells>
  <phoneticPr fontId="6" type="noConversion"/>
  <pageMargins left="0.7" right="0.7" top="0.75" bottom="0.75" header="0.3" footer="0.3"/>
  <pageSetup paperSize="9" scale="47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45</vt:i4>
      </vt:variant>
      <vt:variant>
        <vt:lpstr>이름 지정된 범위</vt:lpstr>
      </vt:variant>
      <vt:variant>
        <vt:i4>41</vt:i4>
      </vt:variant>
    </vt:vector>
  </HeadingPairs>
  <TitlesOfParts>
    <vt:vector size="86" baseType="lpstr">
      <vt:lpstr>목차_현행</vt:lpstr>
      <vt:lpstr>목차_개정후</vt:lpstr>
      <vt:lpstr>AC437(신설)</vt:lpstr>
      <vt:lpstr>AC304_현행</vt:lpstr>
      <vt:lpstr>AC304_개정</vt:lpstr>
      <vt:lpstr>AC209_현행</vt:lpstr>
      <vt:lpstr>AC209_개정</vt:lpstr>
      <vt:lpstr>AC210_현행</vt:lpstr>
      <vt:lpstr>AC210_개정</vt:lpstr>
      <vt:lpstr>AC211_현행</vt:lpstr>
      <vt:lpstr>AC211_개정</vt:lpstr>
      <vt:lpstr>AC223_현행</vt:lpstr>
      <vt:lpstr>AC223_개정</vt:lpstr>
      <vt:lpstr>AC425_현행</vt:lpstr>
      <vt:lpstr>AC425_개정</vt:lpstr>
      <vt:lpstr>AC233_현행</vt:lpstr>
      <vt:lpstr>AC233_개정</vt:lpstr>
      <vt:lpstr>AC300_현행</vt:lpstr>
      <vt:lpstr>AC300_개정</vt:lpstr>
      <vt:lpstr>AC236_현행</vt:lpstr>
      <vt:lpstr>AC236_개정</vt:lpstr>
      <vt:lpstr>AC237_현행</vt:lpstr>
      <vt:lpstr>AC237_개정</vt:lpstr>
      <vt:lpstr>AC251_현행</vt:lpstr>
      <vt:lpstr>AC251_개정</vt:lpstr>
      <vt:lpstr>AC266_현행</vt:lpstr>
      <vt:lpstr>AC266_개정</vt:lpstr>
      <vt:lpstr>AC402_현행</vt:lpstr>
      <vt:lpstr>AC402_개정</vt:lpstr>
      <vt:lpstr>AC406_현행</vt:lpstr>
      <vt:lpstr>AC406_개정</vt:lpstr>
      <vt:lpstr>AC285_현행</vt:lpstr>
      <vt:lpstr>AC285_개정</vt:lpstr>
      <vt:lpstr>AC286_현행</vt:lpstr>
      <vt:lpstr>AC286_개정</vt:lpstr>
      <vt:lpstr>AC287_현행</vt:lpstr>
      <vt:lpstr>AC287_개정</vt:lpstr>
      <vt:lpstr>AC361_현행</vt:lpstr>
      <vt:lpstr>AC361_개정</vt:lpstr>
      <vt:lpstr>AC410_현행</vt:lpstr>
      <vt:lpstr>AC410_개정</vt:lpstr>
      <vt:lpstr>AC411_현행</vt:lpstr>
      <vt:lpstr>AC411_개정</vt:lpstr>
      <vt:lpstr>AC412_현행</vt:lpstr>
      <vt:lpstr>AC412_개정</vt:lpstr>
      <vt:lpstr>AC209_개정!Print_Area</vt:lpstr>
      <vt:lpstr>AC209_현행!Print_Area</vt:lpstr>
      <vt:lpstr>AC210_개정!Print_Area</vt:lpstr>
      <vt:lpstr>AC210_현행!Print_Area</vt:lpstr>
      <vt:lpstr>AC211_개정!Print_Area</vt:lpstr>
      <vt:lpstr>AC211_현행!Print_Area</vt:lpstr>
      <vt:lpstr>AC223_개정!Print_Area</vt:lpstr>
      <vt:lpstr>AC223_현행!Print_Area</vt:lpstr>
      <vt:lpstr>AC233_개정!Print_Area</vt:lpstr>
      <vt:lpstr>AC233_현행!Print_Area</vt:lpstr>
      <vt:lpstr>AC236_개정!Print_Area</vt:lpstr>
      <vt:lpstr>AC236_현행!Print_Area</vt:lpstr>
      <vt:lpstr>AC237_개정!Print_Area</vt:lpstr>
      <vt:lpstr>AC237_현행!Print_Area</vt:lpstr>
      <vt:lpstr>AC251_개정!Print_Area</vt:lpstr>
      <vt:lpstr>AC266_개정!Print_Area</vt:lpstr>
      <vt:lpstr>AC266_현행!Print_Area</vt:lpstr>
      <vt:lpstr>AC285_개정!Print_Area</vt:lpstr>
      <vt:lpstr>AC285_현행!Print_Area</vt:lpstr>
      <vt:lpstr>AC286_개정!Print_Area</vt:lpstr>
      <vt:lpstr>AC286_현행!Print_Area</vt:lpstr>
      <vt:lpstr>AC287_개정!Print_Area</vt:lpstr>
      <vt:lpstr>AC287_현행!Print_Area</vt:lpstr>
      <vt:lpstr>AC300_개정!Print_Area</vt:lpstr>
      <vt:lpstr>AC304_개정!Print_Area</vt:lpstr>
      <vt:lpstr>AC304_현행!Print_Area</vt:lpstr>
      <vt:lpstr>AC361_개정!Print_Area</vt:lpstr>
      <vt:lpstr>AC361_현행!Print_Area</vt:lpstr>
      <vt:lpstr>AC402_개정!Print_Area</vt:lpstr>
      <vt:lpstr>AC402_현행!Print_Area</vt:lpstr>
      <vt:lpstr>AC406_개정!Print_Area</vt:lpstr>
      <vt:lpstr>AC406_현행!Print_Area</vt:lpstr>
      <vt:lpstr>AC410_개정!Print_Area</vt:lpstr>
      <vt:lpstr>AC410_현행!Print_Area</vt:lpstr>
      <vt:lpstr>AC411_개정!Print_Area</vt:lpstr>
      <vt:lpstr>AC412_개정!Print_Area</vt:lpstr>
      <vt:lpstr>AC425_개정!Print_Area</vt:lpstr>
      <vt:lpstr>AC425_현행!Print_Area</vt:lpstr>
      <vt:lpstr>'AC437(신설)'!Print_Area</vt:lpstr>
      <vt:lpstr>목차_개정후!Print_Area</vt:lpstr>
      <vt:lpstr>목차_현행!Print_Area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Z70MK_FSS</dc:creator>
  <cp:lastModifiedBy>FSS_NT551XED</cp:lastModifiedBy>
  <cp:lastPrinted>2025-11-12T08:53:40Z</cp:lastPrinted>
  <dcterms:created xsi:type="dcterms:W3CDTF">2017-07-11T00:23:04Z</dcterms:created>
  <dcterms:modified xsi:type="dcterms:W3CDTF">2026-04-29T01:32:51Z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Fasoo_Trace_ID">
    <vt:lpwstr>eyJub2RlMSI6eyJkc2QiOiIwMTAwMDAwMDAwMDAxNzM5IiwibG9nVGltZSI6IjIwMjItMDQtMDhUMDE6MjE6NTlaIiwicElEIjoxLCJ0cmFjZUlkIjoiNkM1RkE3NDVBRjJGNERGNDgwQkI0RDMzODVCQTc0RTUiLCJ1c2VyQ29kZSI6IjIwOTAyMzEifSwibm9kZTIiOnsiZHNkIjoiMDEwMDAwMDAwMDAwMTczOSIsImxvZ1RpbWUiOiIyMDI</vt:lpwstr>
  </property>
</Properties>
</file>